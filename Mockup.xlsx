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7.xml" ContentType="application/vnd.openxmlformats-officedocument.drawingml.chart+xml"/>
  <Override PartName="/xl/drawings/drawing6.xml" ContentType="application/vnd.openxmlformats-officedocument.drawing+xml"/>
  <Override PartName="/xl/drawings/drawing7.xml" ContentType="application/vnd.openxmlformats-officedocument.drawing+xml"/>
  <Override PartName="/xl/charts/chart8.xml" ContentType="application/vnd.openxmlformats-officedocument.drawingml.chart+xml"/>
  <Override PartName="/xl/drawings/drawing8.xml" ContentType="application/vnd.openxmlformats-officedocument.drawing+xml"/>
  <Override PartName="/xl/charts/chart9.xml" ContentType="application/vnd.openxmlformats-officedocument.drawingml.chart+xml"/>
  <Override PartName="/xl/drawings/drawing9.xml" ContentType="application/vnd.openxmlformats-officedocument.drawing+xml"/>
  <Override PartName="/xl/charts/chart10.xml" ContentType="application/vnd.openxmlformats-officedocument.drawingml.chart+xml"/>
  <Override PartName="/xl/drawings/drawing10.xml" ContentType="application/vnd.openxmlformats-officedocument.drawing+xml"/>
  <Override PartName="/xl/charts/chart11.xml" ContentType="application/vnd.openxmlformats-officedocument.drawingml.chart+xml"/>
  <Override PartName="/xl/drawings/drawing11.xml" ContentType="application/vnd.openxmlformats-officedocument.drawing+xml"/>
  <Override PartName="/xl/charts/chart12.xml" ContentType="application/vnd.openxmlformats-officedocument.drawingml.chart+xml"/>
  <Override PartName="/xl/drawings/drawing12.xml" ContentType="application/vnd.openxmlformats-officedocument.drawing+xml"/>
  <Override PartName="/xl/charts/chart13.xml" ContentType="application/vnd.openxmlformats-officedocument.drawingml.chart+xml"/>
  <Override PartName="/xl/drawings/drawing13.xml" ContentType="application/vnd.openxmlformats-officedocument.drawing+xml"/>
  <Override PartName="/xl/charts/chart14.xml" ContentType="application/vnd.openxmlformats-officedocument.drawingml.chart+xml"/>
  <Override PartName="/xl/drawings/drawing14.xml" ContentType="application/vnd.openxmlformats-officedocument.drawing+xml"/>
  <Override PartName="/xl/charts/chart15.xml" ContentType="application/vnd.openxmlformats-officedocument.drawingml.chart+xml"/>
  <Override PartName="/xl/drawings/drawing15.xml" ContentType="application/vnd.openxmlformats-officedocument.drawing+xml"/>
  <Override PartName="/xl/charts/chart16.xml" ContentType="application/vnd.openxmlformats-officedocument.drawingml.chart+xml"/>
  <Override PartName="/xl/drawings/drawing16.xml" ContentType="application/vnd.openxmlformats-officedocument.drawing+xml"/>
  <Override PartName="/xl/charts/chart17.xml" ContentType="application/vnd.openxmlformats-officedocument.drawingml.chart+xml"/>
  <Override PartName="/xl/drawings/drawing17.xml" ContentType="application/vnd.openxmlformats-officedocument.drawing+xml"/>
  <Override PartName="/xl/charts/chart18.xml" ContentType="application/vnd.openxmlformats-officedocument.drawingml.chart+xml"/>
  <Override PartName="/xl/drawings/drawing18.xml" ContentType="application/vnd.openxmlformats-officedocument.drawing+xml"/>
  <Override PartName="/xl/charts/chart19.xml" ContentType="application/vnd.openxmlformats-officedocument.drawingml.chart+xml"/>
  <Override PartName="/xl/drawings/drawing19.xml" ContentType="application/vnd.openxmlformats-officedocument.drawing+xml"/>
  <Override PartName="/xl/tables/table4.xml" ContentType="application/vnd.openxmlformats-officedocument.spreadsheetml.table+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918"/>
  <workbookPr codeName="ThisWorkbook" hidePivotFieldList="1"/>
  <mc:AlternateContent xmlns:mc="http://schemas.openxmlformats.org/markup-compatibility/2006">
    <mc:Choice Requires="x15">
      <x15ac:absPath xmlns:x15ac="http://schemas.microsoft.com/office/spreadsheetml/2010/11/ac" url="E:\Thay An\Sách GT_ Tài chính cá nhân\"/>
    </mc:Choice>
  </mc:AlternateContent>
  <xr:revisionPtr revIDLastSave="0" documentId="8_{C59BA8B4-9EAF-4715-BE2A-279605E23695}" xr6:coauthVersionLast="47" xr6:coauthVersionMax="47" xr10:uidLastSave="{00000000-0000-0000-0000-000000000000}"/>
  <bookViews>
    <workbookView xWindow="-98" yWindow="-98" windowWidth="19396" windowHeight="10276" firstSheet="1" activeTab="1" xr2:uid="{00000000-000D-0000-FFFF-FFFF00000000}"/>
  </bookViews>
  <sheets>
    <sheet name="Từ khóa" sheetId="1" r:id="rId1"/>
    <sheet name="Dashboard" sheetId="10" r:id="rId2"/>
    <sheet name="Mục tiêu bản thân" sheetId="12" r:id="rId3"/>
    <sheet name="Mục tiêu tài chính" sheetId="5" r:id="rId4"/>
    <sheet name="Cân đối lộ trình nghề nghiệp" sheetId="7" r:id="rId5"/>
    <sheet name="Kế hoạch thu nhập và chi tiêu" sheetId="28" r:id="rId6"/>
    <sheet name="T1" sheetId="29" r:id="rId7"/>
    <sheet name="T2" sheetId="30" r:id="rId8"/>
    <sheet name="T3" sheetId="31" r:id="rId9"/>
    <sheet name="T4" sheetId="32" r:id="rId10"/>
    <sheet name="T5" sheetId="33" r:id="rId11"/>
    <sheet name="T6" sheetId="34" r:id="rId12"/>
    <sheet name="T7" sheetId="35" r:id="rId13"/>
    <sheet name="T8" sheetId="36" r:id="rId14"/>
    <sheet name="T9" sheetId="37" r:id="rId15"/>
    <sheet name="T10" sheetId="38" r:id="rId16"/>
    <sheet name="T11" sheetId="39" r:id="rId17"/>
    <sheet name="Sheet1" sheetId="41" r:id="rId18"/>
    <sheet name="T12" sheetId="40" r:id="rId19"/>
    <sheet name="Bảng khảo sát" sheetId="26" r:id="rId20"/>
  </sheets>
  <externalReferences>
    <externalReference r:id="rId21"/>
  </externalReferences>
  <definedNames>
    <definedName name="AfterRetirement" localSheetId="19">#REF!&gt;=DesiredRetirementAge</definedName>
    <definedName name="AfterRetirement">#REF!&gt;=DesiredRetirementAge</definedName>
    <definedName name="Age" localSheetId="19">IF(PlanYear&lt;='Bảng khảo sát'!PlanYears,PlanYear-1+YourCurrentAge,NA())</definedName>
    <definedName name="Age">IF(PlanYear&lt;=PlanYears,PlanYear-1+YourCurrentAge,NA())</definedName>
    <definedName name="AnnualPenionsBenefitsAtRetirement">#REF!</definedName>
    <definedName name="AnnualPensionBenefitAfterRetirementIncreasesPercentage">#REF!</definedName>
    <definedName name="AnnualPensionBenefitAmountUncertaintyPercentage">#REF!</definedName>
    <definedName name="AnnualPensionCenefitIncreasesUncertaintyPercentage">#REF!</definedName>
    <definedName name="AnnualSavingsAmountUncertaintyPercentage">#REF!</definedName>
    <definedName name="AnnualSavingsIncreasesUncertaintyPercentage">#REF!</definedName>
    <definedName name="Balance" localSheetId="19">IF(PlanYear&lt;='Bảng khảo sát'!PlanYears,#REF!,NA())</definedName>
    <definedName name="Balance">IF(PlanYear&lt;=PlanYears,#REF!,NA())</definedName>
    <definedName name="Balance_Over" localSheetId="19">IF(PlanYear&lt;='Bảng khảo sát'!PlanYears,#REF!,NA())</definedName>
    <definedName name="Balance_Over">IF(PlanYear&lt;=PlanYears,#REF!,NA())</definedName>
    <definedName name="Balance_Under" localSheetId="19">IF(PlanYear&lt;='Bảng khảo sát'!PlanYears,#REF!,NA())</definedName>
    <definedName name="Balance_Under">IF(PlanYear&lt;=PlanYears,#REF!,NA())</definedName>
    <definedName name="BeforeRetirement" localSheetId="19">#REF!&lt;DesiredRetirementAge</definedName>
    <definedName name="BeforeRetirement">#REF!&lt;DesiredRetirementAge</definedName>
    <definedName name="College">'[1]Mục tiêu bản thân'!#REF!</definedName>
    <definedName name="ColumnTitle1">#REF!</definedName>
    <definedName name="ColumnTitle2">#REF!</definedName>
    <definedName name="ColumnTitle3">#REF!</definedName>
    <definedName name="ColumnTitle4">#REF!</definedName>
    <definedName name="ColumnTitle5">#REF!</definedName>
    <definedName name="ColumnTitle6">#REF!</definedName>
    <definedName name="ColumnTitleRegion1..I114.1">#REF!</definedName>
    <definedName name="CurrentAnnualIncome">#REF!</definedName>
    <definedName name="CurrentAnnualIncomeIncreasesPercentage">#REF!</definedName>
    <definedName name="CurrentAnnualSavingsAmount">#REF!</definedName>
    <definedName name="CurrentAnnualSavingsAmount_Over" localSheetId="19">CurrentAnnualSavingsAmount+CurrentAnnualSavingsAmount*AnnualSavingsAmountUncertaintyPercentage/2</definedName>
    <definedName name="CurrentAnnualSavingsAmount_Over">CurrentAnnualSavingsAmount+CurrentAnnualSavingsAmount*AnnualSavingsAmountUncertaintyPercentage/2</definedName>
    <definedName name="CurrentAnnualSavingsAmount_Under" localSheetId="19">CurrentAnnualSavingsAmount-CurrentAnnualSavingsAmount*AnnualSavingsAmountUncertaintyPercentage/2</definedName>
    <definedName name="CurrentAnnualSavingsAmount_Under">CurrentAnnualSavingsAmount-CurrentAnnualSavingsAmount*AnnualSavingsAmountUncertaintyPercentage/2</definedName>
    <definedName name="CurrentAnnualSavingsIncreasesPercentage">#REF!</definedName>
    <definedName name="CurrentRetirementSavingsBalance">#REF!</definedName>
    <definedName name="DesiredRetirementAge">#REF!</definedName>
    <definedName name="DesiredRetirementIncome" localSheetId="19">IF(PlanYear&lt;='Bảng khảo sát'!PlanYears,'Bảng khảo sát'!AfterRetirement*IncomeReplacementAtRetirementPercentage*CurrentAnnualIncome*(1+CurrentAnnualIncomeIncreasesPercentage)^(#REF!-#REF!),NA())</definedName>
    <definedName name="DesiredRetirementIncome">IF(PlanYear&lt;=PlanYears,AfterRetirement*IncomeReplacementAtRetirementPercentage*CurrentAnnualIncome*(1+CurrentAnnualIncomeIncreasesPercentage)^(#REF!-#REF!),NA())</definedName>
    <definedName name="EndBalance" localSheetId="19">IF(PlanYear&lt;='Bảng khảo sát'!PlanYears,#REF!+#REF!+#REF!-#REF!+#REF!,NA())</definedName>
    <definedName name="EndBalance">IF(PlanYear&lt;=PlanYears,#REF!+#REF!+#REF!-#REF!+#REF!,NA())</definedName>
    <definedName name="IncomeReplacementAtRetirementPercentage">#REF!</definedName>
    <definedName name="Interest" localSheetId="19">IF(PlanYear&lt;='Bảng khảo sát'!PlanYears,(#REF!*'Bảng khảo sát'!BeforeRetirement*InvestmentReturnPreRetirementPercentage)+(#REF!*'Bảng khảo sát'!AfterRetirement*InvestmentReturnPostRetirementPercentage),NA())</definedName>
    <definedName name="Interest">IF(PlanYear&lt;=PlanYears,(#REF!*BeforeRetirement*InvestmentReturnPreRetirementPercentage)+(#REF!*AfterRetirement*InvestmentReturnPostRetirementPercentage),NA())</definedName>
    <definedName name="Interest_Over" localSheetId="19">IF(PlanYear&lt;='Bảng khảo sát'!PlanYears,(#REF!*'Bảng khảo sát'!BeforeRetirement*(InvestmentReturnPreRetirementPercentage+InvestmentReturnUncertaintyPercentage/2))+(#REF!*'Bảng khảo sát'!AfterRetirement*(InvestmentReturnPostRetirementPercentage+InvestmentReturnUncertaintyPercentage/2)),NA())</definedName>
    <definedName name="Interest_Over">IF(PlanYear&lt;=PlanYears,(#REF!*BeforeRetirement*(InvestmentReturnPreRetirementPercentage+InvestmentReturnUncertaintyPercentage/2))+(#REF!*AfterRetirement*(InvestmentReturnPostRetirementPercentage+InvestmentReturnUncertaintyPercentage/2)),NA())</definedName>
    <definedName name="Interest_Under" localSheetId="19">IF(PlanYear&lt;='Bảng khảo sát'!PlanYears,(#REF!*'Bảng khảo sát'!BeforeRetirement*(InvestmentReturnPreRetirementPercentage-InvestmentReturnUncertaintyPercentage/2))+(#REF!*'Bảng khảo sát'!AfterRetirement*(InvestmentReturnPostRetirementPercentage-InvestmentReturnUncertaintyPercentage/2)),NA())</definedName>
    <definedName name="Interest_Under">IF(PlanYear&lt;=PlanYears,(#REF!*BeforeRetirement*(InvestmentReturnPreRetirementPercentage-InvestmentReturnUncertaintyPercentage/2))+(#REF!*AfterRetirement*(InvestmentReturnPostRetirementPercentage-InvestmentReturnUncertaintyPercentage/2)),NA())</definedName>
    <definedName name="InvestmentReturnPostRetirementPercentage">#REF!</definedName>
    <definedName name="InvestmentReturnPreRetirementPercentage">#REF!</definedName>
    <definedName name="InvestmentReturnUncertaintyPercentage">#REF!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"02/21/2021 16:09:48"</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LastRow">COUNTIF(#REF!,"&gt;1")+35</definedName>
    <definedName name="Months_in_term">#REF!</definedName>
    <definedName name="NET_MONTHLY_EXPENSES">#REF!</definedName>
    <definedName name="NET_MONTHLY_INCOME">#REF!</definedName>
    <definedName name="PensionIncome" localSheetId="19">IF(PlanYear&lt;='Bảng khảo sát'!PlanYears,'Bảng khảo sát'!AfterRetirement*'Bảng khảo sát'!PensionIncomeInflated,NA())</definedName>
    <definedName name="PensionIncome">IF(PlanYear&lt;=PlanYears,AfterRetirement*PensionIncomeInflated,NA())</definedName>
    <definedName name="PensionIncome_Over" localSheetId="19">IF(PlanYear&lt;='Bảng khảo sát'!PlanYears,'Bảng khảo sát'!AfterRetirement*'Bảng khảo sát'!PensionIncomeInflated_Over,NA())</definedName>
    <definedName name="PensionIncome_Over">IF(PlanYear&lt;=PlanYears,AfterRetirement*PensionIncomeInflated_Over,NA())</definedName>
    <definedName name="PensionIncome_Under" localSheetId="19">IF(PlanYear&lt;='Bảng khảo sát'!PlanYears,'Bảng khảo sát'!AfterRetirement*'Bảng khảo sát'!PensionIncomeInflated_Under,NA())</definedName>
    <definedName name="PensionIncome_Under">IF(PlanYear&lt;=PlanYears,AfterRetirement*PensionIncomeInflated_Under,NA())</definedName>
    <definedName name="PensionIncomeInflated" localSheetId="19">AnnualPenionsBenefitsAtRetirement*(1+AnnualPensionBenefitAfterRetirementIncreasesPercentage)^(#REF!-DesiredRetirementAge)</definedName>
    <definedName name="PensionIncomeInflated">AnnualPenionsBenefitsAtRetirement*(1+AnnualPensionBenefitAfterRetirementIncreasesPercentage)^(#REF!-DesiredRetirementAge)</definedName>
    <definedName name="PensionIncomeInflated_Over" localSheetId="19">(AnnualPenionsBenefitsAtRetirement+AnnualPenionsBenefitsAtRetirement*AnnualPensionBenefitAmountUncertaintyPercentage/2)*(1+AnnualPensionBenefitAfterRetirementIncreasesPercentage+AnnualPensionCenefitIncreasesUncertaintyPercentage/2)^(#REF!-DesiredRetirementAge)</definedName>
    <definedName name="PensionIncomeInflated_Over">(AnnualPenionsBenefitsAtRetirement+AnnualPenionsBenefitsAtRetirement*AnnualPensionBenefitAmountUncertaintyPercentage/2)*(1+AnnualPensionBenefitAfterRetirementIncreasesPercentage+AnnualPensionCenefitIncreasesUncertaintyPercentage/2)^(#REF!-DesiredRetirementAge)</definedName>
    <definedName name="PensionIncomeInflated_Under" localSheetId="19">(AnnualPenionsBenefitsAtRetirement-AnnualPenionsBenefitsAtRetirement*AnnualPensionBenefitAmountUncertaintyPercentage/2)*(1+AnnualPensionBenefitAfterRetirementIncreasesPercentage-AnnualPensionCenefitIncreasesUncertaintyPercentage/2)^(#REF!-DesiredRetirementAge)</definedName>
    <definedName name="PensionIncomeInflated_Under">(AnnualPenionsBenefitsAtRetirement-AnnualPenionsBenefitsAtRetirement*AnnualPensionBenefitAmountUncertaintyPercentage/2)*(1+AnnualPensionBenefitAfterRetirementIncreasesPercentage-AnnualPensionCenefitIncreasesUncertaintyPercentage/2)^(#REF!-DesiredRetirementAge)</definedName>
    <definedName name="PlanYear">ROWS(#REF!)</definedName>
    <definedName name="PlanYears" localSheetId="19">YearsOfRetirementIncome+(DesiredRetirementAge-YourCurrentAge)</definedName>
    <definedName name="PlanYears">YearsOfRetirementIncome+(DesiredRetirementAge-YourCurrentAge)</definedName>
    <definedName name="_xlnm.Print_Area" localSheetId="4">'Cân đối lộ trình nghề nghiệp'!$A$1:$W$85</definedName>
    <definedName name="_xlnm.Print_Area" localSheetId="1">Dashboard!$A$1:$V$6</definedName>
    <definedName name="_xlnm.Print_Area" localSheetId="5">'Kế hoạch thu nhập và chi tiêu'!$A$1:$W$8</definedName>
    <definedName name="_xlnm.Print_Area" localSheetId="2">'Mục tiêu bản thân'!$A$1:$X$6</definedName>
    <definedName name="_xlnm.Print_Area" localSheetId="3">'Mục tiêu tài chính'!$A$1:$AC$59</definedName>
    <definedName name="_xlnm.Print_Area" localSheetId="6">'T1'!$A$1:$U$8</definedName>
    <definedName name="_xlnm.Print_Area" localSheetId="15">'T10'!$A$1:$U$8</definedName>
    <definedName name="_xlnm.Print_Area" localSheetId="16">'T11'!$A$1:$U$8</definedName>
    <definedName name="_xlnm.Print_Area" localSheetId="18">'T12'!$A$1:$U$8</definedName>
    <definedName name="_xlnm.Print_Area" localSheetId="7">'T2'!$A$1:$U$8</definedName>
    <definedName name="_xlnm.Print_Area" localSheetId="8">'T3'!$A$1:$U$8</definedName>
    <definedName name="_xlnm.Print_Area" localSheetId="9">'T4'!$A$1:$U$8</definedName>
    <definedName name="_xlnm.Print_Area" localSheetId="10">'T5'!$A$1:$U$8</definedName>
    <definedName name="_xlnm.Print_Area" localSheetId="11">'T6'!$A$1:$U$8</definedName>
    <definedName name="_xlnm.Print_Area" localSheetId="12">'T7'!$A$1:$U$8</definedName>
    <definedName name="_xlnm.Print_Area" localSheetId="13">'T8'!$A$1:$U$8</definedName>
    <definedName name="_xlnm.Print_Area" localSheetId="14">'T9'!$A$1:$U$8</definedName>
    <definedName name="_xlnm.Print_Area" localSheetId="0">'Từ khóa'!$A$1:$AE$59</definedName>
    <definedName name="Print_Area_Reset" localSheetId="19">OFFSET(#REF!,0,0,LastRow)</definedName>
    <definedName name="Print_Area_Reset">OFFSET(#REF!,0,0,LastRow)</definedName>
    <definedName name="Requirement">'[1]Mục tiêu bản thân'!#REF!</definedName>
    <definedName name="ResultsDisplay_Failure">#REF!</definedName>
    <definedName name="ResultsDisplay_Failure_1">#REF!</definedName>
    <definedName name="ResultsDisplay_Failure_2">#REF!</definedName>
    <definedName name="ResultsDisplay_Failure_3">#REF!</definedName>
    <definedName name="ResultsDisplay_Failure_4">#REF!</definedName>
    <definedName name="ResultsDisplay_Success">#REF!</definedName>
    <definedName name="ResultsDisplay_Success_1">#REF!</definedName>
    <definedName name="ResultsDisplay_Success_2">#REF!</definedName>
    <definedName name="ResultsDisplay_Success_3">#REF!</definedName>
    <definedName name="ResultsDisplay_Success_4">#REF!</definedName>
    <definedName name="ResultsDisplay_Success_5">#REF!</definedName>
    <definedName name="RowTitleRegion1..D12">#REF!</definedName>
    <definedName name="RowTitleRegion2..G11">#REF!</definedName>
    <definedName name="RowTitleRegion3..J10">#REF!</definedName>
    <definedName name="Salary" localSheetId="19">IF(PlanYear&lt;='Bảng khảo sát'!PlanYears,'Bảng khảo sát'!BeforeRetirement*(#REF!+#REF!*CurrentAnnualIncomeIncreasesPercentage),NA())</definedName>
    <definedName name="Salary">IF(PlanYear&lt;=PlanYears,BeforeRetirement*(#REF!+#REF!*CurrentAnnualIncomeIncreasesPercentage),NA())</definedName>
    <definedName name="SavingsBalance_Disbursements" localSheetId="19">#REF!:INDEX(#REF!,'Bảng khảo sát'!PlanYears)</definedName>
    <definedName name="SavingsBalance_Disbursements">#REF!:INDEX(#REF!,PlanYears)</definedName>
    <definedName name="SavingsBalance_RetiredPeriod" localSheetId="19">#REF!:INDEX(#REF!,'Bảng khảo sát'!PlanYears)</definedName>
    <definedName name="SavingsBalance_RetiredPeriod">#REF!:INDEX(#REF!,PlanYears)</definedName>
    <definedName name="SavingsBalance_WorkingPeriod" localSheetId="19">#REF!:INDEX(#REF!,'Bảng khảo sát'!PlanYears)</definedName>
    <definedName name="SavingsBalance_WorkingPeriod">#REF!:INDEX(#REF!,PlanYears)</definedName>
    <definedName name="Slicer_Chi_phí_phát_triển_bản_thân">#N/A</definedName>
    <definedName name="StartTime">#REF!</definedName>
    <definedName name="Success">#REF!</definedName>
    <definedName name="TimeInterval">#REF!</definedName>
    <definedName name="UncertaintyCone_Over" localSheetId="19">#REF!:INDEX(#REF!,'Bảng khảo sát'!PlanYears)</definedName>
    <definedName name="UncertaintyCone_Over">#REF!:INDEX(#REF!,PlanYears)</definedName>
    <definedName name="UncertaintyCone_Under" localSheetId="19">#REF!:INDEX(#REF!,'Bảng khảo sát'!PlanYears)</definedName>
    <definedName name="UncertaintyCone_Under">#REF!:INDEX(#REF!,PlanYears)</definedName>
    <definedName name="Year">#REF!</definedName>
    <definedName name="YearlySavings" localSheetId="19">IF(PlanYear&lt;='Bảng khảo sát'!PlanYears,'Bảng khảo sát'!BeforeRetirement*'Bảng khảo sát'!YearlySavingsInflated,NA())</definedName>
    <definedName name="YearlySavings">IF(PlanYear&lt;=PlanYears,BeforeRetirement*YearlySavingsInflated,NA())</definedName>
    <definedName name="YearlySavings_Over" localSheetId="19">IF(PlanYear&lt;='Bảng khảo sát'!PlanYears,'Bảng khảo sát'!BeforeRetirement*'Bảng khảo sát'!YearlySavingsInflated_Over,NA())</definedName>
    <definedName name="YearlySavings_Over">IF(PlanYear&lt;=PlanYears,BeforeRetirement*YearlySavingsInflated_Over,NA())</definedName>
    <definedName name="YearlySavings_Under" localSheetId="19">IF(PlanYear&lt;='Bảng khảo sát'!PlanYears,'Bảng khảo sát'!BeforeRetirement*'Bảng khảo sát'!YearlySavingsInflated_Under,NA())</definedName>
    <definedName name="YearlySavings_Under">IF(PlanYear&lt;=PlanYears,BeforeRetirement*YearlySavingsInflated_Under,NA())</definedName>
    <definedName name="YearlySavingsInflated" localSheetId="19">#REF!+#REF!*CurrentAnnualSavingsIncreasesPercentage</definedName>
    <definedName name="YearlySavingsInflated">#REF!+#REF!*CurrentAnnualSavingsIncreasesPercentage</definedName>
    <definedName name="YearlySavingsInflated_Over" localSheetId="19">#REF!+#REF!*(CurrentAnnualSavingsIncreasesPercentage+AnnualSavingsIncreasesUncertaintyPercentage/2)</definedName>
    <definedName name="YearlySavingsInflated_Over">#REF!+#REF!*(CurrentAnnualSavingsIncreasesPercentage+AnnualSavingsIncreasesUncertaintyPercentage/2)</definedName>
    <definedName name="YearlySavingsInflated_Under" localSheetId="19">#REF!+#REF!*(CurrentAnnualSavingsIncreasesPercentage-AnnualSavingsIncreasesUncertaintyPercentage/2)</definedName>
    <definedName name="YearlySavingsInflated_Under">#REF!+#REF!*(CurrentAnnualSavingsIncreasesPercentage-AnnualSavingsIncreasesUncertaintyPercentage/2)</definedName>
    <definedName name="YearsOfRetirementIncome">#REF!</definedName>
    <definedName name="YourCurrentAge">#REF!</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2" i="5" l="1"/>
  <c r="E92" i="5" l="1"/>
  <c r="E73" i="5"/>
  <c r="E64" i="5"/>
  <c r="E55" i="5"/>
  <c r="E46" i="5"/>
  <c r="O105" i="5" s="1"/>
  <c r="E37" i="5"/>
  <c r="M105" i="5" s="1"/>
  <c r="H159" i="40"/>
  <c r="H158" i="40"/>
  <c r="H157" i="40"/>
  <c r="H155" i="40"/>
  <c r="H152" i="40"/>
  <c r="H151" i="40"/>
  <c r="E154" i="40"/>
  <c r="Q4" i="5"/>
  <c r="F220" i="5"/>
  <c r="G39" i="7"/>
  <c r="G79" i="7"/>
  <c r="G80" i="7"/>
  <c r="G81" i="7"/>
  <c r="G82" i="7"/>
  <c r="G83" i="7"/>
  <c r="G84" i="7"/>
  <c r="AA141" i="5"/>
  <c r="AA142" i="5"/>
  <c r="AA143" i="5"/>
  <c r="AA144" i="5"/>
  <c r="AA145" i="5"/>
  <c r="E18" i="5"/>
  <c r="I105" i="5" s="1"/>
  <c r="E9" i="5"/>
  <c r="G105" i="5" s="1"/>
  <c r="P220" i="5"/>
  <c r="E150" i="40" l="1"/>
  <c r="T43" i="34" l="1"/>
  <c r="T44" i="34"/>
  <c r="T45" i="34"/>
  <c r="T46" i="34"/>
  <c r="T47" i="34"/>
  <c r="T48" i="34"/>
  <c r="T49" i="34"/>
  <c r="T50" i="34"/>
  <c r="T51" i="34"/>
  <c r="T52" i="34"/>
  <c r="T53" i="34"/>
  <c r="T54" i="34"/>
  <c r="T55" i="34"/>
  <c r="T56" i="34"/>
  <c r="T42" i="34"/>
  <c r="L41" i="28"/>
  <c r="E117" i="40"/>
  <c r="E126" i="40"/>
  <c r="E116" i="40"/>
  <c r="S105" i="5" l="1"/>
  <c r="E115" i="40"/>
  <c r="E118" i="40"/>
  <c r="E119" i="40"/>
  <c r="E120" i="40"/>
  <c r="E121" i="40"/>
  <c r="E122" i="40"/>
  <c r="E123" i="40"/>
  <c r="E124" i="40"/>
  <c r="E125" i="40"/>
  <c r="E127" i="40"/>
  <c r="E128" i="40"/>
  <c r="E114" i="40"/>
  <c r="E108" i="10"/>
  <c r="E105" i="10"/>
  <c r="E106" i="10"/>
  <c r="E107" i="10"/>
  <c r="E100" i="10"/>
  <c r="E101" i="10"/>
  <c r="E102" i="10"/>
  <c r="E103" i="10"/>
  <c r="E104" i="10"/>
  <c r="E99" i="10"/>
  <c r="E76" i="10"/>
  <c r="F90" i="10" l="1"/>
  <c r="G90" i="10"/>
  <c r="H90" i="10"/>
  <c r="I90" i="10"/>
  <c r="E90" i="10"/>
  <c r="E77" i="10"/>
  <c r="E78" i="10"/>
  <c r="E79" i="10"/>
  <c r="E80" i="10"/>
  <c r="E81" i="10"/>
  <c r="E82" i="10"/>
  <c r="E83" i="10"/>
  <c r="E84" i="10"/>
  <c r="E85" i="10"/>
  <c r="E86" i="10"/>
  <c r="E87" i="10"/>
  <c r="E88" i="10"/>
  <c r="E89" i="10"/>
  <c r="T27" i="30"/>
  <c r="E66" i="10"/>
  <c r="E67" i="10"/>
  <c r="E68" i="10"/>
  <c r="E69" i="10"/>
  <c r="E70" i="10"/>
  <c r="E71" i="10"/>
  <c r="E72" i="10"/>
  <c r="E65" i="10"/>
  <c r="E153" i="40" l="1"/>
  <c r="E155" i="40"/>
  <c r="E156" i="40"/>
  <c r="E157" i="40"/>
  <c r="E158" i="40"/>
  <c r="E159" i="40"/>
  <c r="E151" i="40"/>
  <c r="E152" i="40"/>
  <c r="E163" i="40"/>
  <c r="E166" i="40"/>
  <c r="I166" i="40" s="1"/>
  <c r="E167" i="40"/>
  <c r="I167" i="40" s="1"/>
  <c r="E168" i="40"/>
  <c r="I168" i="40" s="1"/>
  <c r="E169" i="40"/>
  <c r="I169" i="40" s="1"/>
  <c r="E170" i="40"/>
  <c r="I170" i="40" s="1"/>
  <c r="E171" i="40"/>
  <c r="I171" i="40" s="1"/>
  <c r="E172" i="40"/>
  <c r="I172" i="40" s="1"/>
  <c r="E173" i="40"/>
  <c r="I173" i="40" s="1"/>
  <c r="E174" i="40"/>
  <c r="I174" i="40" s="1"/>
  <c r="E175" i="40"/>
  <c r="I175" i="40" s="1"/>
  <c r="E176" i="40"/>
  <c r="I176" i="40" s="1"/>
  <c r="E177" i="40"/>
  <c r="I177" i="40" s="1"/>
  <c r="E178" i="40"/>
  <c r="I178" i="40" s="1"/>
  <c r="E179" i="40"/>
  <c r="I179" i="40" s="1"/>
  <c r="E165" i="40"/>
  <c r="I165" i="40" s="1"/>
  <c r="K106" i="40" l="1"/>
  <c r="AA101" i="40"/>
  <c r="AE101" i="40" s="1"/>
  <c r="Q108" i="10" s="1"/>
  <c r="AA100" i="40"/>
  <c r="AE100" i="40" s="1"/>
  <c r="Q107" i="10" s="1"/>
  <c r="AA99" i="40"/>
  <c r="AE99" i="40" s="1"/>
  <c r="Q106" i="10" s="1"/>
  <c r="AA98" i="40"/>
  <c r="AE98" i="40" s="1"/>
  <c r="Q105" i="10" s="1"/>
  <c r="AA97" i="40"/>
  <c r="AE97" i="40" s="1"/>
  <c r="Q104" i="10" s="1"/>
  <c r="AA96" i="40"/>
  <c r="AE96" i="40" s="1"/>
  <c r="Q103" i="10" s="1"/>
  <c r="AA95" i="40"/>
  <c r="AE95" i="40" s="1"/>
  <c r="Q102" i="10" s="1"/>
  <c r="AA94" i="40"/>
  <c r="AE94" i="40" s="1"/>
  <c r="Q101" i="10" s="1"/>
  <c r="AA93" i="40"/>
  <c r="AE93" i="40" s="1"/>
  <c r="Q100" i="10" s="1"/>
  <c r="AA92" i="40"/>
  <c r="AE92" i="40" s="1"/>
  <c r="Q99" i="10" s="1"/>
  <c r="N83" i="40"/>
  <c r="I14" i="40" s="1"/>
  <c r="T56" i="40"/>
  <c r="P56" i="40"/>
  <c r="W56" i="40" s="1"/>
  <c r="Q90" i="10" s="1"/>
  <c r="T55" i="40"/>
  <c r="P55" i="40"/>
  <c r="W55" i="40" s="1"/>
  <c r="Q89" i="10" s="1"/>
  <c r="T54" i="40"/>
  <c r="P54" i="40"/>
  <c r="W54" i="40" s="1"/>
  <c r="Q88" i="10" s="1"/>
  <c r="T53" i="40"/>
  <c r="P53" i="40"/>
  <c r="W53" i="40" s="1"/>
  <c r="Q87" i="10" s="1"/>
  <c r="T52" i="40"/>
  <c r="P52" i="40"/>
  <c r="W52" i="40" s="1"/>
  <c r="Q86" i="10" s="1"/>
  <c r="T51" i="40"/>
  <c r="P51" i="40"/>
  <c r="W51" i="40" s="1"/>
  <c r="Q85" i="10" s="1"/>
  <c r="T50" i="40"/>
  <c r="P50" i="40"/>
  <c r="P49" i="40"/>
  <c r="P48" i="40"/>
  <c r="W48" i="40" s="1"/>
  <c r="Q82" i="10" s="1"/>
  <c r="P47" i="40"/>
  <c r="P46" i="40"/>
  <c r="W46" i="40" s="1"/>
  <c r="Q80" i="10" s="1"/>
  <c r="P45" i="40"/>
  <c r="P44" i="40"/>
  <c r="P43" i="40"/>
  <c r="W43" i="40" s="1"/>
  <c r="Q77" i="10" s="1"/>
  <c r="T42" i="40"/>
  <c r="P42" i="40"/>
  <c r="W42" i="40" s="1"/>
  <c r="N37" i="40"/>
  <c r="I9" i="40" s="1"/>
  <c r="T34" i="40"/>
  <c r="P34" i="40"/>
  <c r="W34" i="40" s="1"/>
  <c r="T33" i="40"/>
  <c r="P33" i="40"/>
  <c r="W33" i="40" s="1"/>
  <c r="T32" i="40"/>
  <c r="P32" i="40"/>
  <c r="W32" i="40" s="1"/>
  <c r="Q70" i="10" s="1"/>
  <c r="T31" i="40"/>
  <c r="P31" i="40"/>
  <c r="W31" i="40" s="1"/>
  <c r="Q69" i="10" s="1"/>
  <c r="T30" i="40"/>
  <c r="P30" i="40"/>
  <c r="W30" i="40" s="1"/>
  <c r="T29" i="40"/>
  <c r="P29" i="40"/>
  <c r="W29" i="40" s="1"/>
  <c r="T28" i="40"/>
  <c r="P28" i="40"/>
  <c r="W28" i="40" s="1"/>
  <c r="Q66" i="10" s="1"/>
  <c r="T27" i="40"/>
  <c r="P27" i="40"/>
  <c r="W27" i="40" s="1"/>
  <c r="Q65" i="10" s="1"/>
  <c r="K106" i="39"/>
  <c r="AA101" i="39"/>
  <c r="AE101" i="39" s="1"/>
  <c r="P108" i="10" s="1"/>
  <c r="AA100" i="39"/>
  <c r="AE100" i="39" s="1"/>
  <c r="P107" i="10" s="1"/>
  <c r="AA99" i="39"/>
  <c r="AE99" i="39" s="1"/>
  <c r="P106" i="10" s="1"/>
  <c r="AA98" i="39"/>
  <c r="AE98" i="39" s="1"/>
  <c r="P105" i="10" s="1"/>
  <c r="AA97" i="39"/>
  <c r="AE97" i="39" s="1"/>
  <c r="P104" i="10" s="1"/>
  <c r="AA96" i="39"/>
  <c r="AE96" i="39" s="1"/>
  <c r="P103" i="10" s="1"/>
  <c r="AA95" i="39"/>
  <c r="AE95" i="39" s="1"/>
  <c r="P102" i="10" s="1"/>
  <c r="AA94" i="39"/>
  <c r="AE94" i="39" s="1"/>
  <c r="P101" i="10" s="1"/>
  <c r="AA93" i="39"/>
  <c r="AE93" i="39" s="1"/>
  <c r="P100" i="10" s="1"/>
  <c r="AA92" i="39"/>
  <c r="AE92" i="39" s="1"/>
  <c r="P99" i="10" s="1"/>
  <c r="N83" i="39"/>
  <c r="I14" i="39" s="1"/>
  <c r="T56" i="39"/>
  <c r="P56" i="39"/>
  <c r="W56" i="39" s="1"/>
  <c r="P90" i="10" s="1"/>
  <c r="T55" i="39"/>
  <c r="P55" i="39"/>
  <c r="W55" i="39" s="1"/>
  <c r="P89" i="10" s="1"/>
  <c r="T54" i="39"/>
  <c r="P54" i="39"/>
  <c r="W54" i="39" s="1"/>
  <c r="P88" i="10" s="1"/>
  <c r="T53" i="39"/>
  <c r="P53" i="39"/>
  <c r="W53" i="39" s="1"/>
  <c r="P87" i="10" s="1"/>
  <c r="T52" i="39"/>
  <c r="P52" i="39"/>
  <c r="W52" i="39" s="1"/>
  <c r="P86" i="10" s="1"/>
  <c r="T51" i="39"/>
  <c r="P51" i="39"/>
  <c r="W51" i="39" s="1"/>
  <c r="P85" i="10" s="1"/>
  <c r="T50" i="39"/>
  <c r="P50" i="39"/>
  <c r="P49" i="39"/>
  <c r="P48" i="39"/>
  <c r="W48" i="39" s="1"/>
  <c r="P82" i="10" s="1"/>
  <c r="P47" i="39"/>
  <c r="P46" i="39"/>
  <c r="P45" i="39"/>
  <c r="P44" i="39"/>
  <c r="W44" i="39" s="1"/>
  <c r="P78" i="10" s="1"/>
  <c r="T43" i="39"/>
  <c r="P43" i="39"/>
  <c r="W43" i="39" s="1"/>
  <c r="P77" i="10" s="1"/>
  <c r="T42" i="39"/>
  <c r="P42" i="39"/>
  <c r="W42" i="39" s="1"/>
  <c r="N37" i="39"/>
  <c r="I9" i="39" s="1"/>
  <c r="T34" i="39"/>
  <c r="P34" i="39"/>
  <c r="W34" i="39" s="1"/>
  <c r="T33" i="39"/>
  <c r="P33" i="39"/>
  <c r="W33" i="39" s="1"/>
  <c r="T32" i="39"/>
  <c r="P32" i="39"/>
  <c r="W32" i="39" s="1"/>
  <c r="P70" i="10" s="1"/>
  <c r="T31" i="39"/>
  <c r="P31" i="39"/>
  <c r="W31" i="39" s="1"/>
  <c r="T30" i="39"/>
  <c r="P30" i="39"/>
  <c r="W30" i="39" s="1"/>
  <c r="P68" i="10" s="1"/>
  <c r="T29" i="39"/>
  <c r="P29" i="39"/>
  <c r="W29" i="39" s="1"/>
  <c r="T28" i="39"/>
  <c r="P28" i="39"/>
  <c r="W28" i="39" s="1"/>
  <c r="P66" i="10" s="1"/>
  <c r="T27" i="39"/>
  <c r="P27" i="39"/>
  <c r="W27" i="39" s="1"/>
  <c r="P65" i="10" s="1"/>
  <c r="K106" i="38"/>
  <c r="AA101" i="38"/>
  <c r="AE101" i="38" s="1"/>
  <c r="O108" i="10" s="1"/>
  <c r="AA100" i="38"/>
  <c r="AE100" i="38" s="1"/>
  <c r="O107" i="10" s="1"/>
  <c r="AA99" i="38"/>
  <c r="AE99" i="38" s="1"/>
  <c r="O106" i="10" s="1"/>
  <c r="AA98" i="38"/>
  <c r="AE98" i="38" s="1"/>
  <c r="O105" i="10" s="1"/>
  <c r="AA97" i="38"/>
  <c r="AE97" i="38" s="1"/>
  <c r="O104" i="10" s="1"/>
  <c r="AA96" i="38"/>
  <c r="AE96" i="38" s="1"/>
  <c r="O103" i="10" s="1"/>
  <c r="AA95" i="38"/>
  <c r="AE95" i="38" s="1"/>
  <c r="O102" i="10" s="1"/>
  <c r="AA94" i="38"/>
  <c r="AE94" i="38" s="1"/>
  <c r="O101" i="10" s="1"/>
  <c r="AA93" i="38"/>
  <c r="AE93" i="38" s="1"/>
  <c r="O100" i="10" s="1"/>
  <c r="AA92" i="38"/>
  <c r="AE92" i="38" s="1"/>
  <c r="O99" i="10" s="1"/>
  <c r="N83" i="38"/>
  <c r="I14" i="38" s="1"/>
  <c r="T56" i="38"/>
  <c r="P56" i="38"/>
  <c r="W56" i="38" s="1"/>
  <c r="O90" i="10" s="1"/>
  <c r="T55" i="38"/>
  <c r="P55" i="38"/>
  <c r="W55" i="38" s="1"/>
  <c r="O89" i="10" s="1"/>
  <c r="T54" i="38"/>
  <c r="P54" i="38"/>
  <c r="W54" i="38" s="1"/>
  <c r="O88" i="10" s="1"/>
  <c r="T53" i="38"/>
  <c r="P53" i="38"/>
  <c r="W53" i="38" s="1"/>
  <c r="O87" i="10" s="1"/>
  <c r="T52" i="38"/>
  <c r="P52" i="38"/>
  <c r="W52" i="38" s="1"/>
  <c r="O86" i="10" s="1"/>
  <c r="T51" i="38"/>
  <c r="P51" i="38"/>
  <c r="W51" i="38" s="1"/>
  <c r="O85" i="10" s="1"/>
  <c r="T50" i="38"/>
  <c r="P50" i="38"/>
  <c r="P49" i="38"/>
  <c r="T48" i="38"/>
  <c r="P48" i="38"/>
  <c r="W48" i="38" s="1"/>
  <c r="O82" i="10" s="1"/>
  <c r="T47" i="38"/>
  <c r="P47" i="38"/>
  <c r="P46" i="38"/>
  <c r="P45" i="38"/>
  <c r="T44" i="38"/>
  <c r="P44" i="38"/>
  <c r="P43" i="38"/>
  <c r="W43" i="38" s="1"/>
  <c r="O77" i="10" s="1"/>
  <c r="T42" i="38"/>
  <c r="P42" i="38"/>
  <c r="W42" i="38" s="1"/>
  <c r="N37" i="38"/>
  <c r="I9" i="38" s="1"/>
  <c r="T34" i="38"/>
  <c r="P34" i="38"/>
  <c r="W34" i="38" s="1"/>
  <c r="T33" i="38"/>
  <c r="P33" i="38"/>
  <c r="W33" i="38" s="1"/>
  <c r="O71" i="10" s="1"/>
  <c r="T32" i="38"/>
  <c r="P32" i="38"/>
  <c r="W32" i="38" s="1"/>
  <c r="T31" i="38"/>
  <c r="P31" i="38"/>
  <c r="W31" i="38" s="1"/>
  <c r="O69" i="10" s="1"/>
  <c r="T30" i="38"/>
  <c r="P30" i="38"/>
  <c r="W30" i="38" s="1"/>
  <c r="T29" i="38"/>
  <c r="P29" i="38"/>
  <c r="W29" i="38" s="1"/>
  <c r="T28" i="38"/>
  <c r="P28" i="38"/>
  <c r="W28" i="38" s="1"/>
  <c r="T27" i="38"/>
  <c r="P27" i="38"/>
  <c r="W27" i="38" s="1"/>
  <c r="O65" i="10" s="1"/>
  <c r="K106" i="37"/>
  <c r="AA101" i="37"/>
  <c r="AE101" i="37" s="1"/>
  <c r="N108" i="10" s="1"/>
  <c r="AA100" i="37"/>
  <c r="AE100" i="37" s="1"/>
  <c r="N107" i="10" s="1"/>
  <c r="AA99" i="37"/>
  <c r="AE99" i="37" s="1"/>
  <c r="N106" i="10" s="1"/>
  <c r="AA98" i="37"/>
  <c r="AE98" i="37" s="1"/>
  <c r="N105" i="10" s="1"/>
  <c r="AA97" i="37"/>
  <c r="AE97" i="37" s="1"/>
  <c r="N104" i="10" s="1"/>
  <c r="AA96" i="37"/>
  <c r="AE96" i="37" s="1"/>
  <c r="N103" i="10" s="1"/>
  <c r="AA95" i="37"/>
  <c r="AE95" i="37" s="1"/>
  <c r="N102" i="10" s="1"/>
  <c r="AA94" i="37"/>
  <c r="AE94" i="37" s="1"/>
  <c r="N101" i="10" s="1"/>
  <c r="AA93" i="37"/>
  <c r="AE93" i="37" s="1"/>
  <c r="N100" i="10" s="1"/>
  <c r="AA92" i="37"/>
  <c r="AE92" i="37" s="1"/>
  <c r="N99" i="10" s="1"/>
  <c r="N83" i="37"/>
  <c r="I14" i="37" s="1"/>
  <c r="T56" i="37"/>
  <c r="P56" i="37"/>
  <c r="W56" i="37" s="1"/>
  <c r="N90" i="10" s="1"/>
  <c r="T55" i="37"/>
  <c r="P55" i="37"/>
  <c r="W55" i="37" s="1"/>
  <c r="N89" i="10" s="1"/>
  <c r="T54" i="37"/>
  <c r="P54" i="37"/>
  <c r="W54" i="37" s="1"/>
  <c r="N88" i="10" s="1"/>
  <c r="T53" i="37"/>
  <c r="P53" i="37"/>
  <c r="W53" i="37" s="1"/>
  <c r="N87" i="10" s="1"/>
  <c r="T52" i="37"/>
  <c r="P52" i="37"/>
  <c r="W52" i="37" s="1"/>
  <c r="N86" i="10" s="1"/>
  <c r="T51" i="37"/>
  <c r="P51" i="37"/>
  <c r="W51" i="37" s="1"/>
  <c r="N85" i="10" s="1"/>
  <c r="T50" i="37"/>
  <c r="P50" i="37"/>
  <c r="P49" i="37"/>
  <c r="P48" i="37"/>
  <c r="W48" i="37" s="1"/>
  <c r="N82" i="10" s="1"/>
  <c r="P47" i="37"/>
  <c r="P46" i="37"/>
  <c r="P45" i="37"/>
  <c r="P44" i="37"/>
  <c r="P43" i="37"/>
  <c r="W43" i="37" s="1"/>
  <c r="N77" i="10" s="1"/>
  <c r="T42" i="37"/>
  <c r="P42" i="37"/>
  <c r="W42" i="37" s="1"/>
  <c r="N37" i="37"/>
  <c r="I9" i="37" s="1"/>
  <c r="T34" i="37"/>
  <c r="P34" i="37"/>
  <c r="W34" i="37" s="1"/>
  <c r="T33" i="37"/>
  <c r="P33" i="37"/>
  <c r="W33" i="37" s="1"/>
  <c r="T32" i="37"/>
  <c r="P32" i="37"/>
  <c r="W32" i="37" s="1"/>
  <c r="T31" i="37"/>
  <c r="P31" i="37"/>
  <c r="W31" i="37" s="1"/>
  <c r="N69" i="10" s="1"/>
  <c r="T30" i="37"/>
  <c r="P30" i="37"/>
  <c r="W30" i="37" s="1"/>
  <c r="T29" i="37"/>
  <c r="P29" i="37"/>
  <c r="W29" i="37" s="1"/>
  <c r="T28" i="37"/>
  <c r="P28" i="37"/>
  <c r="W28" i="37" s="1"/>
  <c r="T27" i="37"/>
  <c r="P27" i="37"/>
  <c r="W27" i="37" s="1"/>
  <c r="N65" i="10" s="1"/>
  <c r="K106" i="36"/>
  <c r="AA101" i="36"/>
  <c r="AE101" i="36" s="1"/>
  <c r="M108" i="10" s="1"/>
  <c r="AA100" i="36"/>
  <c r="AE100" i="36" s="1"/>
  <c r="M107" i="10" s="1"/>
  <c r="AA99" i="36"/>
  <c r="AE99" i="36" s="1"/>
  <c r="M106" i="10" s="1"/>
  <c r="AA98" i="36"/>
  <c r="AE98" i="36" s="1"/>
  <c r="M105" i="10" s="1"/>
  <c r="AA97" i="36"/>
  <c r="AE97" i="36" s="1"/>
  <c r="M104" i="10" s="1"/>
  <c r="AA96" i="36"/>
  <c r="AE96" i="36" s="1"/>
  <c r="M103" i="10" s="1"/>
  <c r="AA95" i="36"/>
  <c r="AE95" i="36" s="1"/>
  <c r="M102" i="10" s="1"/>
  <c r="AA94" i="36"/>
  <c r="AE94" i="36" s="1"/>
  <c r="M101" i="10" s="1"/>
  <c r="AA93" i="36"/>
  <c r="AE93" i="36" s="1"/>
  <c r="M100" i="10" s="1"/>
  <c r="AA92" i="36"/>
  <c r="AE92" i="36" s="1"/>
  <c r="M99" i="10" s="1"/>
  <c r="N83" i="36"/>
  <c r="I14" i="36" s="1"/>
  <c r="T56" i="36"/>
  <c r="P56" i="36"/>
  <c r="W56" i="36" s="1"/>
  <c r="M90" i="10" s="1"/>
  <c r="T55" i="36"/>
  <c r="P55" i="36"/>
  <c r="W55" i="36" s="1"/>
  <c r="M89" i="10" s="1"/>
  <c r="T54" i="36"/>
  <c r="P54" i="36"/>
  <c r="W54" i="36" s="1"/>
  <c r="M88" i="10" s="1"/>
  <c r="T53" i="36"/>
  <c r="P53" i="36"/>
  <c r="W53" i="36" s="1"/>
  <c r="M87" i="10" s="1"/>
  <c r="T52" i="36"/>
  <c r="P52" i="36"/>
  <c r="W52" i="36" s="1"/>
  <c r="M86" i="10" s="1"/>
  <c r="T51" i="36"/>
  <c r="P51" i="36"/>
  <c r="W51" i="36" s="1"/>
  <c r="M85" i="10" s="1"/>
  <c r="T50" i="36"/>
  <c r="P50" i="36"/>
  <c r="P49" i="36"/>
  <c r="P48" i="36"/>
  <c r="W48" i="36" s="1"/>
  <c r="M82" i="10" s="1"/>
  <c r="T47" i="36"/>
  <c r="P47" i="36"/>
  <c r="P46" i="36"/>
  <c r="T45" i="36"/>
  <c r="P45" i="36"/>
  <c r="T44" i="36"/>
  <c r="P44" i="36"/>
  <c r="P43" i="36"/>
  <c r="W43" i="36" s="1"/>
  <c r="M77" i="10" s="1"/>
  <c r="T42" i="36"/>
  <c r="P42" i="36"/>
  <c r="W42" i="36" s="1"/>
  <c r="N37" i="36"/>
  <c r="I9" i="36" s="1"/>
  <c r="T34" i="36"/>
  <c r="P34" i="36"/>
  <c r="W34" i="36" s="1"/>
  <c r="M72" i="10" s="1"/>
  <c r="T33" i="36"/>
  <c r="P33" i="36"/>
  <c r="W33" i="36" s="1"/>
  <c r="T32" i="36"/>
  <c r="P32" i="36"/>
  <c r="W32" i="36" s="1"/>
  <c r="T31" i="36"/>
  <c r="P31" i="36"/>
  <c r="W31" i="36" s="1"/>
  <c r="M69" i="10" s="1"/>
  <c r="T30" i="36"/>
  <c r="P30" i="36"/>
  <c r="W30" i="36" s="1"/>
  <c r="M68" i="10" s="1"/>
  <c r="T29" i="36"/>
  <c r="P29" i="36"/>
  <c r="W29" i="36" s="1"/>
  <c r="M67" i="10" s="1"/>
  <c r="T28" i="36"/>
  <c r="P28" i="36"/>
  <c r="W28" i="36" s="1"/>
  <c r="M66" i="10" s="1"/>
  <c r="T27" i="36"/>
  <c r="P27" i="36"/>
  <c r="W27" i="36" s="1"/>
  <c r="M65" i="10" s="1"/>
  <c r="K106" i="35"/>
  <c r="AA101" i="35"/>
  <c r="AE101" i="35" s="1"/>
  <c r="L108" i="10" s="1"/>
  <c r="AA100" i="35"/>
  <c r="AE100" i="35" s="1"/>
  <c r="L107" i="10" s="1"/>
  <c r="AA99" i="35"/>
  <c r="AE99" i="35" s="1"/>
  <c r="L106" i="10" s="1"/>
  <c r="AA98" i="35"/>
  <c r="AE98" i="35" s="1"/>
  <c r="L105" i="10" s="1"/>
  <c r="AA97" i="35"/>
  <c r="AE97" i="35" s="1"/>
  <c r="L104" i="10" s="1"/>
  <c r="AA96" i="35"/>
  <c r="AE96" i="35" s="1"/>
  <c r="L103" i="10" s="1"/>
  <c r="AA95" i="35"/>
  <c r="AE95" i="35" s="1"/>
  <c r="L102" i="10" s="1"/>
  <c r="AA94" i="35"/>
  <c r="AE94" i="35" s="1"/>
  <c r="L101" i="10" s="1"/>
  <c r="AA93" i="35"/>
  <c r="AE93" i="35" s="1"/>
  <c r="L100" i="10" s="1"/>
  <c r="AA92" i="35"/>
  <c r="AE92" i="35" s="1"/>
  <c r="L99" i="10" s="1"/>
  <c r="N83" i="35"/>
  <c r="I14" i="35" s="1"/>
  <c r="T56" i="35"/>
  <c r="P56" i="35"/>
  <c r="W56" i="35" s="1"/>
  <c r="L90" i="10" s="1"/>
  <c r="T55" i="35"/>
  <c r="P55" i="35"/>
  <c r="W55" i="35" s="1"/>
  <c r="L89" i="10" s="1"/>
  <c r="T54" i="35"/>
  <c r="P54" i="35"/>
  <c r="W54" i="35" s="1"/>
  <c r="L88" i="10" s="1"/>
  <c r="T53" i="35"/>
  <c r="P53" i="35"/>
  <c r="W53" i="35" s="1"/>
  <c r="L87" i="10" s="1"/>
  <c r="T52" i="35"/>
  <c r="P52" i="35"/>
  <c r="W52" i="35" s="1"/>
  <c r="L86" i="10" s="1"/>
  <c r="T51" i="35"/>
  <c r="P51" i="35"/>
  <c r="W51" i="35" s="1"/>
  <c r="L85" i="10" s="1"/>
  <c r="T50" i="35"/>
  <c r="P50" i="35"/>
  <c r="T49" i="35"/>
  <c r="P49" i="35"/>
  <c r="T48" i="35"/>
  <c r="P48" i="35"/>
  <c r="W48" i="35" s="1"/>
  <c r="L82" i="10" s="1"/>
  <c r="T47" i="35"/>
  <c r="P47" i="35"/>
  <c r="T46" i="35"/>
  <c r="P46" i="35"/>
  <c r="W46" i="35" s="1"/>
  <c r="L80" i="10" s="1"/>
  <c r="T45" i="35"/>
  <c r="P45" i="35"/>
  <c r="T44" i="35"/>
  <c r="P44" i="35"/>
  <c r="T43" i="35"/>
  <c r="P43" i="35"/>
  <c r="W43" i="35" s="1"/>
  <c r="L77" i="10" s="1"/>
  <c r="T42" i="35"/>
  <c r="P42" i="35"/>
  <c r="W42" i="35" s="1"/>
  <c r="N37" i="35"/>
  <c r="I9" i="35" s="1"/>
  <c r="T34" i="35"/>
  <c r="P34" i="35"/>
  <c r="W34" i="35" s="1"/>
  <c r="L72" i="10" s="1"/>
  <c r="T33" i="35"/>
  <c r="P33" i="35"/>
  <c r="W33" i="35" s="1"/>
  <c r="L71" i="10" s="1"/>
  <c r="T32" i="35"/>
  <c r="P32" i="35"/>
  <c r="W32" i="35" s="1"/>
  <c r="T31" i="35"/>
  <c r="P31" i="35"/>
  <c r="W31" i="35" s="1"/>
  <c r="L69" i="10" s="1"/>
  <c r="T30" i="35"/>
  <c r="P30" i="35"/>
  <c r="W30" i="35" s="1"/>
  <c r="T29" i="35"/>
  <c r="P29" i="35"/>
  <c r="W29" i="35" s="1"/>
  <c r="L67" i="10" s="1"/>
  <c r="T28" i="35"/>
  <c r="P28" i="35"/>
  <c r="W28" i="35" s="1"/>
  <c r="T27" i="35"/>
  <c r="P27" i="35"/>
  <c r="W27" i="35" s="1"/>
  <c r="L65" i="10" s="1"/>
  <c r="K106" i="34"/>
  <c r="AA101" i="34"/>
  <c r="AE101" i="34" s="1"/>
  <c r="K108" i="10" s="1"/>
  <c r="AA100" i="34"/>
  <c r="AE100" i="34" s="1"/>
  <c r="K107" i="10" s="1"/>
  <c r="AA99" i="34"/>
  <c r="AE99" i="34" s="1"/>
  <c r="K106" i="10" s="1"/>
  <c r="AA98" i="34"/>
  <c r="AE98" i="34" s="1"/>
  <c r="K105" i="10" s="1"/>
  <c r="AA97" i="34"/>
  <c r="AE97" i="34" s="1"/>
  <c r="K104" i="10" s="1"/>
  <c r="AA96" i="34"/>
  <c r="AE96" i="34" s="1"/>
  <c r="K103" i="10" s="1"/>
  <c r="AA95" i="34"/>
  <c r="AE95" i="34" s="1"/>
  <c r="K102" i="10" s="1"/>
  <c r="AA94" i="34"/>
  <c r="AE94" i="34" s="1"/>
  <c r="K101" i="10" s="1"/>
  <c r="AA93" i="34"/>
  <c r="AE93" i="34" s="1"/>
  <c r="K100" i="10" s="1"/>
  <c r="AA92" i="34"/>
  <c r="AE92" i="34" s="1"/>
  <c r="K99" i="10" s="1"/>
  <c r="N83" i="34"/>
  <c r="I14" i="34" s="1"/>
  <c r="P56" i="34"/>
  <c r="W56" i="34" s="1"/>
  <c r="K90" i="10" s="1"/>
  <c r="P55" i="34"/>
  <c r="P54" i="34"/>
  <c r="P53" i="34"/>
  <c r="W53" i="34" s="1"/>
  <c r="P52" i="34"/>
  <c r="W52" i="34" s="1"/>
  <c r="P51" i="34"/>
  <c r="W51" i="34" s="1"/>
  <c r="K85" i="10" s="1"/>
  <c r="P50" i="34"/>
  <c r="P49" i="34"/>
  <c r="P48" i="34"/>
  <c r="W48" i="34" s="1"/>
  <c r="K82" i="10" s="1"/>
  <c r="P47" i="34"/>
  <c r="P46" i="34"/>
  <c r="P45" i="34"/>
  <c r="P44" i="34"/>
  <c r="P43" i="34"/>
  <c r="W43" i="34" s="1"/>
  <c r="K77" i="10" s="1"/>
  <c r="P42" i="34"/>
  <c r="W42" i="34" s="1"/>
  <c r="N37" i="34"/>
  <c r="I9" i="34" s="1"/>
  <c r="T34" i="34"/>
  <c r="P34" i="34"/>
  <c r="W34" i="34" s="1"/>
  <c r="K72" i="10" s="1"/>
  <c r="T33" i="34"/>
  <c r="P33" i="34"/>
  <c r="W33" i="34" s="1"/>
  <c r="T32" i="34"/>
  <c r="P32" i="34"/>
  <c r="W32" i="34" s="1"/>
  <c r="T31" i="34"/>
  <c r="P31" i="34"/>
  <c r="W31" i="34" s="1"/>
  <c r="K69" i="10" s="1"/>
  <c r="T30" i="34"/>
  <c r="P30" i="34"/>
  <c r="W30" i="34" s="1"/>
  <c r="T29" i="34"/>
  <c r="P29" i="34"/>
  <c r="W29" i="34" s="1"/>
  <c r="T28" i="34"/>
  <c r="P28" i="34"/>
  <c r="W28" i="34" s="1"/>
  <c r="K66" i="10" s="1"/>
  <c r="T27" i="34"/>
  <c r="P27" i="34"/>
  <c r="W27" i="34" s="1"/>
  <c r="K65" i="10" s="1"/>
  <c r="K106" i="33"/>
  <c r="AA101" i="33"/>
  <c r="AE101" i="33" s="1"/>
  <c r="J108" i="10" s="1"/>
  <c r="AA100" i="33"/>
  <c r="AE100" i="33" s="1"/>
  <c r="J107" i="10" s="1"/>
  <c r="AA99" i="33"/>
  <c r="AE99" i="33" s="1"/>
  <c r="J106" i="10" s="1"/>
  <c r="AA98" i="33"/>
  <c r="AE98" i="33" s="1"/>
  <c r="J105" i="10" s="1"/>
  <c r="AA97" i="33"/>
  <c r="AE97" i="33" s="1"/>
  <c r="J104" i="10" s="1"/>
  <c r="AA96" i="33"/>
  <c r="AE96" i="33" s="1"/>
  <c r="J103" i="10" s="1"/>
  <c r="AA95" i="33"/>
  <c r="AE95" i="33" s="1"/>
  <c r="J102" i="10" s="1"/>
  <c r="AA94" i="33"/>
  <c r="AE94" i="33" s="1"/>
  <c r="J101" i="10" s="1"/>
  <c r="AA93" i="33"/>
  <c r="AE93" i="33" s="1"/>
  <c r="J100" i="10" s="1"/>
  <c r="AA92" i="33"/>
  <c r="N83" i="33"/>
  <c r="I14" i="33" s="1"/>
  <c r="T56" i="33"/>
  <c r="P56" i="33"/>
  <c r="W56" i="33" s="1"/>
  <c r="J90" i="10" s="1"/>
  <c r="T55" i="33"/>
  <c r="P55" i="33"/>
  <c r="W55" i="33" s="1"/>
  <c r="J89" i="10" s="1"/>
  <c r="T54" i="33"/>
  <c r="P54" i="33"/>
  <c r="W54" i="33" s="1"/>
  <c r="J88" i="10" s="1"/>
  <c r="T53" i="33"/>
  <c r="P53" i="33"/>
  <c r="W53" i="33" s="1"/>
  <c r="T52" i="33"/>
  <c r="P52" i="33"/>
  <c r="W52" i="33" s="1"/>
  <c r="J86" i="10" s="1"/>
  <c r="T51" i="33"/>
  <c r="P51" i="33"/>
  <c r="W51" i="33" s="1"/>
  <c r="J85" i="10" s="1"/>
  <c r="T50" i="33"/>
  <c r="P50" i="33"/>
  <c r="T49" i="33"/>
  <c r="P49" i="33"/>
  <c r="T48" i="33"/>
  <c r="P48" i="33"/>
  <c r="W48" i="33" s="1"/>
  <c r="T47" i="33"/>
  <c r="P47" i="33"/>
  <c r="T46" i="33"/>
  <c r="P46" i="33"/>
  <c r="T45" i="33"/>
  <c r="P45" i="33"/>
  <c r="T44" i="33"/>
  <c r="P44" i="33"/>
  <c r="T43" i="33"/>
  <c r="P43" i="33"/>
  <c r="W43" i="33" s="1"/>
  <c r="J77" i="10" s="1"/>
  <c r="T42" i="33"/>
  <c r="P42" i="33"/>
  <c r="W42" i="33" s="1"/>
  <c r="J76" i="10" s="1"/>
  <c r="N37" i="33"/>
  <c r="I9" i="33" s="1"/>
  <c r="T34" i="33"/>
  <c r="P34" i="33"/>
  <c r="W34" i="33" s="1"/>
  <c r="T33" i="33"/>
  <c r="P33" i="33"/>
  <c r="W33" i="33" s="1"/>
  <c r="J71" i="10" s="1"/>
  <c r="T32" i="33"/>
  <c r="P32" i="33"/>
  <c r="W32" i="33" s="1"/>
  <c r="T31" i="33"/>
  <c r="P31" i="33"/>
  <c r="W31" i="33" s="1"/>
  <c r="T30" i="33"/>
  <c r="P30" i="33"/>
  <c r="W30" i="33" s="1"/>
  <c r="J68" i="10" s="1"/>
  <c r="T29" i="33"/>
  <c r="P29" i="33"/>
  <c r="W29" i="33" s="1"/>
  <c r="J67" i="10" s="1"/>
  <c r="T28" i="33"/>
  <c r="P28" i="33"/>
  <c r="W28" i="33" s="1"/>
  <c r="J66" i="10" s="1"/>
  <c r="T27" i="33"/>
  <c r="P27" i="33"/>
  <c r="W27" i="33" s="1"/>
  <c r="J65" i="10" s="1"/>
  <c r="K106" i="32"/>
  <c r="AA101" i="32"/>
  <c r="AE101" i="32" s="1"/>
  <c r="I108" i="10" s="1"/>
  <c r="AA100" i="32"/>
  <c r="AE100" i="32" s="1"/>
  <c r="I107" i="10" s="1"/>
  <c r="AA99" i="32"/>
  <c r="AE99" i="32" s="1"/>
  <c r="I106" i="10" s="1"/>
  <c r="AA98" i="32"/>
  <c r="AE98" i="32" s="1"/>
  <c r="I105" i="10" s="1"/>
  <c r="AA97" i="32"/>
  <c r="AE97" i="32" s="1"/>
  <c r="I104" i="10" s="1"/>
  <c r="AA96" i="32"/>
  <c r="AE96" i="32" s="1"/>
  <c r="I103" i="10" s="1"/>
  <c r="AA95" i="32"/>
  <c r="AE95" i="32" s="1"/>
  <c r="I102" i="10" s="1"/>
  <c r="AA94" i="32"/>
  <c r="AE94" i="32" s="1"/>
  <c r="I101" i="10" s="1"/>
  <c r="AA93" i="32"/>
  <c r="AE93" i="32" s="1"/>
  <c r="I100" i="10" s="1"/>
  <c r="AA92" i="32"/>
  <c r="AE92" i="32" s="1"/>
  <c r="I99" i="10" s="1"/>
  <c r="N83" i="32"/>
  <c r="I14" i="32" s="1"/>
  <c r="T56" i="32"/>
  <c r="X56" i="32" s="1"/>
  <c r="P56" i="32"/>
  <c r="T55" i="32"/>
  <c r="P55" i="32"/>
  <c r="W55" i="32" s="1"/>
  <c r="I89" i="10" s="1"/>
  <c r="T54" i="32"/>
  <c r="P54" i="32"/>
  <c r="W54" i="32" s="1"/>
  <c r="I88" i="10" s="1"/>
  <c r="T53" i="32"/>
  <c r="P53" i="32"/>
  <c r="W53" i="32" s="1"/>
  <c r="I87" i="10" s="1"/>
  <c r="T52" i="32"/>
  <c r="P52" i="32"/>
  <c r="W52" i="32" s="1"/>
  <c r="I86" i="10" s="1"/>
  <c r="T51" i="32"/>
  <c r="P51" i="32"/>
  <c r="W51" i="32" s="1"/>
  <c r="I85" i="10" s="1"/>
  <c r="T50" i="32"/>
  <c r="P50" i="32"/>
  <c r="T49" i="32"/>
  <c r="P49" i="32"/>
  <c r="T48" i="32"/>
  <c r="P48" i="32"/>
  <c r="W48" i="32" s="1"/>
  <c r="I82" i="10" s="1"/>
  <c r="T47" i="32"/>
  <c r="P47" i="32"/>
  <c r="T46" i="32"/>
  <c r="P46" i="32"/>
  <c r="W46" i="32" s="1"/>
  <c r="I80" i="10" s="1"/>
  <c r="T45" i="32"/>
  <c r="P45" i="32"/>
  <c r="T44" i="32"/>
  <c r="P44" i="32"/>
  <c r="T43" i="32"/>
  <c r="P43" i="32"/>
  <c r="W43" i="32" s="1"/>
  <c r="I77" i="10" s="1"/>
  <c r="T42" i="32"/>
  <c r="P42" i="32"/>
  <c r="W42" i="32" s="1"/>
  <c r="N37" i="32"/>
  <c r="I9" i="32" s="1"/>
  <c r="T34" i="32"/>
  <c r="P34" i="32"/>
  <c r="W34" i="32" s="1"/>
  <c r="T33" i="32"/>
  <c r="P33" i="32"/>
  <c r="W33" i="32" s="1"/>
  <c r="I71" i="10" s="1"/>
  <c r="T32" i="32"/>
  <c r="P32" i="32"/>
  <c r="W32" i="32" s="1"/>
  <c r="I70" i="10" s="1"/>
  <c r="T31" i="32"/>
  <c r="P31" i="32"/>
  <c r="W31" i="32" s="1"/>
  <c r="T30" i="32"/>
  <c r="P30" i="32"/>
  <c r="W30" i="32" s="1"/>
  <c r="T29" i="32"/>
  <c r="P29" i="32"/>
  <c r="W29" i="32" s="1"/>
  <c r="I67" i="10" s="1"/>
  <c r="T28" i="32"/>
  <c r="P28" i="32"/>
  <c r="W28" i="32" s="1"/>
  <c r="I66" i="10" s="1"/>
  <c r="T27" i="32"/>
  <c r="P27" i="32"/>
  <c r="W27" i="32" s="1"/>
  <c r="I65" i="10" s="1"/>
  <c r="K106" i="31"/>
  <c r="AA101" i="31"/>
  <c r="AE101" i="31" s="1"/>
  <c r="H108" i="10" s="1"/>
  <c r="AA100" i="31"/>
  <c r="AE100" i="31" s="1"/>
  <c r="H107" i="10" s="1"/>
  <c r="AA99" i="31"/>
  <c r="AE99" i="31" s="1"/>
  <c r="H106" i="10" s="1"/>
  <c r="AA98" i="31"/>
  <c r="AE98" i="31" s="1"/>
  <c r="H105" i="10" s="1"/>
  <c r="AA97" i="31"/>
  <c r="AE97" i="31" s="1"/>
  <c r="H104" i="10" s="1"/>
  <c r="AA96" i="31"/>
  <c r="AE96" i="31" s="1"/>
  <c r="H103" i="10" s="1"/>
  <c r="AA95" i="31"/>
  <c r="AE95" i="31" s="1"/>
  <c r="H102" i="10" s="1"/>
  <c r="AA94" i="31"/>
  <c r="AE94" i="31" s="1"/>
  <c r="H101" i="10" s="1"/>
  <c r="AA93" i="31"/>
  <c r="AE93" i="31" s="1"/>
  <c r="H100" i="10" s="1"/>
  <c r="AA92" i="31"/>
  <c r="AE92" i="31" s="1"/>
  <c r="H99" i="10" s="1"/>
  <c r="N83" i="31"/>
  <c r="I14" i="31" s="1"/>
  <c r="T56" i="31"/>
  <c r="X56" i="31" s="1"/>
  <c r="P56" i="31"/>
  <c r="T55" i="31"/>
  <c r="P55" i="31"/>
  <c r="W55" i="31" s="1"/>
  <c r="H89" i="10" s="1"/>
  <c r="T54" i="31"/>
  <c r="P54" i="31"/>
  <c r="W54" i="31" s="1"/>
  <c r="H88" i="10" s="1"/>
  <c r="T53" i="31"/>
  <c r="P53" i="31"/>
  <c r="W53" i="31" s="1"/>
  <c r="H87" i="10" s="1"/>
  <c r="T52" i="31"/>
  <c r="P52" i="31"/>
  <c r="W52" i="31" s="1"/>
  <c r="H86" i="10" s="1"/>
  <c r="T51" i="31"/>
  <c r="P51" i="31"/>
  <c r="W51" i="31" s="1"/>
  <c r="H85" i="10" s="1"/>
  <c r="T50" i="31"/>
  <c r="P50" i="31"/>
  <c r="T49" i="31"/>
  <c r="P49" i="31"/>
  <c r="T48" i="31"/>
  <c r="P48" i="31"/>
  <c r="W48" i="31" s="1"/>
  <c r="H82" i="10" s="1"/>
  <c r="T47" i="31"/>
  <c r="P47" i="31"/>
  <c r="T46" i="31"/>
  <c r="P46" i="31"/>
  <c r="W46" i="31" s="1"/>
  <c r="H80" i="10" s="1"/>
  <c r="T45" i="31"/>
  <c r="P45" i="31"/>
  <c r="T44" i="31"/>
  <c r="P44" i="31"/>
  <c r="T43" i="31"/>
  <c r="P43" i="31"/>
  <c r="W43" i="31" s="1"/>
  <c r="H77" i="10" s="1"/>
  <c r="T42" i="31"/>
  <c r="P42" i="31"/>
  <c r="W42" i="31" s="1"/>
  <c r="N37" i="31"/>
  <c r="I9" i="31" s="1"/>
  <c r="T34" i="31"/>
  <c r="P34" i="31"/>
  <c r="W34" i="31" s="1"/>
  <c r="H72" i="10" s="1"/>
  <c r="T33" i="31"/>
  <c r="P33" i="31"/>
  <c r="W33" i="31" s="1"/>
  <c r="T32" i="31"/>
  <c r="P32" i="31"/>
  <c r="W32" i="31" s="1"/>
  <c r="H70" i="10" s="1"/>
  <c r="T31" i="31"/>
  <c r="P31" i="31"/>
  <c r="W31" i="31" s="1"/>
  <c r="H69" i="10" s="1"/>
  <c r="T30" i="31"/>
  <c r="P30" i="31"/>
  <c r="W30" i="31" s="1"/>
  <c r="T29" i="31"/>
  <c r="P29" i="31"/>
  <c r="W29" i="31" s="1"/>
  <c r="H67" i="10" s="1"/>
  <c r="T28" i="31"/>
  <c r="P28" i="31"/>
  <c r="W28" i="31" s="1"/>
  <c r="H66" i="10" s="1"/>
  <c r="T27" i="31"/>
  <c r="P27" i="31"/>
  <c r="W27" i="31" s="1"/>
  <c r="H65" i="10" s="1"/>
  <c r="K106" i="30"/>
  <c r="AA101" i="30"/>
  <c r="AE101" i="30" s="1"/>
  <c r="G108" i="10" s="1"/>
  <c r="AA100" i="30"/>
  <c r="AE100" i="30" s="1"/>
  <c r="G107" i="10" s="1"/>
  <c r="AA99" i="30"/>
  <c r="AE99" i="30" s="1"/>
  <c r="G106" i="10" s="1"/>
  <c r="AA98" i="30"/>
  <c r="AE98" i="30" s="1"/>
  <c r="G105" i="10" s="1"/>
  <c r="AA97" i="30"/>
  <c r="AE97" i="30" s="1"/>
  <c r="G104" i="10" s="1"/>
  <c r="AA96" i="30"/>
  <c r="AE96" i="30" s="1"/>
  <c r="G103" i="10" s="1"/>
  <c r="AA95" i="30"/>
  <c r="AE95" i="30" s="1"/>
  <c r="G102" i="10" s="1"/>
  <c r="AA94" i="30"/>
  <c r="AE94" i="30" s="1"/>
  <c r="G101" i="10" s="1"/>
  <c r="AA93" i="30"/>
  <c r="AE93" i="30" s="1"/>
  <c r="G100" i="10" s="1"/>
  <c r="AA92" i="30"/>
  <c r="AE92" i="30" s="1"/>
  <c r="G99" i="10" s="1"/>
  <c r="N83" i="30"/>
  <c r="I14" i="30" s="1"/>
  <c r="T56" i="30"/>
  <c r="X56" i="30" s="1"/>
  <c r="P56" i="30"/>
  <c r="T55" i="30"/>
  <c r="P55" i="30"/>
  <c r="W55" i="30" s="1"/>
  <c r="G89" i="10" s="1"/>
  <c r="T54" i="30"/>
  <c r="P54" i="30"/>
  <c r="W54" i="30" s="1"/>
  <c r="G88" i="10" s="1"/>
  <c r="T53" i="30"/>
  <c r="P53" i="30"/>
  <c r="W53" i="30" s="1"/>
  <c r="G87" i="10" s="1"/>
  <c r="T52" i="30"/>
  <c r="P52" i="30"/>
  <c r="T51" i="30"/>
  <c r="P51" i="30"/>
  <c r="T50" i="30"/>
  <c r="P50" i="30"/>
  <c r="T49" i="30"/>
  <c r="P49" i="30"/>
  <c r="T48" i="30"/>
  <c r="P48" i="30"/>
  <c r="W48" i="30" s="1"/>
  <c r="G82" i="10" s="1"/>
  <c r="T47" i="30"/>
  <c r="P47" i="30"/>
  <c r="T46" i="30"/>
  <c r="P46" i="30"/>
  <c r="T45" i="30"/>
  <c r="P45" i="30"/>
  <c r="T44" i="30"/>
  <c r="P44" i="30"/>
  <c r="T43" i="30"/>
  <c r="P43" i="30"/>
  <c r="W43" i="30" s="1"/>
  <c r="G77" i="10" s="1"/>
  <c r="T42" i="30"/>
  <c r="P42" i="30"/>
  <c r="W42" i="30" s="1"/>
  <c r="N37" i="30"/>
  <c r="I9" i="30" s="1"/>
  <c r="T34" i="30"/>
  <c r="P34" i="30"/>
  <c r="W34" i="30" s="1"/>
  <c r="T33" i="30"/>
  <c r="P33" i="30"/>
  <c r="W33" i="30" s="1"/>
  <c r="G71" i="10" s="1"/>
  <c r="T32" i="30"/>
  <c r="P32" i="30"/>
  <c r="W32" i="30" s="1"/>
  <c r="G70" i="10" s="1"/>
  <c r="T31" i="30"/>
  <c r="P31" i="30"/>
  <c r="W31" i="30" s="1"/>
  <c r="G69" i="10" s="1"/>
  <c r="T30" i="30"/>
  <c r="P30" i="30"/>
  <c r="W30" i="30" s="1"/>
  <c r="G68" i="10" s="1"/>
  <c r="T29" i="30"/>
  <c r="P29" i="30"/>
  <c r="W29" i="30" s="1"/>
  <c r="G67" i="10" s="1"/>
  <c r="T28" i="30"/>
  <c r="P28" i="30"/>
  <c r="W28" i="30" s="1"/>
  <c r="P27" i="30"/>
  <c r="K106" i="29"/>
  <c r="AA93" i="29"/>
  <c r="AE93" i="29" s="1"/>
  <c r="F100" i="10" s="1"/>
  <c r="AA94" i="29"/>
  <c r="AE94" i="29" s="1"/>
  <c r="F101" i="10" s="1"/>
  <c r="AA95" i="29"/>
  <c r="AE95" i="29" s="1"/>
  <c r="F102" i="10" s="1"/>
  <c r="AA96" i="29"/>
  <c r="AE96" i="29" s="1"/>
  <c r="F103" i="10" s="1"/>
  <c r="AA97" i="29"/>
  <c r="AE97" i="29" s="1"/>
  <c r="F104" i="10" s="1"/>
  <c r="AA98" i="29"/>
  <c r="AE98" i="29" s="1"/>
  <c r="F105" i="10" s="1"/>
  <c r="AA99" i="29"/>
  <c r="AE99" i="29" s="1"/>
  <c r="F106" i="10" s="1"/>
  <c r="AA100" i="29"/>
  <c r="AE100" i="29" s="1"/>
  <c r="F107" i="10" s="1"/>
  <c r="AA101" i="29"/>
  <c r="AE101" i="29" s="1"/>
  <c r="F108" i="10" s="1"/>
  <c r="AA92" i="29"/>
  <c r="AE92" i="29" s="1"/>
  <c r="F99" i="10" s="1"/>
  <c r="T50" i="29"/>
  <c r="T51" i="29"/>
  <c r="T52" i="29"/>
  <c r="T53" i="29"/>
  <c r="T54" i="29"/>
  <c r="T55" i="29"/>
  <c r="T56" i="29"/>
  <c r="X56" i="29" s="1"/>
  <c r="T43" i="29"/>
  <c r="T44" i="29"/>
  <c r="T45" i="29"/>
  <c r="T46" i="29"/>
  <c r="T47" i="29"/>
  <c r="T48" i="29"/>
  <c r="T49" i="29"/>
  <c r="T42" i="29"/>
  <c r="P51" i="29"/>
  <c r="W51" i="29" s="1"/>
  <c r="F85" i="10" s="1"/>
  <c r="P52" i="29"/>
  <c r="W52" i="29" s="1"/>
  <c r="F86" i="10" s="1"/>
  <c r="P53" i="29"/>
  <c r="W53" i="29" s="1"/>
  <c r="F87" i="10" s="1"/>
  <c r="P54" i="29"/>
  <c r="P55" i="29"/>
  <c r="W55" i="29" s="1"/>
  <c r="F89" i="10" s="1"/>
  <c r="P56" i="29"/>
  <c r="P43" i="29"/>
  <c r="W43" i="29" s="1"/>
  <c r="F77" i="10" s="1"/>
  <c r="P44" i="29"/>
  <c r="P45" i="29"/>
  <c r="P46" i="29"/>
  <c r="W46" i="29" s="1"/>
  <c r="F80" i="10" s="1"/>
  <c r="P47" i="29"/>
  <c r="P48" i="29"/>
  <c r="P49" i="29"/>
  <c r="P50" i="29"/>
  <c r="P42" i="29"/>
  <c r="W42" i="29" s="1"/>
  <c r="P28" i="29"/>
  <c r="W28" i="29" s="1"/>
  <c r="F66" i="10" s="1"/>
  <c r="P29" i="29"/>
  <c r="W29" i="29" s="1"/>
  <c r="F67" i="10" s="1"/>
  <c r="P30" i="29"/>
  <c r="W30" i="29" s="1"/>
  <c r="F68" i="10" s="1"/>
  <c r="P31" i="29"/>
  <c r="W31" i="29" s="1"/>
  <c r="F69" i="10" s="1"/>
  <c r="P32" i="29"/>
  <c r="W32" i="29" s="1"/>
  <c r="F70" i="10" s="1"/>
  <c r="P33" i="29"/>
  <c r="W33" i="29" s="1"/>
  <c r="F71" i="10" s="1"/>
  <c r="P34" i="29"/>
  <c r="W34" i="29" s="1"/>
  <c r="F72" i="10" s="1"/>
  <c r="P27" i="29"/>
  <c r="W27" i="29" s="1"/>
  <c r="F65" i="10" s="1"/>
  <c r="N83" i="29"/>
  <c r="F34" i="28"/>
  <c r="T28" i="29"/>
  <c r="T29" i="29"/>
  <c r="T30" i="29"/>
  <c r="T31" i="29"/>
  <c r="T32" i="29"/>
  <c r="T33" i="29"/>
  <c r="T34" i="29"/>
  <c r="T27" i="29"/>
  <c r="N37" i="29"/>
  <c r="I9" i="29" s="1"/>
  <c r="E26" i="28"/>
  <c r="F26" i="28"/>
  <c r="E27" i="28"/>
  <c r="F27" i="28"/>
  <c r="E28" i="28"/>
  <c r="F28" i="28"/>
  <c r="E29" i="28"/>
  <c r="F29" i="28"/>
  <c r="E30" i="28"/>
  <c r="F30" i="28"/>
  <c r="E31" i="28"/>
  <c r="F31" i="28"/>
  <c r="E32" i="28"/>
  <c r="F32" i="28"/>
  <c r="E33" i="28"/>
  <c r="F33" i="28"/>
  <c r="E34" i="28"/>
  <c r="E35" i="28"/>
  <c r="F35" i="28"/>
  <c r="E36" i="28"/>
  <c r="F36" i="28"/>
  <c r="E37" i="28"/>
  <c r="F37" i="28"/>
  <c r="E38" i="28"/>
  <c r="F38" i="28"/>
  <c r="E39" i="28"/>
  <c r="F39" i="28"/>
  <c r="E40" i="28"/>
  <c r="F40" i="28"/>
  <c r="E11" i="28"/>
  <c r="F11" i="28"/>
  <c r="E12" i="28"/>
  <c r="F12" i="28"/>
  <c r="E13" i="28"/>
  <c r="F13" i="28"/>
  <c r="E14" i="28"/>
  <c r="F14" i="28"/>
  <c r="E15" i="28"/>
  <c r="F15" i="28"/>
  <c r="E16" i="28"/>
  <c r="F16" i="28"/>
  <c r="E17" i="28"/>
  <c r="F17" i="28"/>
  <c r="E18" i="28"/>
  <c r="F18" i="28"/>
  <c r="L19" i="28"/>
  <c r="X56" i="38" l="1"/>
  <c r="X56" i="35"/>
  <c r="W44" i="32"/>
  <c r="I78" i="10" s="1"/>
  <c r="W44" i="34"/>
  <c r="K78" i="10" s="1"/>
  <c r="X56" i="37"/>
  <c r="X56" i="40"/>
  <c r="X56" i="36"/>
  <c r="X56" i="39"/>
  <c r="X56" i="33"/>
  <c r="X56" i="34"/>
  <c r="AE92" i="33"/>
  <c r="J99" i="10" s="1"/>
  <c r="R90" i="10"/>
  <c r="W44" i="38"/>
  <c r="O78" i="10" s="1"/>
  <c r="W44" i="30"/>
  <c r="G78" i="10" s="1"/>
  <c r="W44" i="40"/>
  <c r="Q78" i="10" s="1"/>
  <c r="W44" i="33"/>
  <c r="J78" i="10" s="1"/>
  <c r="W44" i="31"/>
  <c r="H78" i="10" s="1"/>
  <c r="W44" i="36"/>
  <c r="M78" i="10" s="1"/>
  <c r="I14" i="29"/>
  <c r="O135" i="40"/>
  <c r="O140" i="40" s="1"/>
  <c r="I135" i="40"/>
  <c r="I140" i="40" s="1"/>
  <c r="W49" i="39"/>
  <c r="P83" i="10" s="1"/>
  <c r="W49" i="32"/>
  <c r="I83" i="10" s="1"/>
  <c r="W50" i="38"/>
  <c r="O84" i="10" s="1"/>
  <c r="W50" i="40"/>
  <c r="Q84" i="10" s="1"/>
  <c r="W50" i="37"/>
  <c r="N84" i="10" s="1"/>
  <c r="W49" i="38"/>
  <c r="O83" i="10" s="1"/>
  <c r="W49" i="33"/>
  <c r="J83" i="10" s="1"/>
  <c r="W49" i="31"/>
  <c r="H83" i="10" s="1"/>
  <c r="W50" i="36"/>
  <c r="M84" i="10" s="1"/>
  <c r="W49" i="30"/>
  <c r="G83" i="10" s="1"/>
  <c r="W49" i="37"/>
  <c r="N83" i="10" s="1"/>
  <c r="W45" i="38"/>
  <c r="O79" i="10" s="1"/>
  <c r="T37" i="30"/>
  <c r="W50" i="30"/>
  <c r="G84" i="10" s="1"/>
  <c r="W46" i="30"/>
  <c r="G80" i="10" s="1"/>
  <c r="W45" i="39"/>
  <c r="P79" i="10" s="1"/>
  <c r="W47" i="39"/>
  <c r="P81" i="10" s="1"/>
  <c r="G92" i="10"/>
  <c r="K92" i="10"/>
  <c r="O92" i="10"/>
  <c r="H92" i="10"/>
  <c r="L92" i="10"/>
  <c r="P92" i="10"/>
  <c r="I92" i="10"/>
  <c r="M92" i="10"/>
  <c r="Q92" i="10"/>
  <c r="J92" i="10"/>
  <c r="N92" i="10"/>
  <c r="F92" i="10"/>
  <c r="W49" i="36"/>
  <c r="M83" i="10" s="1"/>
  <c r="W50" i="39"/>
  <c r="P84" i="10" s="1"/>
  <c r="W49" i="40"/>
  <c r="Q83" i="10" s="1"/>
  <c r="W27" i="30"/>
  <c r="G65" i="10" s="1"/>
  <c r="R65" i="10" s="1"/>
  <c r="R107" i="10"/>
  <c r="W50" i="35"/>
  <c r="L84" i="10" s="1"/>
  <c r="W50" i="31"/>
  <c r="H84" i="10" s="1"/>
  <c r="W50" i="34"/>
  <c r="K84" i="10" s="1"/>
  <c r="W47" i="37"/>
  <c r="N81" i="10" s="1"/>
  <c r="W46" i="37"/>
  <c r="N80" i="10" s="1"/>
  <c r="R103" i="10"/>
  <c r="W47" i="34"/>
  <c r="X47" i="34" s="1"/>
  <c r="T37" i="37"/>
  <c r="W46" i="38"/>
  <c r="O80" i="10" s="1"/>
  <c r="W46" i="39"/>
  <c r="P80" i="10" s="1"/>
  <c r="W45" i="36"/>
  <c r="M79" i="10" s="1"/>
  <c r="L109" i="10"/>
  <c r="R106" i="10"/>
  <c r="R105" i="10"/>
  <c r="R108" i="10"/>
  <c r="R104" i="10"/>
  <c r="H109" i="10"/>
  <c r="K109" i="10"/>
  <c r="O109" i="10"/>
  <c r="Q109" i="10"/>
  <c r="N109" i="10"/>
  <c r="P109" i="10"/>
  <c r="R101" i="10"/>
  <c r="I109" i="10"/>
  <c r="M109" i="10"/>
  <c r="R102" i="10"/>
  <c r="R100" i="10"/>
  <c r="G109" i="10"/>
  <c r="F109" i="10"/>
  <c r="T57" i="35"/>
  <c r="R77" i="10"/>
  <c r="X53" i="33"/>
  <c r="J87" i="10"/>
  <c r="X52" i="34"/>
  <c r="K86" i="10"/>
  <c r="X53" i="34"/>
  <c r="K87" i="10"/>
  <c r="X48" i="33"/>
  <c r="J82" i="10"/>
  <c r="Q76" i="10"/>
  <c r="P76" i="10"/>
  <c r="O76" i="10"/>
  <c r="N76" i="10"/>
  <c r="M76" i="10"/>
  <c r="L76" i="10"/>
  <c r="K76" i="10"/>
  <c r="I76" i="10"/>
  <c r="H76" i="10"/>
  <c r="G76" i="10"/>
  <c r="F76" i="10"/>
  <c r="X42" i="33"/>
  <c r="X43" i="39"/>
  <c r="X43" i="29"/>
  <c r="X43" i="34"/>
  <c r="F73" i="10"/>
  <c r="X33" i="39"/>
  <c r="P71" i="10"/>
  <c r="X30" i="40"/>
  <c r="Q68" i="10"/>
  <c r="X33" i="37"/>
  <c r="N71" i="10"/>
  <c r="X34" i="37"/>
  <c r="N72" i="10"/>
  <c r="X29" i="38"/>
  <c r="O67" i="10"/>
  <c r="X30" i="38"/>
  <c r="O68" i="10"/>
  <c r="X32" i="38"/>
  <c r="O70" i="10"/>
  <c r="X34" i="38"/>
  <c r="O72" i="10"/>
  <c r="X29" i="39"/>
  <c r="P67" i="10"/>
  <c r="X31" i="39"/>
  <c r="P69" i="10"/>
  <c r="X34" i="39"/>
  <c r="P72" i="10"/>
  <c r="X34" i="40"/>
  <c r="Q72" i="10"/>
  <c r="X32" i="35"/>
  <c r="L70" i="10"/>
  <c r="X28" i="37"/>
  <c r="N66" i="10"/>
  <c r="X29" i="40"/>
  <c r="Q67" i="10"/>
  <c r="X28" i="35"/>
  <c r="L66" i="10"/>
  <c r="X30" i="35"/>
  <c r="L68" i="10"/>
  <c r="X32" i="36"/>
  <c r="M70" i="10"/>
  <c r="X33" i="36"/>
  <c r="M71" i="10"/>
  <c r="X29" i="37"/>
  <c r="N67" i="10"/>
  <c r="X30" i="37"/>
  <c r="N68" i="10"/>
  <c r="X32" i="37"/>
  <c r="N70" i="10"/>
  <c r="X28" i="38"/>
  <c r="O66" i="10"/>
  <c r="X33" i="40"/>
  <c r="Q71" i="10"/>
  <c r="X29" i="34"/>
  <c r="K67" i="10"/>
  <c r="X32" i="34"/>
  <c r="K70" i="10"/>
  <c r="X30" i="34"/>
  <c r="K68" i="10"/>
  <c r="X33" i="34"/>
  <c r="K71" i="10"/>
  <c r="X32" i="33"/>
  <c r="J70" i="10"/>
  <c r="X34" i="33"/>
  <c r="J72" i="10"/>
  <c r="X31" i="33"/>
  <c r="J69" i="10"/>
  <c r="X30" i="32"/>
  <c r="I68" i="10"/>
  <c r="X34" i="32"/>
  <c r="I72" i="10"/>
  <c r="X31" i="32"/>
  <c r="I69" i="10"/>
  <c r="X33" i="31"/>
  <c r="H71" i="10"/>
  <c r="X30" i="31"/>
  <c r="H68" i="10"/>
  <c r="X28" i="30"/>
  <c r="G66" i="10"/>
  <c r="X34" i="30"/>
  <c r="G72" i="10"/>
  <c r="W45" i="34"/>
  <c r="K79" i="10" s="1"/>
  <c r="W55" i="34"/>
  <c r="W52" i="30"/>
  <c r="X29" i="32"/>
  <c r="X33" i="32"/>
  <c r="W50" i="33"/>
  <c r="X55" i="33"/>
  <c r="X27" i="35"/>
  <c r="W46" i="36"/>
  <c r="W44" i="37"/>
  <c r="N78" i="10" s="1"/>
  <c r="T57" i="39"/>
  <c r="X30" i="30"/>
  <c r="X32" i="30"/>
  <c r="X28" i="31"/>
  <c r="X31" i="31"/>
  <c r="X34" i="31"/>
  <c r="X52" i="33"/>
  <c r="X34" i="34"/>
  <c r="W46" i="34"/>
  <c r="W45" i="37"/>
  <c r="N79" i="10" s="1"/>
  <c r="T37" i="38"/>
  <c r="X33" i="38"/>
  <c r="W47" i="38"/>
  <c r="X30" i="39"/>
  <c r="X28" i="40"/>
  <c r="T37" i="32"/>
  <c r="W50" i="32"/>
  <c r="X28" i="33"/>
  <c r="X33" i="33"/>
  <c r="W46" i="33"/>
  <c r="X29" i="35"/>
  <c r="W45" i="35"/>
  <c r="L79" i="10" s="1"/>
  <c r="X29" i="36"/>
  <c r="X31" i="36"/>
  <c r="X34" i="36"/>
  <c r="T37" i="40"/>
  <c r="W45" i="40"/>
  <c r="Q79" i="10" s="1"/>
  <c r="X27" i="37"/>
  <c r="X31" i="37"/>
  <c r="T57" i="37"/>
  <c r="X27" i="38"/>
  <c r="X31" i="38"/>
  <c r="T57" i="38"/>
  <c r="T37" i="39"/>
  <c r="X28" i="39"/>
  <c r="X32" i="39"/>
  <c r="X32" i="40"/>
  <c r="X27" i="40"/>
  <c r="X31" i="40"/>
  <c r="T57" i="40"/>
  <c r="W47" i="40"/>
  <c r="Q81" i="10" s="1"/>
  <c r="X52" i="40"/>
  <c r="X46" i="40"/>
  <c r="X54" i="40"/>
  <c r="I19" i="37"/>
  <c r="I19" i="39"/>
  <c r="X48" i="40"/>
  <c r="I19" i="40"/>
  <c r="AE102" i="40"/>
  <c r="X43" i="40"/>
  <c r="X51" i="40"/>
  <c r="X55" i="40"/>
  <c r="X53" i="40"/>
  <c r="V37" i="40"/>
  <c r="X42" i="40"/>
  <c r="X48" i="39"/>
  <c r="X52" i="39"/>
  <c r="X44" i="39"/>
  <c r="AE102" i="39"/>
  <c r="X54" i="39"/>
  <c r="X51" i="39"/>
  <c r="X55" i="39"/>
  <c r="V37" i="39"/>
  <c r="X53" i="39"/>
  <c r="X27" i="39"/>
  <c r="X42" i="39"/>
  <c r="X53" i="38"/>
  <c r="AE102" i="38"/>
  <c r="I19" i="38"/>
  <c r="X48" i="38"/>
  <c r="X52" i="38"/>
  <c r="X43" i="38"/>
  <c r="X51" i="38"/>
  <c r="X55" i="38"/>
  <c r="X54" i="38"/>
  <c r="V37" i="38"/>
  <c r="X42" i="38"/>
  <c r="X48" i="37"/>
  <c r="X52" i="37"/>
  <c r="AE102" i="37"/>
  <c r="X54" i="37"/>
  <c r="X43" i="37"/>
  <c r="X51" i="37"/>
  <c r="X55" i="37"/>
  <c r="X53" i="37"/>
  <c r="V37" i="37"/>
  <c r="X42" i="37"/>
  <c r="W45" i="32"/>
  <c r="I79" i="10" s="1"/>
  <c r="W54" i="34"/>
  <c r="W49" i="34"/>
  <c r="W51" i="30"/>
  <c r="W45" i="30"/>
  <c r="G79" i="10" s="1"/>
  <c r="X29" i="31"/>
  <c r="T37" i="34"/>
  <c r="X33" i="30"/>
  <c r="T37" i="33"/>
  <c r="W47" i="33"/>
  <c r="W47" i="35"/>
  <c r="W47" i="30"/>
  <c r="X32" i="31"/>
  <c r="X51" i="33"/>
  <c r="X54" i="33"/>
  <c r="X28" i="34"/>
  <c r="X32" i="32"/>
  <c r="T57" i="32"/>
  <c r="W47" i="32"/>
  <c r="I81" i="10" s="1"/>
  <c r="X29" i="30"/>
  <c r="X31" i="30"/>
  <c r="T37" i="31"/>
  <c r="W45" i="31"/>
  <c r="H79" i="10" s="1"/>
  <c r="W47" i="31"/>
  <c r="X27" i="32"/>
  <c r="X28" i="32"/>
  <c r="X27" i="33"/>
  <c r="X29" i="33"/>
  <c r="X30" i="33"/>
  <c r="T57" i="33"/>
  <c r="I19" i="34"/>
  <c r="T57" i="36"/>
  <c r="T57" i="30"/>
  <c r="T57" i="31"/>
  <c r="X43" i="33"/>
  <c r="W45" i="33"/>
  <c r="J79" i="10" s="1"/>
  <c r="T57" i="34"/>
  <c r="W44" i="35"/>
  <c r="L78" i="10" s="1"/>
  <c r="W49" i="35"/>
  <c r="T37" i="36"/>
  <c r="X28" i="36"/>
  <c r="X30" i="36"/>
  <c r="W47" i="36"/>
  <c r="X31" i="34"/>
  <c r="X48" i="34"/>
  <c r="X51" i="34"/>
  <c r="T37" i="35"/>
  <c r="X31" i="35"/>
  <c r="X33" i="35"/>
  <c r="X34" i="35"/>
  <c r="I19" i="35"/>
  <c r="I19" i="36"/>
  <c r="X43" i="36"/>
  <c r="X51" i="36"/>
  <c r="X55" i="36"/>
  <c r="X53" i="36"/>
  <c r="V37" i="36"/>
  <c r="X54" i="36"/>
  <c r="X48" i="36"/>
  <c r="X52" i="36"/>
  <c r="AE102" i="36"/>
  <c r="X27" i="36"/>
  <c r="X42" i="36"/>
  <c r="X54" i="35"/>
  <c r="X43" i="35"/>
  <c r="X48" i="35"/>
  <c r="X52" i="35"/>
  <c r="X51" i="35"/>
  <c r="X55" i="35"/>
  <c r="X46" i="35"/>
  <c r="X53" i="35"/>
  <c r="AE102" i="35"/>
  <c r="V37" i="35"/>
  <c r="X42" i="35"/>
  <c r="V37" i="34"/>
  <c r="AE102" i="34"/>
  <c r="X27" i="34"/>
  <c r="X42" i="34"/>
  <c r="I19" i="33"/>
  <c r="V37" i="33"/>
  <c r="I19" i="32"/>
  <c r="X48" i="32"/>
  <c r="X52" i="32"/>
  <c r="AE102" i="32"/>
  <c r="X43" i="32"/>
  <c r="X54" i="32"/>
  <c r="X51" i="32"/>
  <c r="X55" i="32"/>
  <c r="X46" i="32"/>
  <c r="X53" i="32"/>
  <c r="V37" i="32"/>
  <c r="X42" i="32"/>
  <c r="X48" i="31"/>
  <c r="X52" i="31"/>
  <c r="X46" i="31"/>
  <c r="X54" i="31"/>
  <c r="I19" i="31"/>
  <c r="AE102" i="31"/>
  <c r="X43" i="31"/>
  <c r="X51" i="31"/>
  <c r="X55" i="31"/>
  <c r="V37" i="31"/>
  <c r="X53" i="31"/>
  <c r="X27" i="31"/>
  <c r="X42" i="31"/>
  <c r="I19" i="30"/>
  <c r="X48" i="30"/>
  <c r="X53" i="30"/>
  <c r="X43" i="30"/>
  <c r="X55" i="30"/>
  <c r="X54" i="30"/>
  <c r="AE102" i="30"/>
  <c r="X42" i="30"/>
  <c r="X51" i="29"/>
  <c r="X42" i="29"/>
  <c r="X30" i="29"/>
  <c r="X46" i="29"/>
  <c r="X52" i="29"/>
  <c r="W50" i="29"/>
  <c r="X55" i="29"/>
  <c r="X53" i="29"/>
  <c r="AE102" i="29"/>
  <c r="X29" i="29"/>
  <c r="X33" i="29"/>
  <c r="W45" i="29"/>
  <c r="F79" i="10" s="1"/>
  <c r="X27" i="29"/>
  <c r="X31" i="29"/>
  <c r="T37" i="29"/>
  <c r="X32" i="29"/>
  <c r="X28" i="29"/>
  <c r="W48" i="29"/>
  <c r="W44" i="29"/>
  <c r="F78" i="10" s="1"/>
  <c r="W49" i="29"/>
  <c r="T57" i="29"/>
  <c r="W47" i="29"/>
  <c r="W54" i="29"/>
  <c r="X34" i="29"/>
  <c r="V37" i="29"/>
  <c r="O143" i="40" l="1"/>
  <c r="X44" i="32"/>
  <c r="I19" i="29"/>
  <c r="X44" i="34"/>
  <c r="AE102" i="33"/>
  <c r="J109" i="10"/>
  <c r="R99" i="10"/>
  <c r="R109" i="10" s="1"/>
  <c r="X44" i="40"/>
  <c r="X44" i="33"/>
  <c r="X44" i="36"/>
  <c r="X44" i="38"/>
  <c r="X44" i="31"/>
  <c r="X44" i="30"/>
  <c r="X49" i="39"/>
  <c r="X50" i="38"/>
  <c r="X50" i="40"/>
  <c r="X49" i="33"/>
  <c r="X49" i="36"/>
  <c r="X49" i="32"/>
  <c r="X47" i="39"/>
  <c r="X50" i="37"/>
  <c r="X49" i="31"/>
  <c r="X45" i="38"/>
  <c r="X50" i="30"/>
  <c r="X49" i="30"/>
  <c r="X49" i="38"/>
  <c r="X50" i="36"/>
  <c r="X49" i="37"/>
  <c r="I180" i="40"/>
  <c r="X46" i="30"/>
  <c r="X50" i="39"/>
  <c r="X45" i="39"/>
  <c r="X49" i="40"/>
  <c r="V37" i="30"/>
  <c r="X27" i="30"/>
  <c r="X37" i="30" s="1"/>
  <c r="X50" i="34"/>
  <c r="X45" i="36"/>
  <c r="X47" i="37"/>
  <c r="X50" i="35"/>
  <c r="X46" i="37"/>
  <c r="K81" i="10"/>
  <c r="P91" i="10"/>
  <c r="X50" i="31"/>
  <c r="V57" i="39"/>
  <c r="X46" i="39"/>
  <c r="X46" i="38"/>
  <c r="Q91" i="10"/>
  <c r="N91" i="10"/>
  <c r="R87" i="10"/>
  <c r="R76" i="10"/>
  <c r="R79" i="10"/>
  <c r="R78" i="10"/>
  <c r="X48" i="29"/>
  <c r="F82" i="10"/>
  <c r="R82" i="10" s="1"/>
  <c r="X47" i="31"/>
  <c r="H81" i="10"/>
  <c r="H91" i="10" s="1"/>
  <c r="X47" i="30"/>
  <c r="G81" i="10"/>
  <c r="X51" i="30"/>
  <c r="G85" i="10"/>
  <c r="R85" i="10" s="1"/>
  <c r="X46" i="33"/>
  <c r="J80" i="10"/>
  <c r="X50" i="32"/>
  <c r="I84" i="10"/>
  <c r="I91" i="10" s="1"/>
  <c r="V57" i="38"/>
  <c r="O81" i="10"/>
  <c r="O91" i="10" s="1"/>
  <c r="X46" i="34"/>
  <c r="K80" i="10"/>
  <c r="X50" i="33"/>
  <c r="J84" i="10"/>
  <c r="X47" i="29"/>
  <c r="F81" i="10"/>
  <c r="X49" i="35"/>
  <c r="L83" i="10"/>
  <c r="X47" i="35"/>
  <c r="L81" i="10"/>
  <c r="X49" i="34"/>
  <c r="K83" i="10"/>
  <c r="X46" i="36"/>
  <c r="M80" i="10"/>
  <c r="X54" i="29"/>
  <c r="F88" i="10"/>
  <c r="X52" i="30"/>
  <c r="G86" i="10"/>
  <c r="R86" i="10" s="1"/>
  <c r="X50" i="29"/>
  <c r="F84" i="10"/>
  <c r="V57" i="36"/>
  <c r="M81" i="10"/>
  <c r="X49" i="29"/>
  <c r="F83" i="10"/>
  <c r="X47" i="33"/>
  <c r="J81" i="10"/>
  <c r="X54" i="34"/>
  <c r="K88" i="10"/>
  <c r="X55" i="34"/>
  <c r="K89" i="10"/>
  <c r="R89" i="10" s="1"/>
  <c r="R66" i="10"/>
  <c r="R71" i="10"/>
  <c r="J73" i="10"/>
  <c r="R70" i="10"/>
  <c r="R67" i="10"/>
  <c r="O73" i="10"/>
  <c r="Q73" i="10"/>
  <c r="X45" i="29"/>
  <c r="X44" i="35"/>
  <c r="X45" i="35"/>
  <c r="X44" i="29"/>
  <c r="X45" i="30"/>
  <c r="X45" i="32"/>
  <c r="X45" i="34"/>
  <c r="X44" i="37"/>
  <c r="X45" i="33"/>
  <c r="X45" i="31"/>
  <c r="X45" i="40"/>
  <c r="M73" i="10"/>
  <c r="L73" i="10"/>
  <c r="N73" i="10"/>
  <c r="P73" i="10"/>
  <c r="G73" i="10"/>
  <c r="K73" i="10"/>
  <c r="H73" i="10"/>
  <c r="I73" i="10"/>
  <c r="R72" i="10"/>
  <c r="R69" i="10"/>
  <c r="R68" i="10"/>
  <c r="X37" i="38"/>
  <c r="X37" i="37"/>
  <c r="V57" i="40"/>
  <c r="X47" i="38"/>
  <c r="V57" i="37"/>
  <c r="X45" i="37"/>
  <c r="X37" i="39"/>
  <c r="X37" i="40"/>
  <c r="X47" i="40"/>
  <c r="V57" i="34"/>
  <c r="X37" i="32"/>
  <c r="V57" i="32"/>
  <c r="X37" i="31"/>
  <c r="V57" i="30"/>
  <c r="X37" i="33"/>
  <c r="V57" i="31"/>
  <c r="X37" i="35"/>
  <c r="X47" i="32"/>
  <c r="V57" i="33"/>
  <c r="X37" i="34"/>
  <c r="X47" i="36"/>
  <c r="V57" i="35"/>
  <c r="X37" i="36"/>
  <c r="X37" i="29"/>
  <c r="V57" i="29"/>
  <c r="X57" i="38" l="1"/>
  <c r="X57" i="39"/>
  <c r="O96" i="10"/>
  <c r="Q96" i="10"/>
  <c r="R83" i="10"/>
  <c r="P96" i="10"/>
  <c r="I96" i="10"/>
  <c r="H96" i="10"/>
  <c r="N96" i="10"/>
  <c r="G91" i="10"/>
  <c r="M91" i="10"/>
  <c r="L91" i="10"/>
  <c r="F91" i="10"/>
  <c r="F93" i="10" s="1"/>
  <c r="K91" i="10"/>
  <c r="J91" i="10"/>
  <c r="X57" i="33"/>
  <c r="X57" i="34"/>
  <c r="X57" i="31"/>
  <c r="X57" i="36"/>
  <c r="R84" i="10"/>
  <c r="X57" i="30"/>
  <c r="R80" i="10"/>
  <c r="R88" i="10"/>
  <c r="R81" i="10"/>
  <c r="X57" i="32"/>
  <c r="X57" i="29"/>
  <c r="X57" i="35"/>
  <c r="R73" i="10"/>
  <c r="F26" i="10" s="1"/>
  <c r="X57" i="37"/>
  <c r="X57" i="40"/>
  <c r="F5" i="26"/>
  <c r="F6" i="26"/>
  <c r="F7" i="26"/>
  <c r="F11" i="26"/>
  <c r="F12" i="26"/>
  <c r="F13" i="26"/>
  <c r="F14" i="26"/>
  <c r="F15" i="26"/>
  <c r="F17" i="26"/>
  <c r="F18" i="26"/>
  <c r="F19" i="26"/>
  <c r="F20" i="26"/>
  <c r="F21" i="26"/>
  <c r="F23" i="26"/>
  <c r="F24" i="26"/>
  <c r="F25" i="26"/>
  <c r="F26" i="26"/>
  <c r="F29" i="26"/>
  <c r="F30" i="26"/>
  <c r="F31" i="26"/>
  <c r="F34" i="26"/>
  <c r="F35" i="26"/>
  <c r="F36" i="26"/>
  <c r="F37" i="26"/>
  <c r="F39" i="26"/>
  <c r="F40" i="26"/>
  <c r="F41" i="26"/>
  <c r="F43" i="26"/>
  <c r="F44" i="26"/>
  <c r="F45" i="26"/>
  <c r="F46" i="26"/>
  <c r="F48" i="26"/>
  <c r="F49" i="26"/>
  <c r="F50" i="26"/>
  <c r="F51" i="26"/>
  <c r="F52" i="26"/>
  <c r="F54" i="26"/>
  <c r="F55" i="26"/>
  <c r="F56" i="26"/>
  <c r="F57" i="26"/>
  <c r="F58" i="26"/>
  <c r="F64" i="26"/>
  <c r="F65" i="26"/>
  <c r="F66" i="26"/>
  <c r="F67" i="26"/>
  <c r="F68" i="26"/>
  <c r="F70" i="26"/>
  <c r="F71" i="26"/>
  <c r="F72" i="26"/>
  <c r="F73" i="26"/>
  <c r="F74" i="26"/>
  <c r="N75" i="26"/>
  <c r="N76" i="26" s="1"/>
  <c r="O75" i="26"/>
  <c r="P75" i="26"/>
  <c r="Q75" i="26"/>
  <c r="R75" i="26"/>
  <c r="R76" i="26" s="1"/>
  <c r="F76" i="26"/>
  <c r="F77" i="26"/>
  <c r="F78" i="26"/>
  <c r="R78" i="26"/>
  <c r="F79" i="26"/>
  <c r="F80" i="26"/>
  <c r="F82" i="26"/>
  <c r="F83" i="26"/>
  <c r="F84" i="26"/>
  <c r="F85" i="26"/>
  <c r="F86" i="26"/>
  <c r="F88" i="26"/>
  <c r="F89" i="26"/>
  <c r="F90" i="26"/>
  <c r="F91" i="26"/>
  <c r="F92" i="26"/>
  <c r="F94" i="26"/>
  <c r="F95" i="26"/>
  <c r="F96" i="26"/>
  <c r="F97" i="26"/>
  <c r="F98" i="26"/>
  <c r="F100" i="26"/>
  <c r="F101" i="26"/>
  <c r="F102" i="26"/>
  <c r="F103" i="26"/>
  <c r="F105" i="26"/>
  <c r="F106" i="26"/>
  <c r="F107" i="26"/>
  <c r="F108" i="26"/>
  <c r="F109" i="26"/>
  <c r="F111" i="26"/>
  <c r="F112" i="26"/>
  <c r="F113" i="26"/>
  <c r="F115" i="26"/>
  <c r="F116" i="26"/>
  <c r="F117" i="26"/>
  <c r="F118" i="26"/>
  <c r="F120" i="26"/>
  <c r="F121" i="26"/>
  <c r="F122" i="26"/>
  <c r="F123" i="26"/>
  <c r="F124" i="26"/>
  <c r="F125" i="26"/>
  <c r="G93" i="10" l="1"/>
  <c r="F96" i="10"/>
  <c r="M96" i="10"/>
  <c r="G96" i="10"/>
  <c r="L96" i="10"/>
  <c r="J96" i="10"/>
  <c r="K96" i="10"/>
  <c r="R91" i="10"/>
  <c r="L26" i="10" s="1"/>
  <c r="R26" i="10" s="1"/>
  <c r="A126" i="26"/>
  <c r="K52" i="12" s="1"/>
  <c r="A59" i="26"/>
  <c r="K49" i="12" s="1"/>
  <c r="F59" i="26"/>
  <c r="H93" i="10" l="1"/>
  <c r="I93" i="10" s="1"/>
  <c r="J93" i="10" s="1"/>
  <c r="K93" i="10" s="1"/>
  <c r="R96" i="10"/>
  <c r="L93" i="10" l="1"/>
  <c r="M93" i="10" l="1"/>
  <c r="N93" i="10" l="1"/>
  <c r="AR152" i="5"/>
  <c r="AB182" i="5"/>
  <c r="Z182" i="5"/>
  <c r="X182" i="5"/>
  <c r="F165" i="5"/>
  <c r="H165" i="5"/>
  <c r="J165" i="5"/>
  <c r="F166" i="5"/>
  <c r="H166" i="5"/>
  <c r="J166" i="5"/>
  <c r="F167" i="5"/>
  <c r="H167" i="5"/>
  <c r="J167" i="5"/>
  <c r="F168" i="5"/>
  <c r="H168" i="5"/>
  <c r="J168" i="5"/>
  <c r="F169" i="5"/>
  <c r="H169" i="5"/>
  <c r="J169" i="5"/>
  <c r="F170" i="5"/>
  <c r="H170" i="5"/>
  <c r="J170" i="5"/>
  <c r="F171" i="5"/>
  <c r="H171" i="5"/>
  <c r="J171" i="5"/>
  <c r="F172" i="5"/>
  <c r="H172" i="5"/>
  <c r="J172" i="5"/>
  <c r="F173" i="5"/>
  <c r="H173" i="5"/>
  <c r="J173" i="5"/>
  <c r="F174" i="5"/>
  <c r="H174" i="5"/>
  <c r="J174" i="5"/>
  <c r="F175" i="5"/>
  <c r="H175" i="5"/>
  <c r="J175" i="5"/>
  <c r="F176" i="5"/>
  <c r="H176" i="5"/>
  <c r="J176" i="5"/>
  <c r="F177" i="5"/>
  <c r="H177" i="5"/>
  <c r="J177" i="5"/>
  <c r="F178" i="5"/>
  <c r="H178" i="5"/>
  <c r="J178" i="5"/>
  <c r="F179" i="5"/>
  <c r="H179" i="5"/>
  <c r="J179" i="5"/>
  <c r="F180" i="5"/>
  <c r="H180" i="5"/>
  <c r="J180" i="5"/>
  <c r="F181" i="5"/>
  <c r="H181" i="5"/>
  <c r="J181" i="5"/>
  <c r="F182" i="5"/>
  <c r="H182" i="5"/>
  <c r="J182" i="5"/>
  <c r="T179" i="5"/>
  <c r="V179" i="5"/>
  <c r="T180" i="5"/>
  <c r="V180" i="5"/>
  <c r="T181" i="5"/>
  <c r="V181" i="5"/>
  <c r="T182" i="5"/>
  <c r="V182" i="5"/>
  <c r="R179" i="5"/>
  <c r="R180" i="5"/>
  <c r="R181" i="5"/>
  <c r="R182" i="5"/>
  <c r="P169" i="5"/>
  <c r="P170" i="5"/>
  <c r="P171" i="5"/>
  <c r="P172" i="5"/>
  <c r="P173" i="5"/>
  <c r="P174" i="5"/>
  <c r="P175" i="5"/>
  <c r="P176" i="5"/>
  <c r="P177" i="5"/>
  <c r="P178" i="5"/>
  <c r="P179" i="5"/>
  <c r="P180" i="5"/>
  <c r="P181" i="5"/>
  <c r="P182" i="5"/>
  <c r="N169" i="5"/>
  <c r="N170" i="5"/>
  <c r="N171" i="5"/>
  <c r="N172" i="5"/>
  <c r="N173" i="5"/>
  <c r="N174" i="5"/>
  <c r="N175" i="5"/>
  <c r="N176" i="5"/>
  <c r="N177" i="5"/>
  <c r="N178" i="5"/>
  <c r="N179" i="5"/>
  <c r="N180" i="5"/>
  <c r="N181" i="5"/>
  <c r="N182" i="5"/>
  <c r="L169" i="5"/>
  <c r="L170" i="5"/>
  <c r="L171" i="5"/>
  <c r="L172" i="5"/>
  <c r="L173" i="5"/>
  <c r="L174" i="5"/>
  <c r="L175" i="5"/>
  <c r="L176" i="5"/>
  <c r="L177" i="5"/>
  <c r="L178" i="5"/>
  <c r="L179" i="5"/>
  <c r="L180" i="5"/>
  <c r="L181" i="5"/>
  <c r="L182" i="5"/>
  <c r="O98" i="5"/>
  <c r="O88" i="5"/>
  <c r="O14" i="5"/>
  <c r="E6" i="10"/>
  <c r="F6" i="10"/>
  <c r="L6" i="10"/>
  <c r="O93" i="10" l="1"/>
  <c r="I26" i="10"/>
  <c r="E26" i="10"/>
  <c r="O26" i="10"/>
  <c r="O42" i="5"/>
  <c r="O60" i="5"/>
  <c r="O69" i="5"/>
  <c r="O32" i="5"/>
  <c r="O78" i="5"/>
  <c r="O23" i="5"/>
  <c r="O51" i="5"/>
  <c r="E24" i="7"/>
  <c r="E25" i="7" s="1"/>
  <c r="E26" i="7" s="1"/>
  <c r="E27" i="7" s="1"/>
  <c r="E28" i="7" l="1"/>
  <c r="E29" i="7" s="1"/>
  <c r="P93" i="10"/>
  <c r="Q93" i="10" s="1"/>
  <c r="I31" i="5"/>
  <c r="I22" i="5"/>
  <c r="I77" i="5"/>
  <c r="I68" i="5"/>
  <c r="I97" i="5"/>
  <c r="I88" i="5"/>
  <c r="I59" i="5"/>
  <c r="I50" i="5"/>
  <c r="I41" i="5"/>
  <c r="I13" i="5"/>
  <c r="R220" i="5"/>
  <c r="L220" i="5"/>
  <c r="N220" i="5"/>
  <c r="J220" i="5"/>
  <c r="H220" i="5"/>
  <c r="AH185" i="5"/>
  <c r="AF185" i="5"/>
  <c r="AD185" i="5"/>
  <c r="AB185" i="5"/>
  <c r="Z185" i="5"/>
  <c r="X185" i="5"/>
  <c r="V185" i="5"/>
  <c r="T185" i="5"/>
  <c r="R185" i="5"/>
  <c r="P185" i="5"/>
  <c r="N185" i="5"/>
  <c r="L185" i="5"/>
  <c r="J185" i="5"/>
  <c r="H185" i="5"/>
  <c r="F185" i="5"/>
  <c r="AH152" i="5" l="1"/>
  <c r="AF152" i="5"/>
  <c r="AD152" i="5"/>
  <c r="AB152" i="5"/>
  <c r="G85" i="7" s="1"/>
  <c r="Z152" i="5"/>
  <c r="X152" i="5"/>
  <c r="AT152" i="5"/>
  <c r="AP152" i="5"/>
  <c r="AN152" i="5"/>
  <c r="AL152" i="5"/>
  <c r="AJ152" i="5"/>
  <c r="V152" i="5"/>
  <c r="T152" i="5"/>
  <c r="R152" i="5"/>
  <c r="P152" i="5"/>
  <c r="N152" i="5"/>
  <c r="L152" i="5"/>
  <c r="J152" i="5"/>
  <c r="H152" i="5"/>
  <c r="F152" i="5"/>
  <c r="E151" i="5"/>
  <c r="E185" i="5" s="1"/>
  <c r="AB141" i="5"/>
  <c r="G74" i="7" s="1"/>
  <c r="AB142" i="5"/>
  <c r="G75" i="7" s="1"/>
  <c r="AB143" i="5"/>
  <c r="G76" i="7" s="1"/>
  <c r="AB144" i="5"/>
  <c r="G77" i="7" s="1"/>
  <c r="AB145" i="5"/>
  <c r="G78" i="7" s="1"/>
  <c r="F107" i="5"/>
  <c r="X221" i="5" s="1"/>
  <c r="E107" i="5"/>
  <c r="E108" i="5" s="1"/>
  <c r="E109" i="5" s="1"/>
  <c r="E110" i="5" s="1"/>
  <c r="E111" i="5" s="1"/>
  <c r="E112" i="5" s="1"/>
  <c r="E113" i="5" s="1"/>
  <c r="E114" i="5" s="1"/>
  <c r="E115" i="5" s="1"/>
  <c r="E116" i="5" s="1"/>
  <c r="E117" i="5" s="1"/>
  <c r="E118" i="5" s="1"/>
  <c r="E119" i="5" s="1"/>
  <c r="E120" i="5" s="1"/>
  <c r="E121" i="5" s="1"/>
  <c r="E122" i="5" s="1"/>
  <c r="E123" i="5" s="1"/>
  <c r="E124" i="5" s="1"/>
  <c r="E125" i="5" s="1"/>
  <c r="E126" i="5" s="1"/>
  <c r="E127" i="5" s="1"/>
  <c r="E128" i="5" s="1"/>
  <c r="E129" i="5" s="1"/>
  <c r="E130" i="5" s="1"/>
  <c r="E131" i="5" s="1"/>
  <c r="E132" i="5" s="1"/>
  <c r="E133" i="5" s="1"/>
  <c r="E134" i="5" s="1"/>
  <c r="E135" i="5" s="1"/>
  <c r="E136" i="5" s="1"/>
  <c r="E137" i="5" s="1"/>
  <c r="E138" i="5" s="1"/>
  <c r="E139" i="5" s="1"/>
  <c r="E140" i="5" s="1"/>
  <c r="E141" i="5" s="1"/>
  <c r="E142" i="5" s="1"/>
  <c r="E143" i="5" s="1"/>
  <c r="E144" i="5" s="1"/>
  <c r="E145" i="5" s="1"/>
  <c r="E27" i="5"/>
  <c r="K105" i="5" s="1"/>
  <c r="X151" i="5"/>
  <c r="L151" i="5"/>
  <c r="F151" i="5"/>
  <c r="I34" i="5"/>
  <c r="I25" i="5"/>
  <c r="O24" i="5" s="1"/>
  <c r="I80" i="5"/>
  <c r="W79" i="5"/>
  <c r="V79" i="5"/>
  <c r="W78" i="5"/>
  <c r="V78" i="5"/>
  <c r="W77" i="5"/>
  <c r="V77" i="5"/>
  <c r="I71" i="5"/>
  <c r="W70" i="5"/>
  <c r="V70" i="5"/>
  <c r="W69" i="5"/>
  <c r="V69" i="5"/>
  <c r="W68" i="5"/>
  <c r="V68" i="5"/>
  <c r="O97" i="5"/>
  <c r="I100" i="5"/>
  <c r="W99" i="5"/>
  <c r="V99" i="5"/>
  <c r="W98" i="5"/>
  <c r="V98" i="5"/>
  <c r="W97" i="5"/>
  <c r="V97" i="5"/>
  <c r="W89" i="5"/>
  <c r="V89" i="5"/>
  <c r="W88" i="5"/>
  <c r="V88" i="5"/>
  <c r="W87" i="5"/>
  <c r="V87" i="5"/>
  <c r="I62" i="5"/>
  <c r="W61" i="5"/>
  <c r="V61" i="5"/>
  <c r="W60" i="5"/>
  <c r="V60" i="5"/>
  <c r="W59" i="5"/>
  <c r="V59" i="5"/>
  <c r="I53" i="5"/>
  <c r="W52" i="5"/>
  <c r="V52" i="5"/>
  <c r="W51" i="5"/>
  <c r="V51" i="5"/>
  <c r="W50" i="5"/>
  <c r="V50" i="5"/>
  <c r="I44" i="5"/>
  <c r="W43" i="5"/>
  <c r="V43" i="5"/>
  <c r="W42" i="5"/>
  <c r="V42" i="5"/>
  <c r="W41" i="5"/>
  <c r="V41" i="5"/>
  <c r="I16" i="5"/>
  <c r="O15" i="5" s="1"/>
  <c r="G122" i="5" l="1"/>
  <c r="G134" i="5"/>
  <c r="G123" i="5"/>
  <c r="G121" i="5"/>
  <c r="G135" i="5"/>
  <c r="G136" i="5"/>
  <c r="G128" i="5"/>
  <c r="G129" i="5"/>
  <c r="G130" i="5"/>
  <c r="G131" i="5"/>
  <c r="G132" i="5"/>
  <c r="G125" i="5"/>
  <c r="G133" i="5"/>
  <c r="G126" i="5"/>
  <c r="G127" i="5"/>
  <c r="G124" i="5"/>
  <c r="AP151" i="5"/>
  <c r="Y105" i="5"/>
  <c r="R151" i="5"/>
  <c r="Q105" i="5"/>
  <c r="AD151" i="5"/>
  <c r="U105" i="5"/>
  <c r="AJ151" i="5"/>
  <c r="W105" i="5"/>
  <c r="AF202" i="5"/>
  <c r="AF203" i="5"/>
  <c r="AF204" i="5"/>
  <c r="AF205" i="5"/>
  <c r="AF206" i="5"/>
  <c r="AF207" i="5"/>
  <c r="AF208" i="5"/>
  <c r="AF209" i="5"/>
  <c r="AF210" i="5"/>
  <c r="AF211" i="5"/>
  <c r="L212" i="5"/>
  <c r="AF212" i="5"/>
  <c r="L213" i="5"/>
  <c r="AF213" i="5"/>
  <c r="L214" i="5"/>
  <c r="AF214" i="5"/>
  <c r="L215" i="5"/>
  <c r="AF215" i="5"/>
  <c r="AH200" i="5"/>
  <c r="AH201" i="5"/>
  <c r="AH202" i="5"/>
  <c r="AH203" i="5"/>
  <c r="AH204" i="5"/>
  <c r="AH205" i="5"/>
  <c r="AH206" i="5"/>
  <c r="AH207" i="5"/>
  <c r="AH208" i="5"/>
  <c r="AH209" i="5"/>
  <c r="AH210" i="5"/>
  <c r="AH211" i="5"/>
  <c r="AH212" i="5"/>
  <c r="AH213" i="5"/>
  <c r="AH214" i="5"/>
  <c r="AH215" i="5"/>
  <c r="AH187" i="5"/>
  <c r="AH188" i="5"/>
  <c r="AH189" i="5"/>
  <c r="AD202" i="5"/>
  <c r="AD206" i="5"/>
  <c r="AD210" i="5"/>
  <c r="AD214" i="5"/>
  <c r="AD189" i="5"/>
  <c r="AH192" i="5"/>
  <c r="AD194" i="5"/>
  <c r="AH196" i="5"/>
  <c r="AD198" i="5"/>
  <c r="AD199" i="5"/>
  <c r="AD186" i="5"/>
  <c r="H177" i="40" s="1"/>
  <c r="J177" i="40" s="1"/>
  <c r="AD203" i="5"/>
  <c r="AD211" i="5"/>
  <c r="AH191" i="5"/>
  <c r="AD193" i="5"/>
  <c r="AD197" i="5"/>
  <c r="AH186" i="5"/>
  <c r="H179" i="40" s="1"/>
  <c r="J179" i="40" s="1"/>
  <c r="AD201" i="5"/>
  <c r="AD205" i="5"/>
  <c r="AD209" i="5"/>
  <c r="AD213" i="5"/>
  <c r="AD188" i="5"/>
  <c r="AD190" i="5"/>
  <c r="AD191" i="5"/>
  <c r="AH193" i="5"/>
  <c r="AD195" i="5"/>
  <c r="AH197" i="5"/>
  <c r="AD207" i="5"/>
  <c r="AD200" i="5"/>
  <c r="AD204" i="5"/>
  <c r="AD208" i="5"/>
  <c r="AD212" i="5"/>
  <c r="R215" i="5"/>
  <c r="AD187" i="5"/>
  <c r="AH190" i="5"/>
  <c r="AD192" i="5"/>
  <c r="AH194" i="5"/>
  <c r="AD196" i="5"/>
  <c r="AH198" i="5"/>
  <c r="AH199" i="5"/>
  <c r="AD215" i="5"/>
  <c r="AH195" i="5"/>
  <c r="F108" i="5"/>
  <c r="U44" i="5"/>
  <c r="I42" i="5" s="1"/>
  <c r="O43" i="5" s="1"/>
  <c r="M110" i="5" s="1"/>
  <c r="E182" i="5"/>
  <c r="E180" i="5"/>
  <c r="E178" i="5"/>
  <c r="E176" i="5"/>
  <c r="E174" i="5"/>
  <c r="E172" i="5"/>
  <c r="E170" i="5"/>
  <c r="E168" i="5"/>
  <c r="E166" i="5"/>
  <c r="E164" i="5"/>
  <c r="E162" i="5"/>
  <c r="E160" i="5"/>
  <c r="E158" i="5"/>
  <c r="E156" i="5"/>
  <c r="E154" i="5"/>
  <c r="E181" i="5"/>
  <c r="E179" i="5"/>
  <c r="E177" i="5"/>
  <c r="E175" i="5"/>
  <c r="E173" i="5"/>
  <c r="E171" i="5"/>
  <c r="E169" i="5"/>
  <c r="E167" i="5"/>
  <c r="E165" i="5"/>
  <c r="E163" i="5"/>
  <c r="E161" i="5"/>
  <c r="E159" i="5"/>
  <c r="E157" i="5"/>
  <c r="E155" i="5"/>
  <c r="E153" i="5"/>
  <c r="E186" i="5" s="1"/>
  <c r="E221" i="5" s="1"/>
  <c r="E222" i="5" s="1"/>
  <c r="U71" i="5"/>
  <c r="I69" i="5" s="1"/>
  <c r="U80" i="5"/>
  <c r="I78" i="5" s="1"/>
  <c r="U100" i="5"/>
  <c r="I98" i="5" s="1"/>
  <c r="O99" i="5" s="1"/>
  <c r="U53" i="5"/>
  <c r="I51" i="5" s="1"/>
  <c r="O52" i="5" s="1"/>
  <c r="O110" i="5" s="1"/>
  <c r="U62" i="5"/>
  <c r="I60" i="5" s="1"/>
  <c r="O61" i="5" s="1"/>
  <c r="U90" i="5"/>
  <c r="Y124" i="5" l="1"/>
  <c r="Y116" i="5"/>
  <c r="Y117" i="5"/>
  <c r="Y123" i="5"/>
  <c r="Y115" i="5"/>
  <c r="Y122" i="5"/>
  <c r="Y121" i="5"/>
  <c r="Y120" i="5"/>
  <c r="Y119" i="5"/>
  <c r="Y118" i="5"/>
  <c r="O108" i="5"/>
  <c r="O107" i="5"/>
  <c r="Q108" i="5"/>
  <c r="Q114" i="5"/>
  <c r="Q109" i="5"/>
  <c r="Q112" i="5"/>
  <c r="Q113" i="5"/>
  <c r="Q110" i="5"/>
  <c r="Q111" i="5"/>
  <c r="O109" i="5"/>
  <c r="M107" i="5"/>
  <c r="M109" i="5"/>
  <c r="M108" i="5"/>
  <c r="F109" i="5"/>
  <c r="X222" i="5"/>
  <c r="O25" i="5"/>
  <c r="J151" i="40" s="1"/>
  <c r="O79" i="5"/>
  <c r="O70" i="5"/>
  <c r="E187" i="5"/>
  <c r="E188" i="5" s="1"/>
  <c r="E189" i="5" s="1"/>
  <c r="E190" i="5" s="1"/>
  <c r="E191" i="5" s="1"/>
  <c r="E192" i="5" s="1"/>
  <c r="E193" i="5" s="1"/>
  <c r="E194" i="5" s="1"/>
  <c r="E195" i="5" s="1"/>
  <c r="E196" i="5" s="1"/>
  <c r="E197" i="5" s="1"/>
  <c r="E198" i="5" s="1"/>
  <c r="E199" i="5" s="1"/>
  <c r="E200" i="5" s="1"/>
  <c r="E201" i="5" s="1"/>
  <c r="E202" i="5" s="1"/>
  <c r="E203" i="5" s="1"/>
  <c r="E204" i="5" s="1"/>
  <c r="E205" i="5" s="1"/>
  <c r="E206" i="5" s="1"/>
  <c r="E207" i="5" s="1"/>
  <c r="E208" i="5" s="1"/>
  <c r="E209" i="5" s="1"/>
  <c r="E210" i="5" s="1"/>
  <c r="E211" i="5" s="1"/>
  <c r="E212" i="5" s="1"/>
  <c r="E213" i="5" s="1"/>
  <c r="E214" i="5" s="1"/>
  <c r="E215" i="5" s="1"/>
  <c r="E223" i="5"/>
  <c r="E224" i="5" s="1"/>
  <c r="E225" i="5" s="1"/>
  <c r="E226" i="5" s="1"/>
  <c r="E227" i="5" s="1"/>
  <c r="E228" i="5" s="1"/>
  <c r="E229" i="5" s="1"/>
  <c r="E230" i="5" s="1"/>
  <c r="E231" i="5" s="1"/>
  <c r="E232" i="5" s="1"/>
  <c r="E233" i="5" s="1"/>
  <c r="E234" i="5" s="1"/>
  <c r="E235" i="5" s="1"/>
  <c r="E236" i="5" s="1"/>
  <c r="E237" i="5" s="1"/>
  <c r="E238" i="5" s="1"/>
  <c r="E239" i="5" s="1"/>
  <c r="E240" i="5" s="1"/>
  <c r="E241" i="5" s="1"/>
  <c r="E242" i="5" s="1"/>
  <c r="E243" i="5" s="1"/>
  <c r="E244" i="5" s="1"/>
  <c r="E245" i="5" s="1"/>
  <c r="E246" i="5" s="1"/>
  <c r="E247" i="5" s="1"/>
  <c r="E248" i="5" s="1"/>
  <c r="E249" i="5" s="1"/>
  <c r="E250" i="5" s="1"/>
  <c r="O62" i="5"/>
  <c r="J155" i="40" s="1"/>
  <c r="O44" i="5"/>
  <c r="O16" i="5"/>
  <c r="H150" i="40" s="1"/>
  <c r="O53" i="5"/>
  <c r="O100" i="5"/>
  <c r="I89" i="5"/>
  <c r="U109" i="5" l="1"/>
  <c r="AA109" i="5" s="1"/>
  <c r="U115" i="5"/>
  <c r="S113" i="5"/>
  <c r="S115" i="5"/>
  <c r="S112" i="5"/>
  <c r="S114" i="5"/>
  <c r="S116" i="5"/>
  <c r="U110" i="5"/>
  <c r="U111" i="5"/>
  <c r="AA111" i="5" s="1"/>
  <c r="AA107" i="5"/>
  <c r="AA108" i="5"/>
  <c r="U116" i="5"/>
  <c r="U118" i="5"/>
  <c r="U120" i="5"/>
  <c r="U121" i="5"/>
  <c r="U117" i="5"/>
  <c r="U119" i="5"/>
  <c r="U112" i="5"/>
  <c r="U113" i="5"/>
  <c r="AA113" i="5" s="1"/>
  <c r="U114" i="5"/>
  <c r="H154" i="40"/>
  <c r="J154" i="40" s="1"/>
  <c r="H153" i="40"/>
  <c r="J153" i="40" s="1"/>
  <c r="O80" i="5"/>
  <c r="J159" i="40" s="1"/>
  <c r="O71" i="5"/>
  <c r="X153" i="5" s="1"/>
  <c r="AT153" i="5"/>
  <c r="AT154" i="5" s="1"/>
  <c r="AT155" i="5" s="1"/>
  <c r="AT156" i="5" s="1"/>
  <c r="AT157" i="5" s="1"/>
  <c r="AT158" i="5" s="1"/>
  <c r="AT159" i="5" s="1"/>
  <c r="AT160" i="5" s="1"/>
  <c r="AT161" i="5" s="1"/>
  <c r="AT162" i="5" s="1"/>
  <c r="AT163" i="5" s="1"/>
  <c r="AT164" i="5" s="1"/>
  <c r="AT165" i="5" s="1"/>
  <c r="AT166" i="5" s="1"/>
  <c r="AT167" i="5" s="1"/>
  <c r="AT168" i="5" s="1"/>
  <c r="AT169" i="5" s="1"/>
  <c r="AT170" i="5" s="1"/>
  <c r="AT171" i="5" s="1"/>
  <c r="AT172" i="5" s="1"/>
  <c r="AT173" i="5" s="1"/>
  <c r="AT174" i="5" s="1"/>
  <c r="AT175" i="5" s="1"/>
  <c r="AT176" i="5" s="1"/>
  <c r="AT177" i="5" s="1"/>
  <c r="AT178" i="5" s="1"/>
  <c r="AT179" i="5" s="1"/>
  <c r="AT180" i="5" s="1"/>
  <c r="AT181" i="5" s="1"/>
  <c r="AT182" i="5" s="1"/>
  <c r="J157" i="40"/>
  <c r="F153" i="5"/>
  <c r="F110" i="5"/>
  <c r="X223" i="5"/>
  <c r="O33" i="5"/>
  <c r="O34" i="5" s="1"/>
  <c r="J152" i="40" s="1"/>
  <c r="AP153" i="5"/>
  <c r="AR153" i="5"/>
  <c r="V186" i="5" s="1"/>
  <c r="H173" i="40" s="1"/>
  <c r="J173" i="40" s="1"/>
  <c r="T153" i="5"/>
  <c r="R153" i="5"/>
  <c r="R154" i="5" s="1"/>
  <c r="R155" i="5" s="1"/>
  <c r="R156" i="5" s="1"/>
  <c r="R157" i="5" s="1"/>
  <c r="R158" i="5" s="1"/>
  <c r="R159" i="5" s="1"/>
  <c r="R160" i="5" s="1"/>
  <c r="R161" i="5" s="1"/>
  <c r="R162" i="5" s="1"/>
  <c r="R163" i="5" s="1"/>
  <c r="R164" i="5" s="1"/>
  <c r="R165" i="5" s="1"/>
  <c r="V153" i="5"/>
  <c r="V154" i="5" s="1"/>
  <c r="V155" i="5" s="1"/>
  <c r="V156" i="5" s="1"/>
  <c r="V157" i="5" s="1"/>
  <c r="V158" i="5" s="1"/>
  <c r="V159" i="5" s="1"/>
  <c r="V160" i="5" s="1"/>
  <c r="V161" i="5" s="1"/>
  <c r="V162" i="5" s="1"/>
  <c r="V163" i="5" s="1"/>
  <c r="V164" i="5" s="1"/>
  <c r="V165" i="5" s="1"/>
  <c r="V166" i="5" s="1"/>
  <c r="V167" i="5" s="1"/>
  <c r="V168" i="5" s="1"/>
  <c r="V169" i="5" s="1"/>
  <c r="V170" i="5" s="1"/>
  <c r="V171" i="5" s="1"/>
  <c r="V172" i="5" s="1"/>
  <c r="V173" i="5" s="1"/>
  <c r="V174" i="5" s="1"/>
  <c r="V175" i="5" s="1"/>
  <c r="V176" i="5" s="1"/>
  <c r="V177" i="5" s="1"/>
  <c r="V178" i="5" s="1"/>
  <c r="P153" i="5"/>
  <c r="P154" i="5" s="1"/>
  <c r="P155" i="5" s="1"/>
  <c r="P156" i="5" s="1"/>
  <c r="P157" i="5" s="1"/>
  <c r="P158" i="5" s="1"/>
  <c r="P159" i="5" s="1"/>
  <c r="P160" i="5" s="1"/>
  <c r="P161" i="5" s="1"/>
  <c r="P162" i="5" s="1"/>
  <c r="P163" i="5" s="1"/>
  <c r="P164" i="5" s="1"/>
  <c r="P165" i="5" s="1"/>
  <c r="P166" i="5" s="1"/>
  <c r="P167" i="5" s="1"/>
  <c r="P168" i="5" s="1"/>
  <c r="N153" i="5"/>
  <c r="N154" i="5" s="1"/>
  <c r="N155" i="5" s="1"/>
  <c r="N156" i="5" s="1"/>
  <c r="N157" i="5" s="1"/>
  <c r="N158" i="5" s="1"/>
  <c r="N159" i="5" s="1"/>
  <c r="N160" i="5" s="1"/>
  <c r="N161" i="5" s="1"/>
  <c r="N162" i="5" s="1"/>
  <c r="N163" i="5" s="1"/>
  <c r="N164" i="5" s="1"/>
  <c r="N165" i="5" s="1"/>
  <c r="N166" i="5" s="1"/>
  <c r="N167" i="5" s="1"/>
  <c r="N168" i="5" s="1"/>
  <c r="L153" i="5"/>
  <c r="AF186" i="5" s="1"/>
  <c r="H178" i="40" s="1"/>
  <c r="J178" i="40" s="1"/>
  <c r="J153" i="5"/>
  <c r="J154" i="5" s="1"/>
  <c r="J155" i="5" s="1"/>
  <c r="J156" i="5" s="1"/>
  <c r="J157" i="5" s="1"/>
  <c r="J158" i="5" s="1"/>
  <c r="J159" i="5" s="1"/>
  <c r="J160" i="5" s="1"/>
  <c r="J161" i="5" s="1"/>
  <c r="J162" i="5" s="1"/>
  <c r="J163" i="5" s="1"/>
  <c r="J164" i="5" s="1"/>
  <c r="H153" i="5"/>
  <c r="O87" i="5"/>
  <c r="O89" i="5" s="1"/>
  <c r="AA112" i="5" l="1"/>
  <c r="W118" i="5"/>
  <c r="AA118" i="5" s="1"/>
  <c r="W119" i="5"/>
  <c r="W117" i="5"/>
  <c r="AA117" i="5" s="1"/>
  <c r="W114" i="5"/>
  <c r="AA114" i="5" s="1"/>
  <c r="W116" i="5"/>
  <c r="AA116" i="5" s="1"/>
  <c r="W115" i="5"/>
  <c r="AA115" i="5" s="1"/>
  <c r="AA110" i="5"/>
  <c r="X186" i="5"/>
  <c r="H174" i="40" s="1"/>
  <c r="J174" i="40" s="1"/>
  <c r="W122" i="5"/>
  <c r="AA122" i="5" s="1"/>
  <c r="W121" i="5"/>
  <c r="AA121" i="5" s="1"/>
  <c r="AA119" i="5"/>
  <c r="W120" i="5"/>
  <c r="AA120" i="5" s="1"/>
  <c r="L186" i="5"/>
  <c r="H168" i="40" s="1"/>
  <c r="J168" i="40" s="1"/>
  <c r="N186" i="5"/>
  <c r="T154" i="5"/>
  <c r="AA137" i="5"/>
  <c r="AB137" i="5" s="1"/>
  <c r="G70" i="7" s="1"/>
  <c r="AA138" i="5"/>
  <c r="AB138" i="5" s="1"/>
  <c r="G71" i="7" s="1"/>
  <c r="AA140" i="5"/>
  <c r="AB140" i="5" s="1"/>
  <c r="G73" i="7" s="1"/>
  <c r="AA139" i="5"/>
  <c r="AB139" i="5" s="1"/>
  <c r="G72" i="7" s="1"/>
  <c r="AA136" i="5"/>
  <c r="AB136" i="5" s="1"/>
  <c r="G69" i="7" s="1"/>
  <c r="AF153" i="5"/>
  <c r="AH153" i="5"/>
  <c r="AH154" i="5" s="1"/>
  <c r="AH155" i="5" s="1"/>
  <c r="AH156" i="5" s="1"/>
  <c r="AH157" i="5" s="1"/>
  <c r="AH158" i="5" s="1"/>
  <c r="AH159" i="5" s="1"/>
  <c r="AH160" i="5" s="1"/>
  <c r="AH161" i="5" s="1"/>
  <c r="AH162" i="5" s="1"/>
  <c r="AH163" i="5" s="1"/>
  <c r="AH164" i="5" s="1"/>
  <c r="AH165" i="5" s="1"/>
  <c r="AH166" i="5" s="1"/>
  <c r="AH167" i="5" s="1"/>
  <c r="AH168" i="5" s="1"/>
  <c r="AH169" i="5" s="1"/>
  <c r="AH170" i="5" s="1"/>
  <c r="AH171" i="5" s="1"/>
  <c r="AH172" i="5" s="1"/>
  <c r="AH173" i="5" s="1"/>
  <c r="AH174" i="5" s="1"/>
  <c r="AH175" i="5" s="1"/>
  <c r="AH176" i="5" s="1"/>
  <c r="AH177" i="5" s="1"/>
  <c r="AH178" i="5" s="1"/>
  <c r="AH179" i="5" s="1"/>
  <c r="AH180" i="5" s="1"/>
  <c r="AH181" i="5" s="1"/>
  <c r="AH182" i="5" s="1"/>
  <c r="AD153" i="5"/>
  <c r="H154" i="5"/>
  <c r="H155" i="5" s="1"/>
  <c r="R166" i="5"/>
  <c r="AF154" i="5"/>
  <c r="AF155" i="5" s="1"/>
  <c r="AF156" i="5" s="1"/>
  <c r="AF157" i="5" s="1"/>
  <c r="AF158" i="5" s="1"/>
  <c r="AF159" i="5" s="1"/>
  <c r="AF160" i="5" s="1"/>
  <c r="AF161" i="5" s="1"/>
  <c r="AF162" i="5" s="1"/>
  <c r="AF163" i="5" s="1"/>
  <c r="AF164" i="5" s="1"/>
  <c r="AF165" i="5" s="1"/>
  <c r="AF166" i="5" s="1"/>
  <c r="AF167" i="5" s="1"/>
  <c r="AF168" i="5" s="1"/>
  <c r="AF169" i="5" s="1"/>
  <c r="AF170" i="5" s="1"/>
  <c r="AF171" i="5" s="1"/>
  <c r="AF172" i="5" s="1"/>
  <c r="AF173" i="5" s="1"/>
  <c r="AF174" i="5" s="1"/>
  <c r="AF175" i="5" s="1"/>
  <c r="AF176" i="5" s="1"/>
  <c r="AF177" i="5" s="1"/>
  <c r="AF178" i="5" s="1"/>
  <c r="AF179" i="5" s="1"/>
  <c r="AF180" i="5" s="1"/>
  <c r="AF181" i="5" s="1"/>
  <c r="AF182" i="5" s="1"/>
  <c r="AA135" i="5"/>
  <c r="W131" i="5"/>
  <c r="AA131" i="5" s="1"/>
  <c r="W130" i="5"/>
  <c r="W128" i="5"/>
  <c r="AA128" i="5" s="1"/>
  <c r="W126" i="5"/>
  <c r="AA126" i="5" s="1"/>
  <c r="W125" i="5"/>
  <c r="AA125" i="5" s="1"/>
  <c r="AB125" i="5" s="1"/>
  <c r="G58" i="7" s="1"/>
  <c r="W123" i="5"/>
  <c r="AA123" i="5" s="1"/>
  <c r="W132" i="5"/>
  <c r="AA132" i="5" s="1"/>
  <c r="W129" i="5"/>
  <c r="W127" i="5"/>
  <c r="W124" i="5"/>
  <c r="AA124" i="5" s="1"/>
  <c r="Z153" i="5"/>
  <c r="AB153" i="5"/>
  <c r="AB154" i="5" s="1"/>
  <c r="AB155" i="5" s="1"/>
  <c r="AB156" i="5" s="1"/>
  <c r="AB157" i="5" s="1"/>
  <c r="AB158" i="5" s="1"/>
  <c r="AB159" i="5" s="1"/>
  <c r="AB160" i="5" s="1"/>
  <c r="AB161" i="5" s="1"/>
  <c r="AB162" i="5" s="1"/>
  <c r="AB163" i="5" s="1"/>
  <c r="AB164" i="5" s="1"/>
  <c r="AB165" i="5" s="1"/>
  <c r="AB166" i="5" s="1"/>
  <c r="AB167" i="5" s="1"/>
  <c r="AB168" i="5" s="1"/>
  <c r="AB169" i="5" s="1"/>
  <c r="AB170" i="5" s="1"/>
  <c r="AB171" i="5" s="1"/>
  <c r="AB172" i="5" s="1"/>
  <c r="AB173" i="5" s="1"/>
  <c r="AB174" i="5" s="1"/>
  <c r="AB175" i="5" s="1"/>
  <c r="AB176" i="5" s="1"/>
  <c r="AB177" i="5" s="1"/>
  <c r="AB178" i="5" s="1"/>
  <c r="AB179" i="5" s="1"/>
  <c r="AB180" i="5" s="1"/>
  <c r="AB181" i="5" s="1"/>
  <c r="J158" i="40"/>
  <c r="X154" i="5"/>
  <c r="L154" i="5"/>
  <c r="AF187" i="5" s="1"/>
  <c r="F154" i="5"/>
  <c r="AP154" i="5"/>
  <c r="AP155" i="5" s="1"/>
  <c r="AP156" i="5" s="1"/>
  <c r="AP157" i="5" s="1"/>
  <c r="AP158" i="5" s="1"/>
  <c r="AP159" i="5" s="1"/>
  <c r="AP160" i="5" s="1"/>
  <c r="AP161" i="5" s="1"/>
  <c r="AP162" i="5" s="1"/>
  <c r="AP163" i="5" s="1"/>
  <c r="AP164" i="5" s="1"/>
  <c r="AP165" i="5" s="1"/>
  <c r="AP166" i="5" s="1"/>
  <c r="AP167" i="5" s="1"/>
  <c r="AP168" i="5" s="1"/>
  <c r="AP169" i="5" s="1"/>
  <c r="AP170" i="5" s="1"/>
  <c r="AP171" i="5" s="1"/>
  <c r="AP172" i="5" s="1"/>
  <c r="AP173" i="5" s="1"/>
  <c r="AP174" i="5" s="1"/>
  <c r="AP175" i="5" s="1"/>
  <c r="AP176" i="5" s="1"/>
  <c r="AP177" i="5" s="1"/>
  <c r="AP178" i="5" s="1"/>
  <c r="AP179" i="5" s="1"/>
  <c r="AP180" i="5" s="1"/>
  <c r="AP181" i="5" s="1"/>
  <c r="AP182" i="5" s="1"/>
  <c r="AR154" i="5"/>
  <c r="F111" i="5"/>
  <c r="X224" i="5"/>
  <c r="O90" i="5"/>
  <c r="H156" i="40" s="1"/>
  <c r="AR155" i="5" l="1"/>
  <c r="V187" i="5"/>
  <c r="X187" i="5"/>
  <c r="Z154" i="5"/>
  <c r="R186" i="5"/>
  <c r="H171" i="40" s="1"/>
  <c r="J171" i="40" s="1"/>
  <c r="AB131" i="5"/>
  <c r="G64" i="7" s="1"/>
  <c r="AA133" i="5"/>
  <c r="AB133" i="5" s="1"/>
  <c r="G66" i="7" s="1"/>
  <c r="AB132" i="5"/>
  <c r="G65" i="7" s="1"/>
  <c r="AB135" i="5"/>
  <c r="G68" i="7" s="1"/>
  <c r="AA130" i="5"/>
  <c r="AB130" i="5" s="1"/>
  <c r="G63" i="7" s="1"/>
  <c r="AA127" i="5"/>
  <c r="AB127" i="5" s="1"/>
  <c r="G60" i="7" s="1"/>
  <c r="AA129" i="5"/>
  <c r="AB129" i="5" s="1"/>
  <c r="G62" i="7" s="1"/>
  <c r="AA134" i="5"/>
  <c r="AB134" i="5" s="1"/>
  <c r="G67" i="7" s="1"/>
  <c r="L187" i="5"/>
  <c r="N187" i="5"/>
  <c r="T155" i="5"/>
  <c r="AB126" i="5"/>
  <c r="G59" i="7" s="1"/>
  <c r="AB128" i="5"/>
  <c r="G61" i="7" s="1"/>
  <c r="AD154" i="5"/>
  <c r="T186" i="5"/>
  <c r="H172" i="40" s="1"/>
  <c r="J172" i="40" s="1"/>
  <c r="P186" i="5"/>
  <c r="H170" i="40" s="1"/>
  <c r="J170" i="40" s="1"/>
  <c r="X155" i="5"/>
  <c r="R167" i="5"/>
  <c r="H156" i="5"/>
  <c r="L155" i="5"/>
  <c r="AF188" i="5" s="1"/>
  <c r="F155" i="5"/>
  <c r="AB116" i="5"/>
  <c r="G49" i="7" s="1"/>
  <c r="AB111" i="5"/>
  <c r="G44" i="7" s="1"/>
  <c r="AB110" i="5"/>
  <c r="G43" i="7" s="1"/>
  <c r="AB107" i="5"/>
  <c r="G40" i="7" s="1"/>
  <c r="AB109" i="5"/>
  <c r="G42" i="7" s="1"/>
  <c r="AB123" i="5"/>
  <c r="G56" i="7" s="1"/>
  <c r="AB122" i="5"/>
  <c r="G55" i="7" s="1"/>
  <c r="AB120" i="5"/>
  <c r="G53" i="7" s="1"/>
  <c r="AB121" i="5"/>
  <c r="G54" i="7" s="1"/>
  <c r="AB119" i="5"/>
  <c r="G52" i="7" s="1"/>
  <c r="AB118" i="5"/>
  <c r="G51" i="7" s="1"/>
  <c r="AB112" i="5"/>
  <c r="G45" i="7" s="1"/>
  <c r="AB117" i="5"/>
  <c r="G50" i="7" s="1"/>
  <c r="AB124" i="5"/>
  <c r="G57" i="7" s="1"/>
  <c r="AB115" i="5"/>
  <c r="G48" i="7" s="1"/>
  <c r="AB114" i="5"/>
  <c r="G47" i="7" s="1"/>
  <c r="AB108" i="5"/>
  <c r="G41" i="7" s="1"/>
  <c r="AB113" i="5"/>
  <c r="G46" i="7" s="1"/>
  <c r="J156" i="40"/>
  <c r="H160" i="40"/>
  <c r="F112" i="5"/>
  <c r="X225" i="5"/>
  <c r="AL153" i="5"/>
  <c r="J186" i="5" s="1"/>
  <c r="AN153" i="5"/>
  <c r="AJ153" i="5"/>
  <c r="F186" i="5" s="1"/>
  <c r="X188" i="5" l="1"/>
  <c r="AR156" i="5"/>
  <c r="V188" i="5"/>
  <c r="Z155" i="5"/>
  <c r="R187" i="5"/>
  <c r="Z186" i="5"/>
  <c r="H175" i="40" s="1"/>
  <c r="J175" i="40" s="1"/>
  <c r="H186" i="5"/>
  <c r="H166" i="40" s="1"/>
  <c r="J166" i="40" s="1"/>
  <c r="L188" i="5"/>
  <c r="N188" i="5"/>
  <c r="T156" i="5"/>
  <c r="AD155" i="5"/>
  <c r="T187" i="5"/>
  <c r="X156" i="5"/>
  <c r="H157" i="5"/>
  <c r="AB186" i="5"/>
  <c r="R168" i="5"/>
  <c r="AL154" i="5"/>
  <c r="P187" i="5" s="1"/>
  <c r="AJ154" i="5"/>
  <c r="F187" i="5" s="1"/>
  <c r="H165" i="40"/>
  <c r="J165" i="40" s="1"/>
  <c r="L156" i="5"/>
  <c r="AF189" i="5" s="1"/>
  <c r="F156" i="5"/>
  <c r="F113" i="5"/>
  <c r="X226" i="5"/>
  <c r="AN154" i="5"/>
  <c r="AN155" i="5" s="1"/>
  <c r="AN156" i="5" s="1"/>
  <c r="AN157" i="5" s="1"/>
  <c r="AN158" i="5" s="1"/>
  <c r="AN159" i="5" s="1"/>
  <c r="AN160" i="5" s="1"/>
  <c r="AN161" i="5" s="1"/>
  <c r="AN162" i="5" s="1"/>
  <c r="AN163" i="5" s="1"/>
  <c r="AN164" i="5" s="1"/>
  <c r="AN165" i="5" s="1"/>
  <c r="AN166" i="5" s="1"/>
  <c r="AN167" i="5" s="1"/>
  <c r="AN168" i="5" s="1"/>
  <c r="AN169" i="5" s="1"/>
  <c r="AN170" i="5" s="1"/>
  <c r="AN171" i="5" s="1"/>
  <c r="AN172" i="5" s="1"/>
  <c r="AN173" i="5" s="1"/>
  <c r="AN174" i="5" s="1"/>
  <c r="AN175" i="5" s="1"/>
  <c r="AN176" i="5" s="1"/>
  <c r="H169" i="40"/>
  <c r="J169" i="40" s="1"/>
  <c r="H167" i="40"/>
  <c r="L5" i="1"/>
  <c r="N4" i="5" s="1"/>
  <c r="X189" i="5" l="1"/>
  <c r="AR157" i="5"/>
  <c r="V189" i="5"/>
  <c r="J187" i="5"/>
  <c r="Z156" i="5"/>
  <c r="R188" i="5"/>
  <c r="AB187" i="5"/>
  <c r="H187" i="5"/>
  <c r="Z187" i="5"/>
  <c r="L189" i="5"/>
  <c r="N189" i="5"/>
  <c r="T157" i="5"/>
  <c r="AD156" i="5"/>
  <c r="T188" i="5"/>
  <c r="X157" i="5"/>
  <c r="R169" i="5"/>
  <c r="H176" i="40"/>
  <c r="J176" i="40" s="1"/>
  <c r="AJ186" i="5"/>
  <c r="H158" i="5"/>
  <c r="AL155" i="5"/>
  <c r="P188" i="5" s="1"/>
  <c r="AJ155" i="5"/>
  <c r="F188" i="5" s="1"/>
  <c r="L157" i="5"/>
  <c r="AF190" i="5" s="1"/>
  <c r="F157" i="5"/>
  <c r="J167" i="40"/>
  <c r="F114" i="5"/>
  <c r="X227" i="5"/>
  <c r="AN177" i="5"/>
  <c r="AN178" i="5" s="1"/>
  <c r="J188" i="5" l="1"/>
  <c r="X190" i="5"/>
  <c r="AR158" i="5"/>
  <c r="V190" i="5"/>
  <c r="Z157" i="5"/>
  <c r="R189" i="5"/>
  <c r="H180" i="40"/>
  <c r="AB188" i="5"/>
  <c r="H188" i="5"/>
  <c r="Z188" i="5"/>
  <c r="L190" i="5"/>
  <c r="N190" i="5"/>
  <c r="T158" i="5"/>
  <c r="AD157" i="5"/>
  <c r="T189" i="5"/>
  <c r="X158" i="5"/>
  <c r="J180" i="40"/>
  <c r="H159" i="5"/>
  <c r="R170" i="5"/>
  <c r="P221" i="5"/>
  <c r="F221" i="5"/>
  <c r="R221" i="5"/>
  <c r="AJ156" i="5"/>
  <c r="F189" i="5" s="1"/>
  <c r="L158" i="5"/>
  <c r="AF191" i="5" s="1"/>
  <c r="F158" i="5"/>
  <c r="F115" i="5"/>
  <c r="X228" i="5"/>
  <c r="AN179" i="5"/>
  <c r="AN180" i="5" s="1"/>
  <c r="L221" i="5"/>
  <c r="AA221" i="5" s="1"/>
  <c r="J221" i="5"/>
  <c r="Z221" i="5" s="1"/>
  <c r="N221" i="5"/>
  <c r="H221" i="5"/>
  <c r="AJ187" i="5"/>
  <c r="AL156" i="5"/>
  <c r="P189" i="5" s="1"/>
  <c r="X191" i="5" l="1"/>
  <c r="AR159" i="5"/>
  <c r="V191" i="5"/>
  <c r="J189" i="5"/>
  <c r="Z158" i="5"/>
  <c r="R190" i="5"/>
  <c r="AB189" i="5"/>
  <c r="H189" i="5"/>
  <c r="Z189" i="5"/>
  <c r="L191" i="5"/>
  <c r="N191" i="5"/>
  <c r="T159" i="5"/>
  <c r="AD158" i="5"/>
  <c r="T190" i="5"/>
  <c r="X159" i="5"/>
  <c r="R171" i="5"/>
  <c r="H160" i="5"/>
  <c r="AJ157" i="5"/>
  <c r="F190" i="5" s="1"/>
  <c r="L159" i="5"/>
  <c r="AF192" i="5" s="1"/>
  <c r="F159" i="5"/>
  <c r="F116" i="5"/>
  <c r="X229" i="5"/>
  <c r="AN181" i="5"/>
  <c r="AN182" i="5" s="1"/>
  <c r="T221" i="5"/>
  <c r="AB221" i="5"/>
  <c r="Y221" i="5"/>
  <c r="V221" i="5"/>
  <c r="AJ188" i="5"/>
  <c r="P223" i="5" s="1"/>
  <c r="P222" i="5"/>
  <c r="F222" i="5"/>
  <c r="J222" i="5"/>
  <c r="Z222" i="5" s="1"/>
  <c r="H222" i="5"/>
  <c r="R222" i="5"/>
  <c r="L222" i="5"/>
  <c r="AA222" i="5" s="1"/>
  <c r="N222" i="5"/>
  <c r="AL157" i="5"/>
  <c r="P190" i="5" s="1"/>
  <c r="J190" i="5" l="1"/>
  <c r="X192" i="5"/>
  <c r="AR160" i="5"/>
  <c r="V192" i="5"/>
  <c r="Z159" i="5"/>
  <c r="R191" i="5"/>
  <c r="AB190" i="5"/>
  <c r="H190" i="5"/>
  <c r="Z190" i="5"/>
  <c r="L192" i="5"/>
  <c r="N192" i="5"/>
  <c r="T160" i="5"/>
  <c r="AD159" i="5"/>
  <c r="T191" i="5"/>
  <c r="X160" i="5"/>
  <c r="H161" i="5"/>
  <c r="R172" i="5"/>
  <c r="AJ158" i="5"/>
  <c r="F191" i="5" s="1"/>
  <c r="L160" i="5"/>
  <c r="AF193" i="5" s="1"/>
  <c r="F160" i="5"/>
  <c r="I160" i="40"/>
  <c r="J150" i="40"/>
  <c r="J160" i="40" s="1"/>
  <c r="F117" i="5"/>
  <c r="X230" i="5"/>
  <c r="L223" i="5"/>
  <c r="AA223" i="5" s="1"/>
  <c r="AB222" i="5"/>
  <c r="AJ189" i="5"/>
  <c r="F224" i="5" s="1"/>
  <c r="H223" i="5"/>
  <c r="N223" i="5"/>
  <c r="AB223" i="5" s="1"/>
  <c r="F223" i="5"/>
  <c r="J223" i="5"/>
  <c r="Z223" i="5" s="1"/>
  <c r="R223" i="5"/>
  <c r="Y222" i="5"/>
  <c r="V222" i="5"/>
  <c r="T222" i="5"/>
  <c r="AL158" i="5"/>
  <c r="P191" i="5" s="1"/>
  <c r="X193" i="5" l="1"/>
  <c r="AR161" i="5"/>
  <c r="V193" i="5"/>
  <c r="J191" i="5"/>
  <c r="Z160" i="5"/>
  <c r="R192" i="5"/>
  <c r="AB191" i="5"/>
  <c r="H191" i="5"/>
  <c r="Z191" i="5"/>
  <c r="L193" i="5"/>
  <c r="N193" i="5"/>
  <c r="T161" i="5"/>
  <c r="AD160" i="5"/>
  <c r="T192" i="5"/>
  <c r="X161" i="5"/>
  <c r="R173" i="5"/>
  <c r="H162" i="5"/>
  <c r="AJ159" i="5"/>
  <c r="F192" i="5" s="1"/>
  <c r="L161" i="5"/>
  <c r="AF194" i="5" s="1"/>
  <c r="F161" i="5"/>
  <c r="F118" i="5"/>
  <c r="X231" i="5"/>
  <c r="R224" i="5"/>
  <c r="Y223" i="5"/>
  <c r="N224" i="5"/>
  <c r="L224" i="5"/>
  <c r="AA224" i="5" s="1"/>
  <c r="J224" i="5"/>
  <c r="Z224" i="5" s="1"/>
  <c r="H224" i="5"/>
  <c r="Y224" i="5" s="1"/>
  <c r="AJ190" i="5"/>
  <c r="H225" i="5" s="1"/>
  <c r="P224" i="5"/>
  <c r="T223" i="5"/>
  <c r="V223" i="5"/>
  <c r="AL159" i="5"/>
  <c r="P192" i="5" s="1"/>
  <c r="X194" i="5" l="1"/>
  <c r="AR162" i="5"/>
  <c r="V194" i="5"/>
  <c r="J192" i="5"/>
  <c r="Z161" i="5"/>
  <c r="R193" i="5"/>
  <c r="AB192" i="5"/>
  <c r="H192" i="5"/>
  <c r="Z192" i="5"/>
  <c r="L194" i="5"/>
  <c r="N194" i="5"/>
  <c r="T162" i="5"/>
  <c r="AD161" i="5"/>
  <c r="T193" i="5"/>
  <c r="X162" i="5"/>
  <c r="H163" i="5"/>
  <c r="R174" i="5"/>
  <c r="AJ160" i="5"/>
  <c r="F193" i="5" s="1"/>
  <c r="L162" i="5"/>
  <c r="AF195" i="5" s="1"/>
  <c r="F162" i="5"/>
  <c r="F119" i="5"/>
  <c r="X232" i="5"/>
  <c r="N225" i="5"/>
  <c r="J225" i="5"/>
  <c r="Z225" i="5" s="1"/>
  <c r="AB224" i="5"/>
  <c r="P225" i="5"/>
  <c r="R225" i="5"/>
  <c r="L225" i="5"/>
  <c r="AA225" i="5" s="1"/>
  <c r="T224" i="5"/>
  <c r="F225" i="5"/>
  <c r="Y225" i="5" s="1"/>
  <c r="V224" i="5"/>
  <c r="AJ191" i="5"/>
  <c r="H226" i="5" s="1"/>
  <c r="AL160" i="5"/>
  <c r="P193" i="5" s="1"/>
  <c r="X195" i="5" l="1"/>
  <c r="AR163" i="5"/>
  <c r="V195" i="5"/>
  <c r="J193" i="5"/>
  <c r="Z162" i="5"/>
  <c r="R194" i="5"/>
  <c r="AB193" i="5"/>
  <c r="H193" i="5"/>
  <c r="Z193" i="5"/>
  <c r="L195" i="5"/>
  <c r="N195" i="5"/>
  <c r="T163" i="5"/>
  <c r="AD162" i="5"/>
  <c r="T194" i="5"/>
  <c r="X163" i="5"/>
  <c r="R175" i="5"/>
  <c r="H164" i="5"/>
  <c r="AJ161" i="5"/>
  <c r="F194" i="5" s="1"/>
  <c r="L163" i="5"/>
  <c r="AF196" i="5" s="1"/>
  <c r="F163" i="5"/>
  <c r="F120" i="5"/>
  <c r="X233" i="5"/>
  <c r="AB225" i="5"/>
  <c r="V225" i="5"/>
  <c r="T225" i="5"/>
  <c r="F226" i="5"/>
  <c r="N226" i="5"/>
  <c r="R226" i="5"/>
  <c r="L226" i="5"/>
  <c r="AA226" i="5" s="1"/>
  <c r="P226" i="5"/>
  <c r="J226" i="5"/>
  <c r="Z226" i="5" s="1"/>
  <c r="AJ192" i="5"/>
  <c r="AL161" i="5"/>
  <c r="P194" i="5" s="1"/>
  <c r="X196" i="5" l="1"/>
  <c r="AR164" i="5"/>
  <c r="V196" i="5"/>
  <c r="J194" i="5"/>
  <c r="Z163" i="5"/>
  <c r="R195" i="5"/>
  <c r="AB194" i="5"/>
  <c r="H194" i="5"/>
  <c r="Z194" i="5"/>
  <c r="L196" i="5"/>
  <c r="N196" i="5"/>
  <c r="T164" i="5"/>
  <c r="AD163" i="5"/>
  <c r="T195" i="5"/>
  <c r="X164" i="5"/>
  <c r="R176" i="5"/>
  <c r="AJ162" i="5"/>
  <c r="F195" i="5" s="1"/>
  <c r="L164" i="5"/>
  <c r="AF197" i="5" s="1"/>
  <c r="F164" i="5"/>
  <c r="F121" i="5"/>
  <c r="X234" i="5"/>
  <c r="AB226" i="5"/>
  <c r="AJ193" i="5"/>
  <c r="P228" i="5" s="1"/>
  <c r="Y226" i="5"/>
  <c r="V226" i="5"/>
  <c r="T226" i="5"/>
  <c r="AL162" i="5"/>
  <c r="P195" i="5" s="1"/>
  <c r="F227" i="5"/>
  <c r="J227" i="5"/>
  <c r="Z227" i="5" s="1"/>
  <c r="P227" i="5"/>
  <c r="L227" i="5"/>
  <c r="AA227" i="5" s="1"/>
  <c r="N227" i="5"/>
  <c r="H227" i="5"/>
  <c r="R227" i="5"/>
  <c r="X197" i="5" l="1"/>
  <c r="AR165" i="5"/>
  <c r="V197" i="5"/>
  <c r="J195" i="5"/>
  <c r="Z164" i="5"/>
  <c r="R196" i="5"/>
  <c r="AB195" i="5"/>
  <c r="H195" i="5"/>
  <c r="Z195" i="5"/>
  <c r="L197" i="5"/>
  <c r="N197" i="5"/>
  <c r="T165" i="5"/>
  <c r="AD164" i="5"/>
  <c r="T196" i="5"/>
  <c r="X165" i="5"/>
  <c r="R177" i="5"/>
  <c r="AJ163" i="5"/>
  <c r="F196" i="5" s="1"/>
  <c r="L165" i="5"/>
  <c r="AF198" i="5" s="1"/>
  <c r="L228" i="5"/>
  <c r="AA228" i="5" s="1"/>
  <c r="H228" i="5"/>
  <c r="F122" i="5"/>
  <c r="X235" i="5"/>
  <c r="F228" i="5"/>
  <c r="J228" i="5"/>
  <c r="Z228" i="5" s="1"/>
  <c r="N228" i="5"/>
  <c r="AB228" i="5" s="1"/>
  <c r="R228" i="5"/>
  <c r="AB227" i="5"/>
  <c r="Y227" i="5"/>
  <c r="V227" i="5"/>
  <c r="T227" i="5"/>
  <c r="AJ194" i="5"/>
  <c r="AL163" i="5"/>
  <c r="P196" i="5" s="1"/>
  <c r="X198" i="5" l="1"/>
  <c r="AR166" i="5"/>
  <c r="V198" i="5"/>
  <c r="J196" i="5"/>
  <c r="Z165" i="5"/>
  <c r="R197" i="5"/>
  <c r="AB196" i="5"/>
  <c r="H196" i="5"/>
  <c r="Z196" i="5"/>
  <c r="L198" i="5"/>
  <c r="N198" i="5"/>
  <c r="T166" i="5"/>
  <c r="AD165" i="5"/>
  <c r="T197" i="5"/>
  <c r="X166" i="5"/>
  <c r="R178" i="5"/>
  <c r="L166" i="5"/>
  <c r="AF199" i="5" s="1"/>
  <c r="F123" i="5"/>
  <c r="X236" i="5"/>
  <c r="AJ195" i="5"/>
  <c r="F230" i="5" s="1"/>
  <c r="T228" i="5"/>
  <c r="V228" i="5"/>
  <c r="Y228" i="5"/>
  <c r="J229" i="5"/>
  <c r="Z229" i="5" s="1"/>
  <c r="P229" i="5"/>
  <c r="F229" i="5"/>
  <c r="H229" i="5"/>
  <c r="N229" i="5"/>
  <c r="L229" i="5"/>
  <c r="AA229" i="5" s="1"/>
  <c r="R229" i="5"/>
  <c r="AJ164" i="5"/>
  <c r="F197" i="5" s="1"/>
  <c r="AL164" i="5"/>
  <c r="P197" i="5" s="1"/>
  <c r="X199" i="5" l="1"/>
  <c r="AR167" i="5"/>
  <c r="V199" i="5"/>
  <c r="J197" i="5"/>
  <c r="Z166" i="5"/>
  <c r="R198" i="5"/>
  <c r="AB197" i="5"/>
  <c r="H197" i="5"/>
  <c r="Z197" i="5"/>
  <c r="L199" i="5"/>
  <c r="N199" i="5"/>
  <c r="T167" i="5"/>
  <c r="AD166" i="5"/>
  <c r="T198" i="5"/>
  <c r="X167" i="5"/>
  <c r="L167" i="5"/>
  <c r="F124" i="5"/>
  <c r="X237" i="5"/>
  <c r="P230" i="5"/>
  <c r="J230" i="5"/>
  <c r="Z230" i="5" s="1"/>
  <c r="H230" i="5"/>
  <c r="Y230" i="5" s="1"/>
  <c r="R230" i="5"/>
  <c r="L230" i="5"/>
  <c r="AA230" i="5" s="1"/>
  <c r="N230" i="5"/>
  <c r="AJ196" i="5"/>
  <c r="F231" i="5" s="1"/>
  <c r="AB229" i="5"/>
  <c r="AJ165" i="5"/>
  <c r="F198" i="5" s="1"/>
  <c r="AL165" i="5"/>
  <c r="P198" i="5" s="1"/>
  <c r="Y229" i="5"/>
  <c r="T229" i="5"/>
  <c r="V229" i="5"/>
  <c r="X200" i="5" l="1"/>
  <c r="AR168" i="5"/>
  <c r="V200" i="5"/>
  <c r="J198" i="5"/>
  <c r="Z167" i="5"/>
  <c r="R199" i="5"/>
  <c r="L168" i="5"/>
  <c r="AF201" i="5" s="1"/>
  <c r="AF200" i="5"/>
  <c r="AB198" i="5"/>
  <c r="H198" i="5"/>
  <c r="Z198" i="5"/>
  <c r="L200" i="5"/>
  <c r="N200" i="5"/>
  <c r="T168" i="5"/>
  <c r="AD167" i="5"/>
  <c r="T199" i="5"/>
  <c r="X168" i="5"/>
  <c r="X201" i="5" s="1"/>
  <c r="F125" i="5"/>
  <c r="X238" i="5"/>
  <c r="T230" i="5"/>
  <c r="AB230" i="5"/>
  <c r="V230" i="5"/>
  <c r="N231" i="5"/>
  <c r="L231" i="5"/>
  <c r="AA231" i="5" s="1"/>
  <c r="P231" i="5"/>
  <c r="H231" i="5"/>
  <c r="Y231" i="5" s="1"/>
  <c r="R231" i="5"/>
  <c r="J231" i="5"/>
  <c r="Z231" i="5" s="1"/>
  <c r="AJ197" i="5"/>
  <c r="L232" i="5" s="1"/>
  <c r="AA232" i="5" s="1"/>
  <c r="AL166" i="5"/>
  <c r="P199" i="5" s="1"/>
  <c r="AJ166" i="5"/>
  <c r="F199" i="5" s="1"/>
  <c r="AR169" i="5" l="1"/>
  <c r="V201" i="5"/>
  <c r="J199" i="5"/>
  <c r="Z168" i="5"/>
  <c r="R200" i="5"/>
  <c r="AB199" i="5"/>
  <c r="H199" i="5"/>
  <c r="Z199" i="5"/>
  <c r="L201" i="5"/>
  <c r="N201" i="5"/>
  <c r="T169" i="5"/>
  <c r="AD168" i="5"/>
  <c r="T200" i="5"/>
  <c r="X169" i="5"/>
  <c r="X202" i="5" s="1"/>
  <c r="F126" i="5"/>
  <c r="X239" i="5"/>
  <c r="AB231" i="5"/>
  <c r="N232" i="5"/>
  <c r="P232" i="5"/>
  <c r="R232" i="5"/>
  <c r="H232" i="5"/>
  <c r="J232" i="5"/>
  <c r="Z232" i="5" s="1"/>
  <c r="F232" i="5"/>
  <c r="V231" i="5"/>
  <c r="T231" i="5"/>
  <c r="AL167" i="5"/>
  <c r="P200" i="5" s="1"/>
  <c r="AJ167" i="5"/>
  <c r="F200" i="5" s="1"/>
  <c r="AJ198" i="5"/>
  <c r="AR170" i="5" l="1"/>
  <c r="V202" i="5"/>
  <c r="J200" i="5"/>
  <c r="Z169" i="5"/>
  <c r="R201" i="5"/>
  <c r="AB200" i="5"/>
  <c r="H200" i="5"/>
  <c r="Z200" i="5"/>
  <c r="L202" i="5"/>
  <c r="N202" i="5"/>
  <c r="T170" i="5"/>
  <c r="AD169" i="5"/>
  <c r="T201" i="5"/>
  <c r="X170" i="5"/>
  <c r="F127" i="5"/>
  <c r="X240" i="5"/>
  <c r="AB232" i="5"/>
  <c r="T232" i="5"/>
  <c r="Y232" i="5"/>
  <c r="V232" i="5"/>
  <c r="AJ199" i="5"/>
  <c r="J234" i="5" s="1"/>
  <c r="Z234" i="5" s="1"/>
  <c r="AJ168" i="5"/>
  <c r="F201" i="5" s="1"/>
  <c r="F233" i="5"/>
  <c r="H233" i="5"/>
  <c r="R233" i="5"/>
  <c r="L233" i="5"/>
  <c r="AA233" i="5" s="1"/>
  <c r="P233" i="5"/>
  <c r="N233" i="5"/>
  <c r="J233" i="5"/>
  <c r="Z233" i="5" s="1"/>
  <c r="AL168" i="5"/>
  <c r="P201" i="5" s="1"/>
  <c r="X203" i="5" l="1"/>
  <c r="AR171" i="5"/>
  <c r="V203" i="5"/>
  <c r="J201" i="5"/>
  <c r="Z170" i="5"/>
  <c r="R202" i="5"/>
  <c r="AB201" i="5"/>
  <c r="H201" i="5"/>
  <c r="Z201" i="5"/>
  <c r="L203" i="5"/>
  <c r="N203" i="5"/>
  <c r="T171" i="5"/>
  <c r="AD170" i="5"/>
  <c r="T202" i="5"/>
  <c r="X171" i="5"/>
  <c r="F128" i="5"/>
  <c r="X241" i="5"/>
  <c r="P234" i="5"/>
  <c r="L234" i="5"/>
  <c r="AA234" i="5" s="1"/>
  <c r="F234" i="5"/>
  <c r="H234" i="5"/>
  <c r="AJ200" i="5"/>
  <c r="H235" i="5" s="1"/>
  <c r="R234" i="5"/>
  <c r="N234" i="5"/>
  <c r="AB233" i="5"/>
  <c r="Y233" i="5"/>
  <c r="T233" i="5"/>
  <c r="V233" i="5"/>
  <c r="AL169" i="5"/>
  <c r="P202" i="5" s="1"/>
  <c r="AJ169" i="5"/>
  <c r="F202" i="5" s="1"/>
  <c r="J202" i="5" l="1"/>
  <c r="X204" i="5"/>
  <c r="AR172" i="5"/>
  <c r="V204" i="5"/>
  <c r="Z171" i="5"/>
  <c r="R203" i="5"/>
  <c r="AB202" i="5"/>
  <c r="H202" i="5"/>
  <c r="Z202" i="5"/>
  <c r="L204" i="5"/>
  <c r="N204" i="5"/>
  <c r="T172" i="5"/>
  <c r="AD171" i="5"/>
  <c r="T203" i="5"/>
  <c r="X172" i="5"/>
  <c r="F129" i="5"/>
  <c r="X242" i="5"/>
  <c r="L235" i="5"/>
  <c r="AA235" i="5" s="1"/>
  <c r="P235" i="5"/>
  <c r="AB234" i="5"/>
  <c r="F235" i="5"/>
  <c r="R235" i="5"/>
  <c r="J235" i="5"/>
  <c r="Z235" i="5" s="1"/>
  <c r="N235" i="5"/>
  <c r="Y234" i="5"/>
  <c r="T234" i="5"/>
  <c r="V234" i="5"/>
  <c r="AJ201" i="5"/>
  <c r="F236" i="5" s="1"/>
  <c r="AL170" i="5"/>
  <c r="P203" i="5" s="1"/>
  <c r="AJ170" i="5"/>
  <c r="F203" i="5" s="1"/>
  <c r="J203" i="5" l="1"/>
  <c r="X205" i="5"/>
  <c r="AR173" i="5"/>
  <c r="V205" i="5"/>
  <c r="Z172" i="5"/>
  <c r="R204" i="5"/>
  <c r="AB203" i="5"/>
  <c r="H203" i="5"/>
  <c r="Z203" i="5"/>
  <c r="L205" i="5"/>
  <c r="N205" i="5"/>
  <c r="T173" i="5"/>
  <c r="AD172" i="5"/>
  <c r="T204" i="5"/>
  <c r="X173" i="5"/>
  <c r="AL171" i="5"/>
  <c r="P204" i="5" s="1"/>
  <c r="F130" i="5"/>
  <c r="X243" i="5"/>
  <c r="AB235" i="5"/>
  <c r="T235" i="5"/>
  <c r="Y235" i="5"/>
  <c r="V235" i="5"/>
  <c r="P236" i="5"/>
  <c r="L236" i="5"/>
  <c r="AA236" i="5" s="1"/>
  <c r="H236" i="5"/>
  <c r="Y236" i="5" s="1"/>
  <c r="R236" i="5"/>
  <c r="J236" i="5"/>
  <c r="Z236" i="5" s="1"/>
  <c r="N236" i="5"/>
  <c r="AJ171" i="5"/>
  <c r="F204" i="5" s="1"/>
  <c r="AJ202" i="5"/>
  <c r="J204" i="5" l="1"/>
  <c r="X206" i="5"/>
  <c r="AR174" i="5"/>
  <c r="V206" i="5"/>
  <c r="Z173" i="5"/>
  <c r="R205" i="5"/>
  <c r="AB204" i="5"/>
  <c r="H204" i="5"/>
  <c r="Z204" i="5"/>
  <c r="L206" i="5"/>
  <c r="N206" i="5"/>
  <c r="T174" i="5"/>
  <c r="AD173" i="5"/>
  <c r="T205" i="5"/>
  <c r="X174" i="5"/>
  <c r="X207" i="5" s="1"/>
  <c r="F131" i="5"/>
  <c r="X244" i="5"/>
  <c r="T236" i="5"/>
  <c r="AB236" i="5"/>
  <c r="V236" i="5"/>
  <c r="AJ203" i="5"/>
  <c r="P237" i="5"/>
  <c r="R237" i="5"/>
  <c r="F237" i="5"/>
  <c r="H237" i="5"/>
  <c r="N237" i="5"/>
  <c r="L237" i="5"/>
  <c r="AA237" i="5" s="1"/>
  <c r="J237" i="5"/>
  <c r="Z237" i="5" s="1"/>
  <c r="AL172" i="5"/>
  <c r="P205" i="5" s="1"/>
  <c r="AJ172" i="5"/>
  <c r="F205" i="5" s="1"/>
  <c r="J205" i="5" l="1"/>
  <c r="AR175" i="5"/>
  <c r="V207" i="5"/>
  <c r="Z174" i="5"/>
  <c r="R206" i="5"/>
  <c r="AB205" i="5"/>
  <c r="H205" i="5"/>
  <c r="Z205" i="5"/>
  <c r="L207" i="5"/>
  <c r="N207" i="5"/>
  <c r="T175" i="5"/>
  <c r="AD174" i="5"/>
  <c r="T206" i="5"/>
  <c r="X175" i="5"/>
  <c r="F132" i="5"/>
  <c r="X245" i="5"/>
  <c r="AB237" i="5"/>
  <c r="Y237" i="5"/>
  <c r="V237" i="5"/>
  <c r="T237" i="5"/>
  <c r="AJ204" i="5"/>
  <c r="AJ173" i="5"/>
  <c r="F206" i="5" s="1"/>
  <c r="AL173" i="5"/>
  <c r="P206" i="5" s="1"/>
  <c r="H238" i="5"/>
  <c r="P238" i="5"/>
  <c r="L238" i="5"/>
  <c r="AA238" i="5" s="1"/>
  <c r="F238" i="5"/>
  <c r="J238" i="5"/>
  <c r="Z238" i="5" s="1"/>
  <c r="N238" i="5"/>
  <c r="R238" i="5"/>
  <c r="J206" i="5" l="1"/>
  <c r="X208" i="5"/>
  <c r="AR176" i="5"/>
  <c r="V208" i="5"/>
  <c r="Z175" i="5"/>
  <c r="R207" i="5"/>
  <c r="AB206" i="5"/>
  <c r="H206" i="5"/>
  <c r="Z206" i="5"/>
  <c r="L208" i="5"/>
  <c r="N208" i="5"/>
  <c r="T176" i="5"/>
  <c r="AD175" i="5"/>
  <c r="T207" i="5"/>
  <c r="X176" i="5"/>
  <c r="X209" i="5" s="1"/>
  <c r="F133" i="5"/>
  <c r="X246" i="5"/>
  <c r="AB238" i="5"/>
  <c r="L239" i="5"/>
  <c r="AA239" i="5" s="1"/>
  <c r="P239" i="5"/>
  <c r="F239" i="5"/>
  <c r="R239" i="5"/>
  <c r="H239" i="5"/>
  <c r="J239" i="5"/>
  <c r="Z239" i="5" s="1"/>
  <c r="N239" i="5"/>
  <c r="AL174" i="5"/>
  <c r="P207" i="5" s="1"/>
  <c r="Y238" i="5"/>
  <c r="T238" i="5"/>
  <c r="V238" i="5"/>
  <c r="AJ205" i="5"/>
  <c r="AJ174" i="5"/>
  <c r="F207" i="5" s="1"/>
  <c r="J207" i="5" l="1"/>
  <c r="AR177" i="5"/>
  <c r="V209" i="5"/>
  <c r="Z176" i="5"/>
  <c r="R208" i="5"/>
  <c r="AB207" i="5"/>
  <c r="H207" i="5"/>
  <c r="Z207" i="5"/>
  <c r="L209" i="5"/>
  <c r="N209" i="5"/>
  <c r="T177" i="5"/>
  <c r="AD176" i="5"/>
  <c r="T208" i="5"/>
  <c r="X177" i="5"/>
  <c r="X210" i="5" s="1"/>
  <c r="AJ206" i="5"/>
  <c r="N241" i="5" s="1"/>
  <c r="F134" i="5"/>
  <c r="X247" i="5"/>
  <c r="AB239" i="5"/>
  <c r="Y239" i="5"/>
  <c r="T239" i="5"/>
  <c r="V239" i="5"/>
  <c r="AJ175" i="5"/>
  <c r="F208" i="5" s="1"/>
  <c r="F240" i="5"/>
  <c r="P240" i="5"/>
  <c r="R240" i="5"/>
  <c r="H240" i="5"/>
  <c r="J240" i="5"/>
  <c r="Z240" i="5" s="1"/>
  <c r="L240" i="5"/>
  <c r="AA240" i="5" s="1"/>
  <c r="N240" i="5"/>
  <c r="AL175" i="5"/>
  <c r="P208" i="5" s="1"/>
  <c r="J208" i="5" l="1"/>
  <c r="AR178" i="5"/>
  <c r="V210" i="5"/>
  <c r="Z177" i="5"/>
  <c r="R209" i="5"/>
  <c r="AB208" i="5"/>
  <c r="H208" i="5"/>
  <c r="Z208" i="5"/>
  <c r="L210" i="5"/>
  <c r="N210" i="5"/>
  <c r="T178" i="5"/>
  <c r="AD177" i="5"/>
  <c r="T209" i="5"/>
  <c r="X178" i="5"/>
  <c r="X211" i="5" s="1"/>
  <c r="L241" i="5"/>
  <c r="AA241" i="5" s="1"/>
  <c r="R241" i="5"/>
  <c r="H241" i="5"/>
  <c r="J241" i="5"/>
  <c r="Z241" i="5" s="1"/>
  <c r="P241" i="5"/>
  <c r="AB241" i="5" s="1"/>
  <c r="F241" i="5"/>
  <c r="F135" i="5"/>
  <c r="X248" i="5"/>
  <c r="T240" i="5"/>
  <c r="AB240" i="5"/>
  <c r="AJ207" i="5"/>
  <c r="AJ176" i="5"/>
  <c r="F209" i="5" s="1"/>
  <c r="Y240" i="5"/>
  <c r="V240" i="5"/>
  <c r="AL176" i="5"/>
  <c r="P209" i="5" s="1"/>
  <c r="J209" i="5" l="1"/>
  <c r="AR179" i="5"/>
  <c r="N212" i="5" s="1"/>
  <c r="V211" i="5"/>
  <c r="Z178" i="5"/>
  <c r="R210" i="5"/>
  <c r="AB209" i="5"/>
  <c r="H209" i="5"/>
  <c r="Z209" i="5"/>
  <c r="N211" i="5"/>
  <c r="L211" i="5"/>
  <c r="AD178" i="5"/>
  <c r="T210" i="5"/>
  <c r="X179" i="5"/>
  <c r="X212" i="5" s="1"/>
  <c r="Y241" i="5"/>
  <c r="T241" i="5"/>
  <c r="V241" i="5"/>
  <c r="AJ208" i="5"/>
  <c r="F243" i="5" s="1"/>
  <c r="F136" i="5"/>
  <c r="X249" i="5"/>
  <c r="AJ177" i="5"/>
  <c r="F210" i="5" s="1"/>
  <c r="F242" i="5"/>
  <c r="L242" i="5"/>
  <c r="AA242" i="5" s="1"/>
  <c r="R242" i="5"/>
  <c r="H242" i="5"/>
  <c r="J242" i="5"/>
  <c r="Z242" i="5" s="1"/>
  <c r="N242" i="5"/>
  <c r="P242" i="5"/>
  <c r="AL177" i="5"/>
  <c r="P210" i="5" s="1"/>
  <c r="AR180" i="5" l="1"/>
  <c r="N213" i="5" s="1"/>
  <c r="V212" i="5"/>
  <c r="J210" i="5"/>
  <c r="Z179" i="5"/>
  <c r="R211" i="5"/>
  <c r="AB210" i="5"/>
  <c r="H210" i="5"/>
  <c r="Z210" i="5"/>
  <c r="AD179" i="5"/>
  <c r="T211" i="5"/>
  <c r="X180" i="5"/>
  <c r="X213" i="5" s="1"/>
  <c r="P243" i="5"/>
  <c r="H243" i="5"/>
  <c r="Y243" i="5" s="1"/>
  <c r="N243" i="5"/>
  <c r="J243" i="5"/>
  <c r="Z243" i="5" s="1"/>
  <c r="R243" i="5"/>
  <c r="L243" i="5"/>
  <c r="AA243" i="5" s="1"/>
  <c r="F137" i="5"/>
  <c r="F138" i="5" s="1"/>
  <c r="F139" i="5" s="1"/>
  <c r="F140" i="5" s="1"/>
  <c r="F141" i="5" s="1"/>
  <c r="F142" i="5" s="1"/>
  <c r="F143" i="5" s="1"/>
  <c r="F144" i="5" s="1"/>
  <c r="F145" i="5" s="1"/>
  <c r="X250" i="5"/>
  <c r="G28" i="7" s="1"/>
  <c r="AB242" i="5"/>
  <c r="AJ209" i="5"/>
  <c r="Y242" i="5"/>
  <c r="T242" i="5"/>
  <c r="V242" i="5"/>
  <c r="AL178" i="5"/>
  <c r="P211" i="5" s="1"/>
  <c r="AJ178" i="5"/>
  <c r="F211" i="5" s="1"/>
  <c r="AR181" i="5" l="1"/>
  <c r="N214" i="5" s="1"/>
  <c r="V213" i="5"/>
  <c r="J211" i="5"/>
  <c r="Z180" i="5"/>
  <c r="R212" i="5"/>
  <c r="AB211" i="5"/>
  <c r="H211" i="5"/>
  <c r="Z211" i="5"/>
  <c r="AD180" i="5"/>
  <c r="T212" i="5"/>
  <c r="X181" i="5"/>
  <c r="AB243" i="5"/>
  <c r="V243" i="5"/>
  <c r="AJ210" i="5"/>
  <c r="J245" i="5" s="1"/>
  <c r="Z245" i="5" s="1"/>
  <c r="T243" i="5"/>
  <c r="O28" i="7"/>
  <c r="I28" i="7"/>
  <c r="G27" i="7"/>
  <c r="K28" i="7"/>
  <c r="I24" i="7"/>
  <c r="G24" i="7"/>
  <c r="M24" i="7"/>
  <c r="K24" i="7"/>
  <c r="O24" i="7"/>
  <c r="K25" i="7"/>
  <c r="O25" i="7"/>
  <c r="G25" i="7"/>
  <c r="I25" i="7"/>
  <c r="M25" i="7"/>
  <c r="G26" i="7"/>
  <c r="I26" i="7"/>
  <c r="K26" i="7"/>
  <c r="O26" i="7"/>
  <c r="M26" i="7"/>
  <c r="I27" i="7"/>
  <c r="M27" i="7"/>
  <c r="O27" i="7"/>
  <c r="K27" i="7"/>
  <c r="M28" i="7"/>
  <c r="F29" i="7"/>
  <c r="F28" i="7"/>
  <c r="F26" i="7"/>
  <c r="F24" i="7"/>
  <c r="F27" i="7"/>
  <c r="F25" i="7"/>
  <c r="AL179" i="5"/>
  <c r="P212" i="5" s="1"/>
  <c r="AJ179" i="5"/>
  <c r="F212" i="5" s="1"/>
  <c r="P244" i="5"/>
  <c r="L244" i="5"/>
  <c r="AA244" i="5" s="1"/>
  <c r="R244" i="5"/>
  <c r="J244" i="5"/>
  <c r="Z244" i="5" s="1"/>
  <c r="N244" i="5"/>
  <c r="F244" i="5"/>
  <c r="H244" i="5"/>
  <c r="AR182" i="5" l="1"/>
  <c r="N215" i="5" s="1"/>
  <c r="V214" i="5"/>
  <c r="J212" i="5"/>
  <c r="Z181" i="5"/>
  <c r="R214" i="5" s="1"/>
  <c r="R213" i="5"/>
  <c r="AB212" i="5"/>
  <c r="H212" i="5"/>
  <c r="X214" i="5"/>
  <c r="Z212" i="5"/>
  <c r="AD181" i="5"/>
  <c r="T213" i="5"/>
  <c r="F245" i="5"/>
  <c r="R245" i="5"/>
  <c r="P245" i="5"/>
  <c r="H245" i="5"/>
  <c r="L245" i="5"/>
  <c r="AA245" i="5" s="1"/>
  <c r="N245" i="5"/>
  <c r="AB244" i="5"/>
  <c r="AJ180" i="5"/>
  <c r="F213" i="5" s="1"/>
  <c r="Y244" i="5"/>
  <c r="V244" i="5"/>
  <c r="T244" i="5"/>
  <c r="AJ211" i="5"/>
  <c r="AL180" i="5"/>
  <c r="P213" i="5" s="1"/>
  <c r="X215" i="5" l="1"/>
  <c r="V215" i="5"/>
  <c r="J213" i="5"/>
  <c r="AB213" i="5"/>
  <c r="H213" i="5"/>
  <c r="Z213" i="5"/>
  <c r="AD182" i="5"/>
  <c r="T214" i="5"/>
  <c r="AB245" i="5"/>
  <c r="Y245" i="5"/>
  <c r="T245" i="5"/>
  <c r="V245" i="5"/>
  <c r="AJ212" i="5"/>
  <c r="F247" i="5" s="1"/>
  <c r="AJ181" i="5"/>
  <c r="F214" i="5" s="1"/>
  <c r="AL181" i="5"/>
  <c r="P214" i="5" s="1"/>
  <c r="R246" i="5"/>
  <c r="P246" i="5"/>
  <c r="F246" i="5"/>
  <c r="H246" i="5"/>
  <c r="L246" i="5"/>
  <c r="AA246" i="5" s="1"/>
  <c r="K29" i="7" s="1"/>
  <c r="N246" i="5"/>
  <c r="J246" i="5"/>
  <c r="Z246" i="5" s="1"/>
  <c r="I29" i="7" s="1"/>
  <c r="J214" i="5" l="1"/>
  <c r="AB214" i="5"/>
  <c r="H214" i="5"/>
  <c r="Z214" i="5"/>
  <c r="P215" i="5"/>
  <c r="T215" i="5"/>
  <c r="L247" i="5"/>
  <c r="AA247" i="5" s="1"/>
  <c r="AJ182" i="5"/>
  <c r="F215" i="5" s="1"/>
  <c r="R247" i="5"/>
  <c r="H247" i="5"/>
  <c r="Y247" i="5" s="1"/>
  <c r="J247" i="5"/>
  <c r="Z247" i="5" s="1"/>
  <c r="N247" i="5"/>
  <c r="P247" i="5"/>
  <c r="AB246" i="5"/>
  <c r="M29" i="7" s="1"/>
  <c r="AJ213" i="5"/>
  <c r="P248" i="5" s="1"/>
  <c r="Y246" i="5"/>
  <c r="G29" i="7" s="1"/>
  <c r="V246" i="5"/>
  <c r="O29" i="7" s="1"/>
  <c r="T246" i="5"/>
  <c r="AL182" i="5"/>
  <c r="J215" i="5" s="1"/>
  <c r="AB215" i="5" l="1"/>
  <c r="H215" i="5"/>
  <c r="Z215" i="5"/>
  <c r="AB247" i="5"/>
  <c r="V247" i="5"/>
  <c r="T247" i="5"/>
  <c r="AJ214" i="5"/>
  <c r="J249" i="5" s="1"/>
  <c r="Z249" i="5" s="1"/>
  <c r="L248" i="5"/>
  <c r="AA248" i="5" s="1"/>
  <c r="N248" i="5"/>
  <c r="AB248" i="5" s="1"/>
  <c r="J248" i="5"/>
  <c r="Z248" i="5" s="1"/>
  <c r="F248" i="5"/>
  <c r="R248" i="5"/>
  <c r="H248" i="5"/>
  <c r="F249" i="5" l="1"/>
  <c r="N249" i="5"/>
  <c r="H249" i="5"/>
  <c r="R249" i="5"/>
  <c r="L249" i="5"/>
  <c r="AA249" i="5" s="1"/>
  <c r="AJ215" i="5"/>
  <c r="P250" i="5" s="1"/>
  <c r="P249" i="5"/>
  <c r="Y248" i="5"/>
  <c r="V248" i="5"/>
  <c r="T248" i="5"/>
  <c r="Y249" i="5" l="1"/>
  <c r="AB249" i="5"/>
  <c r="N250" i="5"/>
  <c r="AB250" i="5" s="1"/>
  <c r="R250" i="5"/>
  <c r="H250" i="5"/>
  <c r="F250" i="5"/>
  <c r="J250" i="5"/>
  <c r="Z250" i="5" s="1"/>
  <c r="T249" i="5"/>
  <c r="L250" i="5"/>
  <c r="AA250" i="5" s="1"/>
  <c r="V249" i="5"/>
  <c r="Y250" i="5" l="1"/>
  <c r="V250" i="5"/>
  <c r="V251" i="5" s="1"/>
  <c r="R6" i="10" s="1"/>
  <c r="T250" i="5"/>
</calcChain>
</file>

<file path=xl/sharedStrings.xml><?xml version="1.0" encoding="utf-8"?>
<sst xmlns="http://schemas.openxmlformats.org/spreadsheetml/2006/main" count="2286" uniqueCount="443">
  <si>
    <t>TỪ KHÓA</t>
  </si>
  <si>
    <t>Năm bắt đầu theo dõi</t>
  </si>
  <si>
    <t>Danh mục chi phí</t>
  </si>
  <si>
    <t>#</t>
  </si>
  <si>
    <t>Khoản mục</t>
  </si>
  <si>
    <t>Mua thực phẩm</t>
  </si>
  <si>
    <t>Mua đồ dùng trong nhà</t>
  </si>
  <si>
    <t>Đi ăn ở ngoài</t>
  </si>
  <si>
    <t>Chi tiền phát triển bản thân</t>
  </si>
  <si>
    <t>Chi tiền bảo hiểm</t>
  </si>
  <si>
    <t>Chi tiền điện, nước, internet, điện thoại, xăng xe</t>
  </si>
  <si>
    <t>Chi tiền giải trí, quà tặng</t>
  </si>
  <si>
    <t>Chi tiền cho con</t>
  </si>
  <si>
    <t>Chi tiền trả nợ</t>
  </si>
  <si>
    <t>Chi tiền cho tặng gia đình</t>
  </si>
  <si>
    <t>Chi tiêu 1</t>
  </si>
  <si>
    <t>Chi tiêu 2</t>
  </si>
  <si>
    <t>Chi tiêu 3</t>
  </si>
  <si>
    <t>Chi tiêu 4</t>
  </si>
  <si>
    <t>Chi tiêu 5</t>
  </si>
  <si>
    <t>Danh mục thu nhập</t>
  </si>
  <si>
    <t>Lương từ công ty</t>
  </si>
  <si>
    <t>Kế hoạch phát triển</t>
  </si>
  <si>
    <t>Mua sách</t>
  </si>
  <si>
    <t>Khóa học ngắn hạn</t>
  </si>
  <si>
    <t>Danh mục sản phẩm đầu tư</t>
  </si>
  <si>
    <t>Mức sinh lời TB 5 năm</t>
  </si>
  <si>
    <t>Rủi ro</t>
  </si>
  <si>
    <t>ETF - ETFVFM</t>
  </si>
  <si>
    <t>ETF - ETFFINLEAD</t>
  </si>
  <si>
    <t>DCBC</t>
  </si>
  <si>
    <t>DCDS</t>
  </si>
  <si>
    <t>DCBF</t>
  </si>
  <si>
    <t>Trái phiếu Techcombank</t>
  </si>
  <si>
    <t>Trái phiếu FE Credit</t>
  </si>
  <si>
    <t>Finhay</t>
  </si>
  <si>
    <t>Bảo hiểm thuần túy</t>
  </si>
  <si>
    <t>Tiền gửi ngân hàng</t>
  </si>
  <si>
    <t>Sản phẩm 1</t>
  </si>
  <si>
    <t>Sản phẩm 2</t>
  </si>
  <si>
    <t>Sản phẩm 3</t>
  </si>
  <si>
    <t>Quy ước màu chữ:</t>
  </si>
  <si>
    <t>Màu xanh dương: Nhập dữ liệu</t>
  </si>
  <si>
    <t>Màu đen: Kết quả trung gian</t>
  </si>
  <si>
    <t>Màu đỏ: Dữ liệu quan trọng</t>
  </si>
  <si>
    <t>Đơn vị: triệu đồng</t>
  </si>
  <si>
    <t>Xác định đích đến cuộc sống</t>
  </si>
  <si>
    <t>Thời điểm</t>
  </si>
  <si>
    <t>Nội dung</t>
  </si>
  <si>
    <t>Giá trị</t>
  </si>
  <si>
    <t>Quỹ dự phòng tài chính</t>
  </si>
  <si>
    <t>Tỷ lệ tiết kiệm mục tiêu</t>
  </si>
  <si>
    <t>Định vị giá trị bản thân</t>
  </si>
  <si>
    <t>Phân tích hoàn cảnh gia đình</t>
  </si>
  <si>
    <t>Phân tích về môi trường làm việc</t>
  </si>
  <si>
    <t>Khảo sát khả năng chịu đựng rủi ro</t>
  </si>
  <si>
    <t>Khảo sát hoàn cảnh</t>
  </si>
  <si>
    <t>Link khảo sát</t>
  </si>
  <si>
    <t>Giá trị khoản nợ</t>
  </si>
  <si>
    <t>Số tiền nợ đã thanh toán trước đó</t>
  </si>
  <si>
    <t>Mục tiêu thanh toán hiện tại</t>
  </si>
  <si>
    <t>Tóm tắt kế hoạch</t>
  </si>
  <si>
    <t>Số tiền thanh toán hàng tháng</t>
  </si>
  <si>
    <t>Số tiền thanh toán hàng năm</t>
  </si>
  <si>
    <t>Sản phẩm đầu tư</t>
  </si>
  <si>
    <t>Mức sinh lời kỳ vọng trung bình</t>
  </si>
  <si>
    <t>Loại sản phẩm</t>
  </si>
  <si>
    <t>Tỷ trọng</t>
  </si>
  <si>
    <t>Lợi nhuận</t>
  </si>
  <si>
    <t>Lãi suất vay (năm)</t>
  </si>
  <si>
    <t>Số tiền tích lũy hiện có</t>
  </si>
  <si>
    <t>Thời gian trả nợ còn lại (năm)</t>
  </si>
  <si>
    <t>Thời gian tiết kiệm (năm)</t>
  </si>
  <si>
    <t>TG sống dự kiến sau khi nghỉ hưu (năm)</t>
  </si>
  <si>
    <t>Số tiền hưu trí cần mỗi tháng</t>
  </si>
  <si>
    <t>Số tiền muốn để lại sau khi mất</t>
  </si>
  <si>
    <t>Số tiền cần có khi về hưu</t>
  </si>
  <si>
    <t>LS tiết kiệm/đầu tư ước tính (năm)</t>
  </si>
  <si>
    <t>Số tiền dự phòng đã có</t>
  </si>
  <si>
    <t>Chi phí chi tiêu ước tính (tháng)</t>
  </si>
  <si>
    <t>Số tháng dự phòng</t>
  </si>
  <si>
    <t>Tổng ước tính chi phí (năm)</t>
  </si>
  <si>
    <t>Giá trị cần đạt</t>
  </si>
  <si>
    <t>Mục tiêu tiết kiệm cần đạt</t>
  </si>
  <si>
    <t>Năm</t>
  </si>
  <si>
    <t>Số tuổi</t>
  </si>
  <si>
    <t>Tiết kiệm cần có</t>
  </si>
  <si>
    <t>Thu nhập cần có</t>
  </si>
  <si>
    <t>BH liên kết đầu tư</t>
  </si>
  <si>
    <t>Theo dõi sản phẩm đầu tư chi tiết</t>
  </si>
  <si>
    <t>Theo dõi phân bổ tài sản đầu tư</t>
  </si>
  <si>
    <t>% E(R)</t>
  </si>
  <si>
    <t>ETF</t>
  </si>
  <si>
    <t>Chứng chỉ quỹ cổ phiếu</t>
  </si>
  <si>
    <t>Trái phiếu và chứng chỉ quỹ trái phiếu</t>
  </si>
  <si>
    <t>Bảo hiểm</t>
  </si>
  <si>
    <t>Tiết kiệm</t>
  </si>
  <si>
    <t>Sản phẩm khác</t>
  </si>
  <si>
    <t>Mức sinh lời 
ước tính</t>
  </si>
  <si>
    <t>Tổng cộng</t>
  </si>
  <si>
    <t>Mức sinh lời kỳ vọng trung bình theo thời gian</t>
  </si>
  <si>
    <t>Tổng tiết kiệm cần đạt</t>
  </si>
  <si>
    <t>Mức sinh lời trung bình ước tính</t>
  </si>
  <si>
    <t>XÁC ĐỊNH MỤC TIÊU BẢN THÂN</t>
  </si>
  <si>
    <t>XÁC ĐỊNH MỤC TIÊU TÀI CHÍNH</t>
  </si>
  <si>
    <t>THEO DÕI TÀI CHÍNH CÁ NHÂN</t>
  </si>
  <si>
    <t>Thu nhập thực tế</t>
  </si>
  <si>
    <t>Thu nhập theo lộ trình nghề nghiệp</t>
  </si>
  <si>
    <t>Tuổi</t>
  </si>
  <si>
    <t>Cổ phiếu</t>
  </si>
  <si>
    <t>Trái phiếu</t>
  </si>
  <si>
    <t>Tiền gửi</t>
  </si>
  <si>
    <t>Công cụ</t>
  </si>
  <si>
    <t>Mức sinh lời cần thiết</t>
  </si>
  <si>
    <t>Kỹ năng cần thiết</t>
  </si>
  <si>
    <t>Kỹ năng làm việc nhóm</t>
  </si>
  <si>
    <t>Kỹ năng leader, kỹ năng xây dựng mô hình kinh doanh</t>
  </si>
  <si>
    <t>Kỹ năng lãnh đạo</t>
  </si>
  <si>
    <t>Kỹ năng quản lý doanh nghiệp</t>
  </si>
  <si>
    <t>Kỹ năng tạo lập cộng đồng</t>
  </si>
  <si>
    <t>CÂN ĐỐI LỘ TRÌNH NGHỀ NGHIỆP</t>
  </si>
  <si>
    <t>Kế hoạch thu nhập</t>
  </si>
  <si>
    <t>Diễn giải</t>
  </si>
  <si>
    <t>Phân tích</t>
  </si>
  <si>
    <t>Tổng thu nhập</t>
  </si>
  <si>
    <t>Kết quả</t>
  </si>
  <si>
    <t>Năm kết thúc</t>
  </si>
  <si>
    <t>Năm bắt đầu</t>
  </si>
  <si>
    <t>Thời điểm (tuổi)</t>
  </si>
  <si>
    <t>Phần 3: Theo dõi mục tiêu tài chính và đầu tư các loại tài sản</t>
  </si>
  <si>
    <t>Thu nhập 
cần có</t>
  </si>
  <si>
    <t>Tháng 1</t>
  </si>
  <si>
    <t>Phần 1</t>
  </si>
  <si>
    <t>Phần 2</t>
  </si>
  <si>
    <t>Phần 3</t>
  </si>
  <si>
    <t>Phần 1: Theo dõi thu chi</t>
  </si>
  <si>
    <t>Tổng chi phí</t>
  </si>
  <si>
    <t>Tháng 2</t>
  </si>
  <si>
    <t>Tháng 3</t>
  </si>
  <si>
    <t>Tháng 4</t>
  </si>
  <si>
    <t>Tháng 5</t>
  </si>
  <si>
    <t>Tháng 6</t>
  </si>
  <si>
    <t>Tháng 7</t>
  </si>
  <si>
    <t>Thu nhập chi tiết</t>
  </si>
  <si>
    <t>Tổng kết thu nhập</t>
  </si>
  <si>
    <t>Tháng 8</t>
  </si>
  <si>
    <t>Thời gian</t>
  </si>
  <si>
    <t>Danh mục</t>
  </si>
  <si>
    <t>Tổng</t>
  </si>
  <si>
    <t>Kế hoạch</t>
  </si>
  <si>
    <t>Thực tế</t>
  </si>
  <si>
    <t>Chênh lệch</t>
  </si>
  <si>
    <t>Lý do</t>
  </si>
  <si>
    <t>Biện pháp</t>
  </si>
  <si>
    <t>Tháng 9</t>
  </si>
  <si>
    <t>Tháng 10</t>
  </si>
  <si>
    <t>Tháng 11</t>
  </si>
  <si>
    <t>Tháng 12</t>
  </si>
  <si>
    <t>Mua sắm tết</t>
  </si>
  <si>
    <t>Tiền điện</t>
  </si>
  <si>
    <t>Đi ăn với khách hàng</t>
  </si>
  <si>
    <t>Tiền nước</t>
  </si>
  <si>
    <t>Tiền wifi</t>
  </si>
  <si>
    <t>Tiền xăng</t>
  </si>
  <si>
    <t>Tiền điện thoại</t>
  </si>
  <si>
    <t>Khóa học</t>
  </si>
  <si>
    <t>Kết quả tạo ra dự kiến</t>
  </si>
  <si>
    <t>Sách tài chính</t>
  </si>
  <si>
    <t>Bổ sung kiến thức</t>
  </si>
  <si>
    <t>Học lập trình</t>
  </si>
  <si>
    <t>Tổng tài sản</t>
  </si>
  <si>
    <t>Vay thế chấp</t>
  </si>
  <si>
    <t>Vay tín dụng</t>
  </si>
  <si>
    <t>Tài sản trừ nợ</t>
  </si>
  <si>
    <t>22/02/2022</t>
  </si>
  <si>
    <t>Tổng kết</t>
  </si>
  <si>
    <t>Mục tiêu tài chính</t>
  </si>
  <si>
    <t>Theo dõi hiệu quả thực hiện mục tiêu tài chính</t>
  </si>
  <si>
    <t>Phần 4: Theo dõi hiệu quả đầu tư</t>
  </si>
  <si>
    <t>Phần 4</t>
  </si>
  <si>
    <t>Cực kỳ thuận lợi</t>
  </si>
  <si>
    <t>&gt;30%</t>
  </si>
  <si>
    <t>20-30%</t>
  </si>
  <si>
    <t>Thuận lợi</t>
  </si>
  <si>
    <t>10-20%</t>
  </si>
  <si>
    <t>Bình thường</t>
  </si>
  <si>
    <t>x</t>
  </si>
  <si>
    <t>5-10%</t>
  </si>
  <si>
    <t>Ít thuận lợi</t>
  </si>
  <si>
    <t>&lt;5%</t>
  </si>
  <si>
    <t>Không thuận lợi</t>
  </si>
  <si>
    <t>Gần như không tăng</t>
  </si>
  <si>
    <t>Mức tăng thu nhập trung bình hàng năm của bạn trong 3 năm gần nhất?</t>
  </si>
  <si>
    <t>Rất lớn</t>
  </si>
  <si>
    <t>Tương đối lớn</t>
  </si>
  <si>
    <t>Chênh lệch vừa phải</t>
  </si>
  <si>
    <t>Không đáng kể</t>
  </si>
  <si>
    <t>Bạn đánh giá như thế nào trong mức chênh lệch thu nhập của những người làm trong công ty của mình?</t>
  </si>
  <si>
    <t>Tự đi làm thêm để lo cho mình</t>
  </si>
  <si>
    <t>Gia đình hỗ trợ học phí và vẫn phải đi làm thêm</t>
  </si>
  <si>
    <t>Phụ thuộc hoàn toàn vào gia đình</t>
  </si>
  <si>
    <t>Mô tả tình hình tài chính của bạn khi bạn khi còn đi học?</t>
  </si>
  <si>
    <t>Tốt hơn rất nhiều</t>
  </si>
  <si>
    <t>Tốt hơn</t>
  </si>
  <si>
    <t>Bằng mức trung bình</t>
  </si>
  <si>
    <t>Kém hơn</t>
  </si>
  <si>
    <t>Kém hơn rất nhiều</t>
  </si>
  <si>
    <t>Bạn đánh giá sức khỏe của mình như thế nào so với bạn bè và những người khác?</t>
  </si>
  <si>
    <t>Tích lũy nhiều nhất có thể</t>
  </si>
  <si>
    <t>Để lại các tài sản lớn cho con cái</t>
  </si>
  <si>
    <t>Trang bị các phương tiện cơ bản</t>
  </si>
  <si>
    <t>Chỉ hỗ trợ con cái chi phí giáo dục</t>
  </si>
  <si>
    <t>Bạn nghĩ gì về việc tích lũy một lượng tài sản nhất định để lại cho con cái?</t>
  </si>
  <si>
    <t>Bạn có bao nhiêu em nhỏ trong gia đình còn đi học?</t>
  </si>
  <si>
    <t>Hầu như năm nào cũng lập</t>
  </si>
  <si>
    <t>Thường xuyên</t>
  </si>
  <si>
    <t>Tùy hứng</t>
  </si>
  <si>
    <t>Hiếm khi</t>
  </si>
  <si>
    <t>Chưa bao giờ</t>
  </si>
  <si>
    <t>Bạn xây dựng như thế nào về kế hoạch đầu mỗi năm?</t>
  </si>
  <si>
    <t>&gt;800</t>
  </si>
  <si>
    <t>400-800</t>
  </si>
  <si>
    <t>49-54</t>
  </si>
  <si>
    <t>200-400</t>
  </si>
  <si>
    <t>40-48</t>
  </si>
  <si>
    <t>100-200</t>
  </si>
  <si>
    <t>31-39</t>
  </si>
  <si>
    <t>&lt;100</t>
  </si>
  <si>
    <t>22-30</t>
  </si>
  <si>
    <t>Số lượng bạn bè của bạn trên Facebook?</t>
  </si>
  <si>
    <t>13-21</t>
  </si>
  <si>
    <t>&lt;30 phút</t>
  </si>
  <si>
    <t>30 phút - 60 phút</t>
  </si>
  <si>
    <t>1-2 giờ</t>
  </si>
  <si>
    <t>2-3 giờ</t>
  </si>
  <si>
    <t>3-4 giờ</t>
  </si>
  <si>
    <t>Tần suất bạn quan tâm đến mạng xã hội mỗi ngày?</t>
  </si>
  <si>
    <t>150-300%</t>
  </si>
  <si>
    <t>100-150%</t>
  </si>
  <si>
    <t>70-100%</t>
  </si>
  <si>
    <t>50-70%</t>
  </si>
  <si>
    <t>&lt;50%</t>
  </si>
  <si>
    <t>Mức thu nhập của vợ/chồng của bạn so với bạn?</t>
  </si>
  <si>
    <t>0-10%</t>
  </si>
  <si>
    <t>Tỷ lệ trích thu nhập hàng tháng của bạn để gởi về cho gia đình?</t>
  </si>
  <si>
    <t>Đánh dấu X để lựa chọn</t>
  </si>
  <si>
    <t>40-50</t>
  </si>
  <si>
    <t>Khảo sát 2: Hoàn cảnh</t>
  </si>
  <si>
    <t>30-39</t>
  </si>
  <si>
    <t>21-29</t>
  </si>
  <si>
    <t>11-20</t>
  </si>
  <si>
    <t>&gt;50%</t>
  </si>
  <si>
    <t>30-50%</t>
  </si>
  <si>
    <t>Dưới 10%</t>
  </si>
  <si>
    <t>Tỷ lệ tiết kiệm của bạn hàng tháng sau khi trừ các chi phí?</t>
  </si>
  <si>
    <t>Hơn 2 tỷ đồng</t>
  </si>
  <si>
    <t>Từ 1-2 tỷ đồng</t>
  </si>
  <si>
    <t>500 triệu đến 1 tỷ đồng</t>
  </si>
  <si>
    <t>200 triệu đồng – 500 triệu đồng</t>
  </si>
  <si>
    <t>Dưới 200 triệu đồng</t>
  </si>
  <si>
    <t>Giá trị đầu tư tài sản hiện tại của bạn là?</t>
  </si>
  <si>
    <t>110 triệu</t>
  </si>
  <si>
    <t>Danh mục D</t>
  </si>
  <si>
    <t>Cho dù danh mục đầu tư của bạn có sụt giảm trong vài năm tuy nhiên bạn đủ nhận thức để kiên định với mục tiêu dài hạn ban đầu</t>
  </si>
  <si>
    <t>109 triệu</t>
  </si>
  <si>
    <t>Danh mục C</t>
  </si>
  <si>
    <t>Bạn chịu được việc danh mục sụt giảm và hoàn có thể duy trì trạng thái đầu tư của danh mục trong một năm</t>
  </si>
  <si>
    <t>108 triệu</t>
  </si>
  <si>
    <t>Danh mục B</t>
  </si>
  <si>
    <t>Mặc dù việc sụt giảm khiến bạn không thoải mái nhưng bạn sẵn sàng chờ đợi giai đoạn phục hồi phía sau</t>
  </si>
  <si>
    <t>107 triệu</t>
  </si>
  <si>
    <t>Danh mục A</t>
  </si>
  <si>
    <t>Bạn sẽ bán các khoản đầu tư ngay lập tức nếu mức giảm đáng kể xảy ra</t>
  </si>
  <si>
    <t>Khả năng lỗ sau một năm</t>
  </si>
  <si>
    <t>Giá trị kỳ vọng của 100 triệu đồng sau một năm</t>
  </si>
  <si>
    <t>Danh mục đầu tư</t>
  </si>
  <si>
    <t>Việc đầu tư đôi khi phải đối mặt với những khoản lỗ. Bạn nghĩ gì về những giai đoạn có những khoản lỗ cho danh mục của mình?</t>
  </si>
  <si>
    <t>Mức sinh lời của danh mục có thể vượt xa mức lạm phát trong dài hạn và bạn sẵn sàng chấp nhận những mức sụt giảm có thể trong ngắn hạn để đạt được mục tiêu này</t>
  </si>
  <si>
    <t>Muốn một danh mục đầu tư cao hơn mức lạm phát vừa phải và sẵn sàng chấp nhận mức sụt giảm vừa phải trong ngắn hạn để đạt được mục tiêu này</t>
  </si>
  <si>
    <t>Bạn muốn giảm thiểu những biến động trong ngắn hạn cho danh mục đầu tư của mình càng nhiều càng tốt, việc cao hơn mức lạm phát hàng năm đáng kể không quá quan trọng</t>
  </si>
  <si>
    <t xml:space="preserve">Lạm phát có thể làm sụt giảm mức sinh lời thực tế từ danh mục đầu tư theo thời gian. Ví dụ, trong một năm điển hình với 3,5% tỷ lệ lạm phát, lợi nhuận 6% trước khi lạm phát sẽ có giá trị lợi nhuận thực chỉ 2,5%. Thông tin nào sau đây thể hiện quan điểm của bạn về nỗi lo lạm phát? </t>
  </si>
  <si>
    <t>Danh mục đầu tư D</t>
  </si>
  <si>
    <t>Danh mục đầu tư C</t>
  </si>
  <si>
    <t>Danh mục đầu tư B</t>
  </si>
  <si>
    <t>Danh mục đầu tư A</t>
  </si>
  <si>
    <t>Rủi ro danh mục đầu tư bị giảm giá trị (có mức sinh lời âm) thường là mối quan tâm hàng đầu của các nhà đầu tư. Tuy nhiên, để đạt được mức sinh lời cao hơn, nhà đầu tư phải sẵn sàng chấp nhận rủi ro lớn hơn. Bảng sau mô tả bốn các danh mục đầu tư với các thông tin về giá trị dự kiến và khả năng lỗ tiềm năng. Hãy cho biết bạn cảm thấy thoải mái khi lựa chọn danh mục nào nhất?</t>
  </si>
  <si>
    <t>Danh mục đầu tư Z</t>
  </si>
  <si>
    <t>Danh mục đầu tư Y</t>
  </si>
  <si>
    <t>Danh mục đầu tư X</t>
  </si>
  <si>
    <t>Biểu đồ bên dưới cho thấy mức sinh lời trung bình của ba danh mục đầu tư trong thời gian 20 năm. Danh mục nào theo bạn là phù hợp với bạn nhất?</t>
  </si>
  <si>
    <t>Bạn sẵn sàng chấp rủi ro cao để sớm đạt được mục tiêu tài chính của mình</t>
  </si>
  <si>
    <t>Bạn chủ yếu quan tâm đến việc tối đa hóa mức sinh lời để có thể đạt được mục tiêu như kế hoạch</t>
  </si>
  <si>
    <t>Bạn sẵn sàng chấp nhận khả năng rủi ro đầu tư để đạt mức sinh lời vừa phải</t>
  </si>
  <si>
    <t>Vấn đề bạn quan tâm nhất là hạn chế rủi ro. Bạn sẵn sàng chấp nhận mức sinh lời thấp để hạn chế tối đa rủi ro thua lỗ</t>
  </si>
  <si>
    <t>Hãy mô tả quan điểm của bạn đối với vấn đề mức sinh lời và rủi ro từ việc đầu tư?</t>
  </si>
  <si>
    <t>Ngay lập tức</t>
  </si>
  <si>
    <t>1–5 năm</t>
  </si>
  <si>
    <t>6–10 năm</t>
  </si>
  <si>
    <t>11–20 năm</t>
  </si>
  <si>
    <t>Hơn 20 năm</t>
  </si>
  <si>
    <t>Sau bao lâu thì bạn sẽ bắt đầu muốn rút tiền từ danh mục đầu tư của mình để phục vụ cho mục đích?</t>
  </si>
  <si>
    <t>Lớn hơn 6%</t>
  </si>
  <si>
    <t>Lớn hơn 4%, nhưng nhỏ hơn 6%</t>
  </si>
  <si>
    <t>Lớn hơn 2%, nhưng nhỏ hơn 4%</t>
  </si>
  <si>
    <t>Dưới 2%</t>
  </si>
  <si>
    <t>Không</t>
  </si>
  <si>
    <t>Bạn có cần thu nhập hàng tháng từ danh mục đầu tư không?</t>
  </si>
  <si>
    <t>&gt;4</t>
  </si>
  <si>
    <t>Bạn có bao nhiêu mục tiêu tài chính?</t>
  </si>
  <si>
    <t>Cột này sẽ ẩn lúc sau</t>
  </si>
  <si>
    <t>Khảo sát 1: Khả năng chịu đựng rủi ro đầu tư</t>
  </si>
  <si>
    <t>Quay về phần 
mục tiêu bản thân</t>
  </si>
  <si>
    <t>Bảng khảo sát đánh giá bản thân (Chỉ chọn 1 đáp án cho mỗi câu hỏi)</t>
  </si>
  <si>
    <t>Thu nhập</t>
  </si>
  <si>
    <t>Xu hướng</t>
  </si>
  <si>
    <t>Kế hoạch chi tiêu</t>
  </si>
  <si>
    <t>Danh mục chi tiêu</t>
  </si>
  <si>
    <t>Tổng chi tiêu</t>
  </si>
  <si>
    <t>Phần 2: Kế hoạch chi tiêu</t>
  </si>
  <si>
    <t>THEO DÕI THU - CHI THÁNG 1</t>
  </si>
  <si>
    <t>Chi tiêu chi tiết</t>
  </si>
  <si>
    <t>Tổng kết chi tiêu</t>
  </si>
  <si>
    <t>Giảm chi tiêu tháng sau</t>
  </si>
  <si>
    <t>Phần 1: Lộ trình tài chính cá nhân tổng thể</t>
  </si>
  <si>
    <t>Giá trị đầu tư</t>
  </si>
  <si>
    <t>Giá trị cuối kỳ</t>
  </si>
  <si>
    <t>Tổng nợ vay</t>
  </si>
  <si>
    <t>THEO DÕI THU - CHI THÁNG 2</t>
  </si>
  <si>
    <t>THEO DÕI THU - CHI THÁNG 3</t>
  </si>
  <si>
    <t>Học tài chính</t>
  </si>
  <si>
    <t>THEO DÕI THU - CHI THÁNG 4</t>
  </si>
  <si>
    <t>THEO DÕI THU - CHI THÁNG 6</t>
  </si>
  <si>
    <t>THEO DÕI THU - CHI THÁNG 5</t>
  </si>
  <si>
    <t>THEO DÕI THU - CHI THÁNG 7</t>
  </si>
  <si>
    <t>THEO DÕI THU - CHI THÁNG 8</t>
  </si>
  <si>
    <t>THEO DÕI THU - CHI THÁNG 9</t>
  </si>
  <si>
    <t>THEO DÕI THU - CHI THÁNG 10</t>
  </si>
  <si>
    <t>THEO DÕI THU - CHI THÁNG 11</t>
  </si>
  <si>
    <t>THEO DÕI THU - CHI THÁNG 12</t>
  </si>
  <si>
    <t>Chi phí phát triển bản thân</t>
  </si>
  <si>
    <t>Chi tiêu</t>
  </si>
  <si>
    <t>Quy ước: Tuổi bắt đầu có thu nhập là 22 tuổi</t>
  </si>
  <si>
    <t>Lũy kế chênh lệch</t>
  </si>
  <si>
    <t>Xác định mục tiêu tài chính</t>
  </si>
  <si>
    <t>Phần 2: Xây dựng lộ trình nghề nghiệp chi tiết</t>
  </si>
  <si>
    <t>Mô tả chi tiết</t>
  </si>
  <si>
    <t>Các khoản thu nhập</t>
  </si>
  <si>
    <t>Các khoản chi tiêu</t>
  </si>
  <si>
    <t>Phần 2: Các khoản đầu tư phát triển bản thân chi tiết</t>
  </si>
  <si>
    <t>Các khoản đầu tư</t>
  </si>
  <si>
    <t>Các khoản đầu tư phát triển bản thân chi tiết</t>
  </si>
  <si>
    <t>Tổng số tiền đã chi</t>
  </si>
  <si>
    <t>Kết quả tạo ra thực tế</t>
  </si>
  <si>
    <t>Thống kê các khoản chi đầu tư phát triển bản thân</t>
  </si>
  <si>
    <t>Giải pháp</t>
  </si>
  <si>
    <t>Phần 3: Theo dõi các tài sản đang nắm giữ và các khoản nợ vay cuối kỳ</t>
  </si>
  <si>
    <t>Các loại tài sản đang nắm giữ</t>
  </si>
  <si>
    <t>Các khoản nợ đang vay</t>
  </si>
  <si>
    <t>Theo dõi mục tiêu tài chính thực hiện trong tương lai chi tiết</t>
  </si>
  <si>
    <t>Phần 2: Xác định mức tiết kiệm cần đạt được và thu nhập cần có</t>
  </si>
  <si>
    <t>KẾ HOẠCH THU NHẬP VÀ CHI TIÊU CHO TỪNG THÁNG</t>
  </si>
  <si>
    <t>Phần 1: Kế hoạch thu nhập trong tháng</t>
  </si>
  <si>
    <t>Tổng thu nhập trong 1 năm</t>
  </si>
  <si>
    <t>Tổng chi phí trong 1 năm</t>
  </si>
  <si>
    <t>Tài sản đầu tư</t>
  </si>
  <si>
    <t>Nguồn lực con người</t>
  </si>
  <si>
    <t>Các khoản chi phí phải trả</t>
  </si>
  <si>
    <t>Đám cưới</t>
  </si>
  <si>
    <t>Môi trường làm việc có sự cạnh tranh gay gắt, áp lực KPI</t>
  </si>
  <si>
    <t>Sẵn sàng học hỏi cái mới</t>
  </si>
  <si>
    <t>Số tiền cần có để đạt mục tiêu tài chính</t>
  </si>
  <si>
    <t>Đất</t>
  </si>
  <si>
    <t>Thu nhập khác</t>
  </si>
  <si>
    <t xml:space="preserve">Mua sắm các đồ dùng mới thay cho đồ dùng cũ </t>
  </si>
  <si>
    <t>Phát sinh nhiều tiệc cưới và đi ăn với khách hàng</t>
  </si>
  <si>
    <t>Cần bổ sung các kiến thức cần thiết</t>
  </si>
  <si>
    <t>Giá xăng tăng mạnh</t>
  </si>
  <si>
    <t xml:space="preserve">Bảo hiểm y tế </t>
  </si>
  <si>
    <t>Sinh nhật</t>
  </si>
  <si>
    <t>Gia hạn gói Nexflix 3 tháng</t>
  </si>
  <si>
    <t>Học tiếng Anh</t>
  </si>
  <si>
    <t>Trang bị khả năng giao tiếp</t>
  </si>
  <si>
    <t>Nhận thực phẩm từ gia đình</t>
  </si>
  <si>
    <t xml:space="preserve">Mua đồ dùng cần thiết </t>
  </si>
  <si>
    <t>Chi bảo hiểm y tế toàn dân thời hạn 1 năm</t>
  </si>
  <si>
    <t>Chỉ đi lại khi cần thiết</t>
  </si>
  <si>
    <t>Sinh nhật bạn bè</t>
  </si>
  <si>
    <t>Giá thực phẩm tăng mạnh</t>
  </si>
  <si>
    <t>Mua sắm đồ dùng cần thiết</t>
  </si>
  <si>
    <t>Cần bổ sung kiến thức cần thiết</t>
  </si>
  <si>
    <t>Mua đồ dùng cần thiết</t>
  </si>
  <si>
    <t>Đi ăn với khách hàng và đồng nghiệp</t>
  </si>
  <si>
    <t>Khóa học kỹ năng</t>
  </si>
  <si>
    <t>Trang bị kỹ năng cần thiết</t>
  </si>
  <si>
    <t>Gia hạn gói giải trí thời hạn 3 tháng</t>
  </si>
  <si>
    <t>Xăng</t>
  </si>
  <si>
    <t>Mua khóa học tiếng Anh</t>
  </si>
  <si>
    <t>Khóa học tiếng Anh</t>
  </si>
  <si>
    <t xml:space="preserve">Cần mua nhiều thiết bị </t>
  </si>
  <si>
    <t>Giảm chi tháng sau</t>
  </si>
  <si>
    <t>Khóa học lên giá</t>
  </si>
  <si>
    <t>Tìm kiếm khóa rẻ hơn</t>
  </si>
  <si>
    <t>Xăng tăng giá</t>
  </si>
  <si>
    <t>Lớp tổ chức liên hoan</t>
  </si>
  <si>
    <t>Mua nhiều sách và khóa học tiếng Anh</t>
  </si>
  <si>
    <t>Xăng tăng, dùng nhiều điện</t>
  </si>
  <si>
    <t>Tiế kiệm điện hơn</t>
  </si>
  <si>
    <t>Thực phẩm tăng giá</t>
  </si>
  <si>
    <t xml:space="preserve">Tiếp khách </t>
  </si>
  <si>
    <t>Mua nhiều sách hơn</t>
  </si>
  <si>
    <t>Xăng tăng</t>
  </si>
  <si>
    <t>Trang trí, mua đồ dùng cuối năm</t>
  </si>
  <si>
    <t>Khóa học tài chính</t>
  </si>
  <si>
    <t>Từng bước đạt mục tiêu tài chính trong tương lai</t>
  </si>
  <si>
    <t>Mua rau củ quả, gạo</t>
  </si>
  <si>
    <t>Mua máy ép</t>
  </si>
  <si>
    <t>Đi gặp bạn cũ</t>
  </si>
  <si>
    <t>Điện</t>
  </si>
  <si>
    <t>Nước</t>
  </si>
  <si>
    <t>Internet</t>
  </si>
  <si>
    <t>Thưởng KPI</t>
  </si>
  <si>
    <t>Chi phát triển bản thân khác</t>
  </si>
  <si>
    <t>Thưởng tết</t>
  </si>
  <si>
    <t>Khóa học dài hạn</t>
  </si>
  <si>
    <t>Tham gia các buổi diễn thuyết</t>
  </si>
  <si>
    <t>Xác định các khoản nợ tài chính</t>
  </si>
  <si>
    <t>Phần 1: Thanh toán các khoản nợ và xây dựng mục tiêu tài chính</t>
  </si>
  <si>
    <t>Mục tiêu trả nợ</t>
  </si>
  <si>
    <t>Mục tiêu đầu tư</t>
  </si>
  <si>
    <t>THANH TOÁN CÁC KHOẢN NỢ</t>
  </si>
  <si>
    <t>XÂY DỰNG MỤC TIÊU TÀI CHÍNH</t>
  </si>
  <si>
    <t>Cổ phiếu riêng lẻ</t>
  </si>
  <si>
    <t>Nâng cao trình độ chuyên môn</t>
  </si>
  <si>
    <t>Du lịch xuyên Thái Lan</t>
  </si>
  <si>
    <t>Cho con đi học đại học</t>
  </si>
  <si>
    <t xml:space="preserve">Mua chung cư </t>
  </si>
  <si>
    <t>Vay mua chung cư</t>
  </si>
  <si>
    <t>Nhiệt huyết trong công việc</t>
  </si>
  <si>
    <t>Môi trường đa quốc gia, có nhiều cơ hội phát triển</t>
  </si>
  <si>
    <t xml:space="preserve">Có chế độ đãi ngộ tốt về lương thưởng, lương bổng </t>
  </si>
  <si>
    <t xml:space="preserve">Ba mẹ có hỗ trợ mua chung cư , lo đám cưới </t>
  </si>
  <si>
    <t>Hưu trí</t>
  </si>
  <si>
    <t>Khởi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</si>
</sst>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_(* \(#,##0.00\);_(* &quot;-&quot;??_);_(@_)"/>
    <numFmt numFmtId="164" formatCode="_(* #,##0.0_);_(* \(#,##0.0\);_(* &quot;-&quot;??_);_(@_)"/>
    <numFmt numFmtId="165" formatCode="_(* #,##0_);_(* \(#,##0\);_(* &quot;-&quot;??_);_(@_)"/>
    <numFmt numFmtId="166" formatCode="0.0%"/>
    <numFmt numFmtId="167" formatCode="#,##0.0"/>
    <numFmt numFmtId="168" formatCode="0.0"/>
    <numFmt numFmtId="169" formatCode="dd\/mm\/yyyy"/>
  </numFmts>
  <fonts count="59"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0"/>
      <name val="Noto Sans"/>
      <family val="2"/>
    </font>
    <font>
      <sz val="11"/>
      <color rgb="FF0070C0"/>
      <name val="Calibri"/>
      <family val="2"/>
      <scheme val="minor"/>
    </font>
    <font>
      <sz val="11"/>
      <color rgb="FFC00000"/>
      <name val="Calibri"/>
      <family val="2"/>
      <scheme val="minor"/>
    </font>
    <font>
      <b/>
      <sz val="22"/>
      <name val="Calibri"/>
      <family val="2"/>
      <scheme val="minor"/>
    </font>
    <font>
      <b/>
      <sz val="11"/>
      <name val="Calibri"/>
      <family val="2"/>
      <scheme val="minor"/>
    </font>
    <font>
      <b/>
      <sz val="15"/>
      <color theme="0"/>
      <name val="Calibri"/>
      <family val="2"/>
      <scheme val="minor"/>
    </font>
    <font>
      <b/>
      <sz val="15"/>
      <name val="Calibri"/>
      <family val="2"/>
      <scheme val="minor"/>
    </font>
    <font>
      <i/>
      <sz val="11"/>
      <color theme="1"/>
      <name val="Calibri"/>
      <family val="2"/>
      <scheme val="minor"/>
    </font>
    <font>
      <b/>
      <i/>
      <sz val="11"/>
      <color theme="1"/>
      <name val="Calibri"/>
      <family val="2"/>
      <scheme val="minor"/>
    </font>
    <font>
      <b/>
      <sz val="11"/>
      <color rgb="FF0070C0"/>
      <name val="Calibri"/>
      <family val="2"/>
      <scheme val="minor"/>
    </font>
    <font>
      <b/>
      <sz val="10"/>
      <color rgb="FF0070C0"/>
      <name val="Calibri"/>
      <family val="2"/>
      <scheme val="minor"/>
    </font>
    <font>
      <sz val="10"/>
      <color rgb="FF0070C0"/>
      <name val="Calibri"/>
      <family val="2"/>
      <scheme val="minor"/>
    </font>
    <font>
      <b/>
      <sz val="10"/>
      <name val="Calibri"/>
      <family val="2"/>
      <scheme val="minor"/>
    </font>
    <font>
      <sz val="11"/>
      <color theme="4" tint="-0.499984740745262"/>
      <name val="Calibri"/>
      <family val="2"/>
      <scheme val="minor"/>
    </font>
    <font>
      <b/>
      <sz val="11"/>
      <color rgb="FFC00000"/>
      <name val="Calibri"/>
      <family val="2"/>
      <scheme val="minor"/>
    </font>
    <font>
      <b/>
      <sz val="13"/>
      <color theme="0"/>
      <name val="Calibri"/>
      <family val="2"/>
      <scheme val="minor"/>
    </font>
    <font>
      <sz val="8"/>
      <name val="Calibri"/>
      <family val="2"/>
      <scheme val="minor"/>
    </font>
    <font>
      <b/>
      <sz val="10"/>
      <color theme="0"/>
      <name val="Calibri"/>
      <family val="2"/>
      <scheme val="minor"/>
    </font>
    <font>
      <b/>
      <sz val="15"/>
      <name val="Noto Sans"/>
      <family val="2"/>
    </font>
    <font>
      <sz val="11"/>
      <color theme="0"/>
      <name val="Calibri"/>
      <family val="2"/>
      <scheme val="minor"/>
    </font>
    <font>
      <b/>
      <sz val="11"/>
      <color theme="0"/>
      <name val="Noto Sans"/>
      <family val="2"/>
    </font>
    <font>
      <sz val="10"/>
      <color theme="4" tint="-0.499984740745262"/>
      <name val="Noto Sans"/>
      <family val="2"/>
    </font>
    <font>
      <b/>
      <sz val="10"/>
      <color theme="0"/>
      <name val="Noto Sans"/>
      <family val="2"/>
    </font>
    <font>
      <b/>
      <sz val="12"/>
      <color rgb="FFC00000"/>
      <name val="Calibri"/>
      <family val="2"/>
      <scheme val="minor"/>
    </font>
    <font>
      <b/>
      <sz val="10"/>
      <color rgb="FF0070C0"/>
      <name val="Noto Sans"/>
      <family val="2"/>
    </font>
    <font>
      <b/>
      <sz val="14"/>
      <color theme="1"/>
      <name val="Calibri"/>
      <family val="2"/>
      <scheme val="minor"/>
    </font>
    <font>
      <sz val="11"/>
      <color rgb="FFFF0000"/>
      <name val="Calibri"/>
      <family val="2"/>
      <scheme val="minor"/>
    </font>
    <font>
      <b/>
      <sz val="12"/>
      <name val="Calibri"/>
      <family val="2"/>
      <scheme val="minor"/>
    </font>
    <font>
      <u/>
      <sz val="11"/>
      <color theme="10"/>
      <name val="Calibri"/>
      <family val="2"/>
      <scheme val="minor"/>
    </font>
    <font>
      <b/>
      <sz val="14"/>
      <color theme="0"/>
      <name val="Noto Sans"/>
      <family val="2"/>
    </font>
    <font>
      <sz val="10"/>
      <name val="Noto Sans"/>
      <family val="2"/>
    </font>
    <font>
      <sz val="32"/>
      <color theme="4" tint="-0.499984740745262"/>
      <name val="Calibri Light"/>
      <family val="2"/>
      <scheme val="major"/>
    </font>
    <font>
      <b/>
      <sz val="11"/>
      <name val="Noto Sans"/>
      <family val="2"/>
    </font>
    <font>
      <b/>
      <sz val="14"/>
      <name val="Noto Sans"/>
      <family val="2"/>
    </font>
    <font>
      <sz val="10"/>
      <color rgb="FF0070C0"/>
      <name val="Noto Sans"/>
      <family val="2"/>
    </font>
    <font>
      <sz val="11"/>
      <color theme="0" tint="-0.34998626667073579"/>
      <name val="Calibri"/>
      <family val="2"/>
      <scheme val="minor"/>
    </font>
    <font>
      <sz val="23"/>
      <color theme="0" tint="-4.9989318521683403E-2"/>
      <name val="Calibri Light"/>
      <family val="2"/>
      <scheme val="major"/>
    </font>
    <font>
      <sz val="11"/>
      <name val="Calibri"/>
      <family val="2"/>
      <scheme val="minor"/>
    </font>
    <font>
      <b/>
      <sz val="12"/>
      <color theme="0"/>
      <name val="Calibri"/>
      <family val="2"/>
      <scheme val="minor"/>
    </font>
    <font>
      <b/>
      <sz val="20"/>
      <name val="Calibri"/>
      <family val="2"/>
      <scheme val="minor"/>
    </font>
    <font>
      <sz val="20"/>
      <name val="Calibri"/>
      <family val="2"/>
      <scheme val="minor"/>
    </font>
    <font>
      <i/>
      <sz val="10"/>
      <color theme="4" tint="-0.499984740745262"/>
      <name val="Calibri"/>
      <family val="2"/>
      <scheme val="minor"/>
    </font>
    <font>
      <b/>
      <i/>
      <sz val="12"/>
      <color theme="4" tint="-0.499984740745262"/>
      <name val="Calibri"/>
      <family val="2"/>
      <scheme val="minor"/>
    </font>
    <font>
      <i/>
      <sz val="10"/>
      <color theme="0"/>
      <name val="Calibri"/>
      <family val="2"/>
      <scheme val="minor"/>
    </font>
    <font>
      <b/>
      <sz val="10"/>
      <color theme="4" tint="-0.499984740745262"/>
      <name val="Calibri"/>
      <family val="2"/>
      <scheme val="minor"/>
    </font>
    <font>
      <b/>
      <sz val="12"/>
      <color theme="4" tint="-0.499984740745262"/>
      <name val="Calibri"/>
      <family val="2"/>
      <scheme val="minor"/>
    </font>
    <font>
      <sz val="10"/>
      <color theme="4" tint="-0.499984740745262"/>
      <name val="Calibri"/>
      <family val="2"/>
      <scheme val="minor"/>
    </font>
    <font>
      <sz val="13"/>
      <color theme="4" tint="-0.499984740745262"/>
      <name val="Calibri"/>
      <family val="2"/>
      <scheme val="minor"/>
    </font>
    <font>
      <sz val="13"/>
      <name val="Calibri"/>
      <family val="2"/>
      <scheme val="minor"/>
    </font>
    <font>
      <i/>
      <sz val="10"/>
      <name val="Calibri"/>
      <family val="2"/>
      <scheme val="minor"/>
    </font>
    <font>
      <b/>
      <sz val="10"/>
      <color rgb="FFC00000"/>
      <name val="Noto Sans"/>
      <family val="2"/>
    </font>
    <font>
      <b/>
      <sz val="13"/>
      <name val="Calibri"/>
      <family val="2"/>
      <scheme val="minor"/>
    </font>
    <font>
      <b/>
      <sz val="20"/>
      <color rgb="FF0070C0"/>
      <name val="Calibri"/>
      <family val="2"/>
      <scheme val="minor"/>
    </font>
    <font>
      <b/>
      <sz val="15"/>
      <color theme="0"/>
      <name val="Noto Sans"/>
      <family val="2"/>
    </font>
    <font>
      <b/>
      <sz val="14"/>
      <color theme="0"/>
      <name val="Calibri"/>
      <family val="2"/>
      <scheme val="minor"/>
    </font>
  </fonts>
  <fills count="19">
    <fill>
      <patternFill patternType="none"/>
    </fill>
    <fill>
      <patternFill patternType="gray125"/>
    </fill>
    <fill>
      <patternFill patternType="solid">
        <fgColor theme="5"/>
        <bgColor indexed="64"/>
      </patternFill>
    </fill>
    <fill>
      <patternFill patternType="solid">
        <fgColor rgb="FF0070C0"/>
        <bgColor indexed="64"/>
      </patternFill>
    </fill>
    <fill>
      <patternFill patternType="solid">
        <fgColor theme="1"/>
        <bgColor indexed="64"/>
      </patternFill>
    </fill>
    <fill>
      <patternFill patternType="solid">
        <fgColor rgb="FFC00000"/>
        <bgColor indexed="64"/>
      </patternFill>
    </fill>
    <fill>
      <patternFill patternType="solid">
        <fgColor theme="6"/>
        <bgColor indexed="64"/>
      </patternFill>
    </fill>
    <fill>
      <patternFill patternType="solid">
        <fgColor theme="6" tint="0.59999389629810485"/>
        <bgColor indexed="64"/>
      </patternFill>
    </fill>
    <fill>
      <patternFill patternType="solid">
        <fgColor theme="3" tint="0.39997558519241921"/>
        <bgColor indexed="64"/>
      </patternFill>
    </fill>
    <fill>
      <patternFill patternType="solid">
        <fgColor theme="4"/>
        <bgColor indexed="64"/>
      </patternFill>
    </fill>
    <fill>
      <patternFill patternType="solid">
        <fgColor theme="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14996795556505021"/>
        <bgColor indexed="64"/>
      </patternFill>
    </fill>
    <fill>
      <patternFill patternType="solid">
        <fgColor theme="3" tint="0.59999389629810485"/>
        <bgColor indexed="64"/>
      </patternFill>
    </fill>
    <fill>
      <patternFill patternType="solid">
        <fgColor theme="3" tint="0.59999389629810485"/>
        <bgColor rgb="FF000000"/>
      </patternFill>
    </fill>
    <fill>
      <patternFill patternType="solid">
        <fgColor theme="6" tint="0.39997558519241921"/>
        <bgColor indexed="64"/>
      </patternFill>
    </fill>
  </fills>
  <borders count="143">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bottom style="medium">
        <color theme="5"/>
      </bottom>
      <diagonal/>
    </border>
    <border>
      <left/>
      <right/>
      <top style="medium">
        <color theme="5"/>
      </top>
      <bottom/>
      <diagonal/>
    </border>
    <border>
      <left/>
      <right style="medium">
        <color theme="0"/>
      </right>
      <top/>
      <bottom style="medium">
        <color theme="5"/>
      </bottom>
      <diagonal/>
    </border>
    <border>
      <left style="medium">
        <color theme="0"/>
      </left>
      <right style="medium">
        <color theme="0"/>
      </right>
      <top/>
      <bottom style="medium">
        <color theme="5"/>
      </bottom>
      <diagonal/>
    </border>
    <border>
      <left style="medium">
        <color theme="0"/>
      </left>
      <right/>
      <top/>
      <bottom style="medium">
        <color theme="5"/>
      </bottom>
      <diagonal/>
    </border>
    <border>
      <left/>
      <right style="medium">
        <color theme="0"/>
      </right>
      <top style="medium">
        <color theme="0"/>
      </top>
      <bottom/>
      <diagonal/>
    </border>
    <border>
      <left style="medium">
        <color theme="0"/>
      </left>
      <right style="medium">
        <color theme="0"/>
      </right>
      <top style="medium">
        <color theme="0"/>
      </top>
      <bottom/>
      <diagonal/>
    </border>
    <border>
      <left style="medium">
        <color theme="0"/>
      </left>
      <right/>
      <top style="medium">
        <color theme="0"/>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style="medium">
        <color theme="0"/>
      </right>
      <top style="medium">
        <color theme="5"/>
      </top>
      <bottom style="medium">
        <color theme="0"/>
      </bottom>
      <diagonal/>
    </border>
    <border>
      <left style="medium">
        <color theme="0"/>
      </left>
      <right style="medium">
        <color theme="0"/>
      </right>
      <top style="medium">
        <color theme="5"/>
      </top>
      <bottom style="medium">
        <color theme="0"/>
      </bottom>
      <diagonal/>
    </border>
    <border>
      <left style="medium">
        <color theme="0"/>
      </left>
      <right/>
      <top style="medium">
        <color theme="5"/>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medium">
        <color theme="0"/>
      </top>
      <bottom style="medium">
        <color theme="0"/>
      </bottom>
      <diagonal/>
    </border>
    <border>
      <left style="medium">
        <color theme="0"/>
      </left>
      <right/>
      <top style="medium">
        <color theme="0"/>
      </top>
      <bottom style="medium">
        <color theme="0"/>
      </bottom>
      <diagonal/>
    </border>
    <border>
      <left/>
      <right/>
      <top style="medium">
        <color theme="5"/>
      </top>
      <bottom style="medium">
        <color theme="0"/>
      </bottom>
      <diagonal/>
    </border>
    <border>
      <left/>
      <right/>
      <top style="medium">
        <color theme="0"/>
      </top>
      <bottom style="medium">
        <color theme="0"/>
      </bottom>
      <diagonal/>
    </border>
    <border>
      <left/>
      <right/>
      <top style="medium">
        <color theme="0"/>
      </top>
      <bottom/>
      <diagonal/>
    </border>
    <border>
      <left style="medium">
        <color theme="5"/>
      </left>
      <right/>
      <top style="medium">
        <color theme="5"/>
      </top>
      <bottom/>
      <diagonal/>
    </border>
    <border>
      <left/>
      <right style="medium">
        <color theme="5"/>
      </right>
      <top style="medium">
        <color theme="5"/>
      </top>
      <bottom/>
      <diagonal/>
    </border>
    <border>
      <left style="medium">
        <color theme="5"/>
      </left>
      <right/>
      <top/>
      <bottom/>
      <diagonal/>
    </border>
    <border>
      <left/>
      <right style="medium">
        <color theme="5"/>
      </right>
      <top/>
      <bottom/>
      <diagonal/>
    </border>
    <border>
      <left style="medium">
        <color theme="5"/>
      </left>
      <right/>
      <top/>
      <bottom style="medium">
        <color theme="5"/>
      </bottom>
      <diagonal/>
    </border>
    <border>
      <left/>
      <right style="medium">
        <color theme="5"/>
      </right>
      <top/>
      <bottom style="medium">
        <color theme="5"/>
      </bottom>
      <diagonal/>
    </border>
    <border>
      <left style="medium">
        <color theme="5"/>
      </left>
      <right/>
      <top style="medium">
        <color theme="5"/>
      </top>
      <bottom style="medium">
        <color theme="5"/>
      </bottom>
      <diagonal/>
    </border>
    <border>
      <left/>
      <right/>
      <top style="medium">
        <color theme="5"/>
      </top>
      <bottom style="medium">
        <color theme="5"/>
      </bottom>
      <diagonal/>
    </border>
    <border>
      <left/>
      <right style="medium">
        <color theme="5"/>
      </right>
      <top style="medium">
        <color theme="5"/>
      </top>
      <bottom style="medium">
        <color theme="5"/>
      </bottom>
      <diagonal/>
    </border>
    <border>
      <left style="medium">
        <color theme="5"/>
      </left>
      <right/>
      <top style="medium">
        <color theme="5"/>
      </top>
      <bottom style="thin">
        <color theme="5"/>
      </bottom>
      <diagonal/>
    </border>
    <border>
      <left/>
      <right/>
      <top style="medium">
        <color theme="5"/>
      </top>
      <bottom style="thin">
        <color theme="5"/>
      </bottom>
      <diagonal/>
    </border>
    <border>
      <left/>
      <right style="medium">
        <color theme="5"/>
      </right>
      <top style="medium">
        <color theme="5"/>
      </top>
      <bottom style="thin">
        <color theme="5"/>
      </bottom>
      <diagonal/>
    </border>
    <border>
      <left style="medium">
        <color theme="5"/>
      </left>
      <right/>
      <top/>
      <bottom style="thin">
        <color theme="5"/>
      </bottom>
      <diagonal/>
    </border>
    <border>
      <left/>
      <right/>
      <top/>
      <bottom style="thin">
        <color theme="5"/>
      </bottom>
      <diagonal/>
    </border>
    <border>
      <left/>
      <right style="medium">
        <color theme="0"/>
      </right>
      <top style="thin">
        <color theme="5"/>
      </top>
      <bottom style="medium">
        <color theme="0"/>
      </bottom>
      <diagonal/>
    </border>
    <border>
      <left style="medium">
        <color theme="0"/>
      </left>
      <right style="medium">
        <color theme="0"/>
      </right>
      <top style="thin">
        <color theme="5"/>
      </top>
      <bottom style="medium">
        <color theme="0"/>
      </bottom>
      <diagonal/>
    </border>
    <border>
      <left style="medium">
        <color theme="0"/>
      </left>
      <right style="medium">
        <color theme="5"/>
      </right>
      <top style="thin">
        <color theme="5"/>
      </top>
      <bottom style="medium">
        <color theme="0"/>
      </bottom>
      <diagonal/>
    </border>
    <border>
      <left style="medium">
        <color theme="0"/>
      </left>
      <right style="medium">
        <color theme="5"/>
      </right>
      <top style="medium">
        <color theme="0"/>
      </top>
      <bottom style="medium">
        <color theme="0"/>
      </bottom>
      <diagonal/>
    </border>
    <border>
      <left/>
      <right style="medium">
        <color theme="0"/>
      </right>
      <top style="medium">
        <color theme="0"/>
      </top>
      <bottom style="thin">
        <color theme="5"/>
      </bottom>
      <diagonal/>
    </border>
    <border>
      <left style="medium">
        <color theme="0"/>
      </left>
      <right style="medium">
        <color theme="0"/>
      </right>
      <top style="medium">
        <color theme="0"/>
      </top>
      <bottom style="thin">
        <color theme="5"/>
      </bottom>
      <diagonal/>
    </border>
    <border>
      <left style="medium">
        <color theme="0"/>
      </left>
      <right style="medium">
        <color theme="5"/>
      </right>
      <top style="medium">
        <color theme="0"/>
      </top>
      <bottom style="thin">
        <color theme="5"/>
      </bottom>
      <diagonal/>
    </border>
    <border>
      <left/>
      <right/>
      <top/>
      <bottom style="medium">
        <color theme="0"/>
      </bottom>
      <diagonal/>
    </border>
    <border>
      <left/>
      <right style="medium">
        <color theme="5"/>
      </right>
      <top/>
      <bottom style="medium">
        <color theme="0"/>
      </bottom>
      <diagonal/>
    </border>
    <border>
      <left/>
      <right style="medium">
        <color theme="5"/>
      </right>
      <top style="medium">
        <color theme="0"/>
      </top>
      <bottom style="medium">
        <color theme="0"/>
      </bottom>
      <diagonal/>
    </border>
    <border>
      <left/>
      <right/>
      <top style="medium">
        <color theme="0"/>
      </top>
      <bottom style="thin">
        <color theme="5"/>
      </bottom>
      <diagonal/>
    </border>
    <border>
      <left/>
      <right style="medium">
        <color theme="5"/>
      </right>
      <top style="medium">
        <color theme="0"/>
      </top>
      <bottom style="thin">
        <color theme="5"/>
      </bottom>
      <diagonal/>
    </border>
    <border>
      <left style="medium">
        <color theme="5"/>
      </left>
      <right/>
      <top style="thin">
        <color theme="5"/>
      </top>
      <bottom/>
      <diagonal/>
    </border>
    <border>
      <left/>
      <right/>
      <top style="thin">
        <color theme="5"/>
      </top>
      <bottom/>
      <diagonal/>
    </border>
    <border>
      <left/>
      <right/>
      <top style="medium">
        <color theme="0"/>
      </top>
      <bottom style="medium">
        <color theme="5"/>
      </bottom>
      <diagonal/>
    </border>
    <border>
      <left/>
      <right style="medium">
        <color theme="5"/>
      </right>
      <top style="medium">
        <color theme="0"/>
      </top>
      <bottom style="medium">
        <color theme="5"/>
      </bottom>
      <diagonal/>
    </border>
    <border>
      <left style="thin">
        <color theme="0" tint="-0.499984740745262"/>
      </left>
      <right style="thin">
        <color theme="0" tint="-0.499984740745262"/>
      </right>
      <top style="medium">
        <color theme="5"/>
      </top>
      <bottom style="thin">
        <color theme="0" tint="-0.499984740745262"/>
      </bottom>
      <diagonal/>
    </border>
    <border>
      <left style="thin">
        <color theme="0" tint="-0.499984740745262"/>
      </left>
      <right style="medium">
        <color theme="5"/>
      </right>
      <top style="medium">
        <color theme="5"/>
      </top>
      <bottom style="thin">
        <color theme="0" tint="-0.499984740745262"/>
      </bottom>
      <diagonal/>
    </border>
    <border>
      <left style="thin">
        <color theme="0" tint="-0.499984740745262"/>
      </left>
      <right style="medium">
        <color theme="5"/>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medium">
        <color theme="5"/>
      </bottom>
      <diagonal/>
    </border>
    <border>
      <left style="thin">
        <color theme="0" tint="-0.499984740745262"/>
      </left>
      <right style="medium">
        <color theme="5"/>
      </right>
      <top style="thin">
        <color theme="0" tint="-0.499984740745262"/>
      </top>
      <bottom style="medium">
        <color theme="5"/>
      </bottom>
      <diagonal/>
    </border>
    <border>
      <left/>
      <right style="thin">
        <color theme="0" tint="-0.499984740745262"/>
      </right>
      <top style="medium">
        <color theme="5"/>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style="medium">
        <color theme="5"/>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medium">
        <color theme="5"/>
      </left>
      <right/>
      <top style="thin">
        <color theme="0" tint="-0.499984740745262"/>
      </top>
      <bottom style="medium">
        <color theme="5"/>
      </bottom>
      <diagonal/>
    </border>
    <border>
      <left style="medium">
        <color theme="5"/>
      </left>
      <right/>
      <top/>
      <bottom style="thin">
        <color theme="0" tint="-0.499984740745262"/>
      </bottom>
      <diagonal/>
    </border>
    <border>
      <left style="medium">
        <color theme="5"/>
      </left>
      <right style="thin">
        <color theme="0" tint="-0.499984740745262"/>
      </right>
      <top style="medium">
        <color theme="5"/>
      </top>
      <bottom style="thin">
        <color theme="0" tint="-0.499984740745262"/>
      </bottom>
      <diagonal/>
    </border>
    <border>
      <left style="medium">
        <color theme="5"/>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diagonal/>
    </border>
    <border>
      <left style="thin">
        <color theme="0" tint="-0.499984740745262"/>
      </left>
      <right style="thin">
        <color theme="0" tint="-0.499984740745262"/>
      </right>
      <top style="thin">
        <color theme="0" tint="-0.499984740745262"/>
      </top>
      <bottom/>
      <diagonal/>
    </border>
    <border>
      <left style="medium">
        <color theme="5"/>
      </left>
      <right style="thin">
        <color theme="0" tint="-0.499984740745262"/>
      </right>
      <top style="thin">
        <color theme="0" tint="-0.499984740745262"/>
      </top>
      <bottom/>
      <diagonal/>
    </border>
    <border>
      <left style="thin">
        <color theme="0" tint="-0.499984740745262"/>
      </left>
      <right style="medium">
        <color theme="5"/>
      </right>
      <top/>
      <bottom style="thin">
        <color theme="0" tint="-0.499984740745262"/>
      </bottom>
      <diagonal/>
    </border>
    <border>
      <left style="medium">
        <color theme="5"/>
      </left>
      <right style="thin">
        <color theme="0" tint="-0.499984740745262"/>
      </right>
      <top/>
      <bottom style="thin">
        <color theme="0" tint="-0.499984740745262"/>
      </bottom>
      <diagonal/>
    </border>
    <border>
      <left style="medium">
        <color theme="5"/>
      </left>
      <right style="thin">
        <color theme="0" tint="-0.499984740745262"/>
      </right>
      <top style="thin">
        <color theme="0" tint="-0.499984740745262"/>
      </top>
      <bottom style="medium">
        <color theme="5"/>
      </bottom>
      <diagonal/>
    </border>
    <border>
      <left/>
      <right/>
      <top style="thin">
        <color theme="0" tint="-0.499984740745262"/>
      </top>
      <bottom style="medium">
        <color theme="5"/>
      </bottom>
      <diagonal/>
    </border>
    <border>
      <left/>
      <right style="medium">
        <color theme="5"/>
      </right>
      <top style="thin">
        <color theme="0" tint="-0.499984740745262"/>
      </top>
      <bottom style="medium">
        <color theme="5"/>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medium">
        <color theme="5"/>
      </top>
      <bottom style="thin">
        <color theme="0" tint="-0.499984740745262"/>
      </bottom>
      <diagonal/>
    </border>
    <border>
      <left/>
      <right/>
      <top style="thin">
        <color theme="5"/>
      </top>
      <bottom style="medium">
        <color theme="0"/>
      </bottom>
      <diagonal/>
    </border>
    <border>
      <left style="medium">
        <color theme="5"/>
      </left>
      <right style="thin">
        <color theme="0" tint="-0.499984740745262"/>
      </right>
      <top style="medium">
        <color theme="5"/>
      </top>
      <bottom style="medium">
        <color theme="5"/>
      </bottom>
      <diagonal/>
    </border>
    <border>
      <left style="thin">
        <color theme="0" tint="-0.499984740745262"/>
      </left>
      <right style="thin">
        <color theme="0" tint="-0.499984740745262"/>
      </right>
      <top style="medium">
        <color theme="5"/>
      </top>
      <bottom style="medium">
        <color theme="5"/>
      </bottom>
      <diagonal/>
    </border>
    <border>
      <left style="thin">
        <color theme="0" tint="-0.499984740745262"/>
      </left>
      <right style="medium">
        <color theme="5"/>
      </right>
      <top style="medium">
        <color theme="5"/>
      </top>
      <bottom style="medium">
        <color theme="5"/>
      </bottom>
      <diagonal/>
    </border>
    <border>
      <left style="thin">
        <color theme="0" tint="-0.499984740745262"/>
      </left>
      <right/>
      <top style="thin">
        <color theme="0" tint="-0.499984740745262"/>
      </top>
      <bottom style="medium">
        <color theme="5"/>
      </bottom>
      <diagonal/>
    </border>
    <border>
      <left style="medium">
        <color theme="5"/>
      </left>
      <right style="medium">
        <color theme="5"/>
      </right>
      <top style="medium">
        <color theme="5"/>
      </top>
      <bottom/>
      <diagonal/>
    </border>
    <border>
      <left style="medium">
        <color theme="5"/>
      </left>
      <right style="medium">
        <color theme="5"/>
      </right>
      <top/>
      <bottom style="medium">
        <color theme="5"/>
      </bottom>
      <diagonal/>
    </border>
    <border>
      <left/>
      <right/>
      <top/>
      <bottom style="medium">
        <color theme="5" tint="-0.249977111117893"/>
      </bottom>
      <diagonal/>
    </border>
    <border>
      <left style="thin">
        <color theme="0" tint="-0.499984740745262"/>
      </left>
      <right/>
      <top style="thin">
        <color theme="0" tint="-0.499984740745262"/>
      </top>
      <bottom/>
      <diagonal/>
    </border>
    <border>
      <left/>
      <right/>
      <top/>
      <bottom style="thin">
        <color theme="0" tint="-0.499984740745262"/>
      </bottom>
      <diagonal/>
    </border>
    <border>
      <left/>
      <right style="medium">
        <color theme="5" tint="-0.249977111117893"/>
      </right>
      <top style="medium">
        <color theme="5" tint="-0.249977111117893"/>
      </top>
      <bottom style="medium">
        <color theme="5" tint="-0.249977111117893"/>
      </bottom>
      <diagonal/>
    </border>
    <border>
      <left/>
      <right/>
      <top style="medium">
        <color theme="5" tint="-0.249977111117893"/>
      </top>
      <bottom style="medium">
        <color theme="5" tint="-0.249977111117893"/>
      </bottom>
      <diagonal/>
    </border>
    <border>
      <left style="medium">
        <color theme="5" tint="-0.249977111117893"/>
      </left>
      <right/>
      <top style="medium">
        <color theme="5" tint="-0.249977111117893"/>
      </top>
      <bottom style="medium">
        <color theme="5" tint="-0.249977111117893"/>
      </bottom>
      <diagonal/>
    </border>
    <border>
      <left style="thin">
        <color theme="5" tint="-0.249977111117893"/>
      </left>
      <right style="medium">
        <color theme="5" tint="-0.249977111117893"/>
      </right>
      <top style="thin">
        <color theme="5" tint="-0.249977111117893"/>
      </top>
      <bottom style="medium">
        <color theme="5" tint="-0.249977111117893"/>
      </bottom>
      <diagonal/>
    </border>
    <border>
      <left style="thin">
        <color theme="5" tint="-0.249977111117893"/>
      </left>
      <right style="thin">
        <color theme="5" tint="-0.249977111117893"/>
      </right>
      <top style="thin">
        <color theme="5" tint="-0.249977111117893"/>
      </top>
      <bottom style="medium">
        <color theme="5" tint="-0.249977111117893"/>
      </bottom>
      <diagonal/>
    </border>
    <border>
      <left style="medium">
        <color theme="5" tint="-0.249977111117893"/>
      </left>
      <right style="thin">
        <color theme="5" tint="-0.249977111117893"/>
      </right>
      <top style="thin">
        <color theme="5" tint="-0.249977111117893"/>
      </top>
      <bottom style="medium">
        <color theme="5" tint="-0.249977111117893"/>
      </bottom>
      <diagonal/>
    </border>
    <border>
      <left style="thin">
        <color theme="5" tint="-0.249977111117893"/>
      </left>
      <right style="medium">
        <color theme="5" tint="-0.249977111117893"/>
      </right>
      <top style="thin">
        <color theme="5" tint="-0.249977111117893"/>
      </top>
      <bottom style="thin">
        <color theme="5" tint="-0.249977111117893"/>
      </bottom>
      <diagonal/>
    </border>
    <border>
      <left style="thin">
        <color theme="5" tint="-0.249977111117893"/>
      </left>
      <right style="thin">
        <color theme="5" tint="-0.249977111117893"/>
      </right>
      <top style="thin">
        <color theme="5" tint="-0.249977111117893"/>
      </top>
      <bottom style="thin">
        <color theme="5" tint="-0.249977111117893"/>
      </bottom>
      <diagonal/>
    </border>
    <border>
      <left style="medium">
        <color theme="5" tint="-0.249977111117893"/>
      </left>
      <right style="thin">
        <color theme="5" tint="-0.249977111117893"/>
      </right>
      <top style="thin">
        <color theme="5" tint="-0.249977111117893"/>
      </top>
      <bottom style="thin">
        <color theme="5" tint="-0.249977111117893"/>
      </bottom>
      <diagonal/>
    </border>
    <border>
      <left style="thin">
        <color theme="5" tint="-0.249977111117893"/>
      </left>
      <right style="medium">
        <color theme="5" tint="-0.249977111117893"/>
      </right>
      <top style="medium">
        <color theme="5" tint="-0.249977111117893"/>
      </top>
      <bottom style="thin">
        <color theme="5" tint="-0.249977111117893"/>
      </bottom>
      <diagonal/>
    </border>
    <border>
      <left style="thin">
        <color theme="5" tint="-0.249977111117893"/>
      </left>
      <right style="thin">
        <color theme="5" tint="-0.249977111117893"/>
      </right>
      <top style="medium">
        <color theme="5" tint="-0.249977111117893"/>
      </top>
      <bottom style="thin">
        <color theme="5" tint="-0.249977111117893"/>
      </bottom>
      <diagonal/>
    </border>
    <border>
      <left style="medium">
        <color theme="5" tint="-0.249977111117893"/>
      </left>
      <right style="thin">
        <color theme="5" tint="-0.249977111117893"/>
      </right>
      <top style="medium">
        <color theme="5" tint="-0.249977111117893"/>
      </top>
      <bottom style="thin">
        <color theme="5" tint="-0.249977111117893"/>
      </bottom>
      <diagonal/>
    </border>
    <border>
      <left style="medium">
        <color theme="0"/>
      </left>
      <right style="medium">
        <color theme="0"/>
      </right>
      <top/>
      <bottom style="medium">
        <color theme="5" tint="-0.249977111117893"/>
      </bottom>
      <diagonal/>
    </border>
    <border>
      <left style="thin">
        <color theme="0" tint="-0.499984740745262"/>
      </left>
      <right/>
      <top style="thin">
        <color theme="0" tint="-0.24994659260841701"/>
      </top>
      <bottom style="thin">
        <color theme="0" tint="-0.499984740745262"/>
      </bottom>
      <diagonal/>
    </border>
    <border>
      <left/>
      <right style="thin">
        <color theme="0" tint="-0.499984740745262"/>
      </right>
      <top style="thin">
        <color theme="0" tint="-0.24994659260841701"/>
      </top>
      <bottom style="thin">
        <color theme="0" tint="-0.499984740745262"/>
      </bottom>
      <diagonal/>
    </border>
    <border>
      <left/>
      <right/>
      <top style="thin">
        <color theme="0" tint="-0.499984740745262"/>
      </top>
      <bottom style="thin">
        <color theme="0" tint="-0.499984740745262"/>
      </bottom>
      <diagonal/>
    </border>
    <border>
      <left style="medium">
        <color theme="5"/>
      </left>
      <right/>
      <top style="thin">
        <color theme="0" tint="-0.499984740745262"/>
      </top>
      <bottom style="thin">
        <color theme="0" tint="-0.499984740745262"/>
      </bottom>
      <diagonal/>
    </border>
    <border>
      <left style="thin">
        <color theme="0" tint="-0.499984740745262"/>
      </left>
      <right style="medium">
        <color theme="5"/>
      </right>
      <top style="thin">
        <color theme="4" tint="0.39997558519241921"/>
      </top>
      <bottom style="thin">
        <color theme="0" tint="-0.499984740745262"/>
      </bottom>
      <diagonal/>
    </border>
    <border>
      <left style="thin">
        <color theme="0" tint="-0.499984740745262"/>
      </left>
      <right style="medium">
        <color theme="5"/>
      </right>
      <top style="thin">
        <color theme="0" tint="-0.499984740745262"/>
      </top>
      <bottom style="thin">
        <color theme="4" tint="0.39997558519241921"/>
      </bottom>
      <diagonal/>
    </border>
    <border>
      <left/>
      <right style="thin">
        <color theme="0" tint="-0.499984740745262"/>
      </right>
      <top/>
      <bottom style="medium">
        <color theme="5"/>
      </bottom>
      <diagonal/>
    </border>
    <border>
      <left style="thin">
        <color theme="0" tint="-0.499984740745262"/>
      </left>
      <right style="medium">
        <color theme="5"/>
      </right>
      <top/>
      <bottom style="medium">
        <color theme="5"/>
      </bottom>
      <diagonal/>
    </border>
    <border>
      <left/>
      <right style="thin">
        <color theme="0" tint="-0.499984740745262"/>
      </right>
      <top style="thin">
        <color theme="0" tint="-0.499984740745262"/>
      </top>
      <bottom style="thin">
        <color theme="0" tint="-0.24994659260841701"/>
      </bottom>
      <diagonal/>
    </border>
    <border>
      <left style="medium">
        <color theme="5"/>
      </left>
      <right/>
      <top style="thin">
        <color theme="0" tint="-0.499984740745262"/>
      </top>
      <bottom style="thin">
        <color theme="0" tint="-0.24994659260841701"/>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medium">
        <color indexed="64"/>
      </left>
      <right style="thin">
        <color theme="0" tint="-0.499984740745262"/>
      </right>
      <top style="thin">
        <color theme="0" tint="-0.499984740745262"/>
      </top>
      <bottom style="thin">
        <color theme="0" tint="-0.499984740745262"/>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0" tint="-0.499984740745262"/>
      </right>
      <top/>
      <bottom/>
      <diagonal/>
    </border>
    <border>
      <left/>
      <right style="thin">
        <color theme="0" tint="-0.499984740745262"/>
      </right>
      <top style="thin">
        <color theme="0" tint="-0.499984740745262"/>
      </top>
      <bottom style="double">
        <color theme="5"/>
      </bottom>
      <diagonal/>
    </border>
    <border>
      <left style="thin">
        <color theme="0" tint="-0.499984740745262"/>
      </left>
      <right style="thin">
        <color theme="0" tint="-0.499984740745262"/>
      </right>
      <top style="thin">
        <color theme="0" tint="-0.499984740745262"/>
      </top>
      <bottom style="double">
        <color theme="5"/>
      </bottom>
      <diagonal/>
    </border>
    <border>
      <left style="thin">
        <color theme="0" tint="-0.499984740745262"/>
      </left>
      <right/>
      <top style="thin">
        <color theme="0" tint="-0.499984740745262"/>
      </top>
      <bottom style="double">
        <color theme="5"/>
      </bottom>
      <diagonal/>
    </border>
    <border>
      <left style="medium">
        <color theme="5"/>
      </left>
      <right style="medium">
        <color theme="5"/>
      </right>
      <top style="medium">
        <color theme="5"/>
      </top>
      <bottom style="medium">
        <color theme="5"/>
      </bottom>
      <diagonal/>
    </border>
    <border>
      <left style="medium">
        <color theme="5"/>
      </left>
      <right style="medium">
        <color theme="5"/>
      </right>
      <top/>
      <bottom/>
      <diagonal/>
    </border>
    <border>
      <left style="medium">
        <color theme="5"/>
      </left>
      <right style="medium">
        <color theme="5"/>
      </right>
      <top/>
      <bottom style="double">
        <color theme="5"/>
      </bottom>
      <diagonal/>
    </border>
    <border>
      <left style="medium">
        <color theme="5"/>
      </left>
      <right style="medium">
        <color theme="5"/>
      </right>
      <top style="double">
        <color theme="5"/>
      </top>
      <bottom style="medium">
        <color theme="5"/>
      </bottom>
      <diagonal/>
    </border>
    <border>
      <left style="thin">
        <color theme="0" tint="-0.499984740745262"/>
      </left>
      <right/>
      <top style="thin">
        <color theme="0" tint="-0.499984740745262"/>
      </top>
      <bottom style="medium">
        <color indexed="64"/>
      </bottom>
      <diagonal/>
    </border>
    <border>
      <left/>
      <right/>
      <top style="thin">
        <color theme="0" tint="-0.499984740745262"/>
      </top>
      <bottom style="medium">
        <color indexed="64"/>
      </bottom>
      <diagonal/>
    </border>
    <border>
      <left/>
      <right style="thin">
        <color theme="0" tint="-0.499984740745262"/>
      </right>
      <top style="thin">
        <color theme="0" tint="-0.499984740745262"/>
      </top>
      <bottom style="medium">
        <color indexed="64"/>
      </bottom>
      <diagonal/>
    </border>
    <border>
      <left style="thin">
        <color theme="0" tint="-0.499984740745262"/>
      </left>
      <right/>
      <top style="medium">
        <color indexed="64"/>
      </top>
      <bottom style="thin">
        <color theme="0" tint="-0.499984740745262"/>
      </bottom>
      <diagonal/>
    </border>
    <border>
      <left/>
      <right/>
      <top style="medium">
        <color indexed="64"/>
      </top>
      <bottom style="thin">
        <color theme="0" tint="-0.499984740745262"/>
      </bottom>
      <diagonal/>
    </border>
    <border>
      <left/>
      <right style="thin">
        <color theme="0" tint="-0.499984740745262"/>
      </right>
      <top style="medium">
        <color indexed="64"/>
      </top>
      <bottom style="thin">
        <color theme="0" tint="-0.499984740745262"/>
      </bottom>
      <diagonal/>
    </border>
    <border>
      <left style="medium">
        <color theme="0"/>
      </left>
      <right style="medium">
        <color theme="0"/>
      </right>
      <top/>
      <bottom style="medium">
        <color theme="0"/>
      </bottom>
      <diagonal/>
    </border>
    <border>
      <left style="thin">
        <color theme="0" tint="-0.499984740745262"/>
      </left>
      <right style="thin">
        <color theme="0" tint="-0.499984740745262"/>
      </right>
      <top style="thin">
        <color theme="0" tint="-0.499984740745262"/>
      </top>
      <bottom style="medium">
        <color theme="4"/>
      </bottom>
      <diagonal/>
    </border>
    <border>
      <left style="medium">
        <color theme="0"/>
      </left>
      <right/>
      <top/>
      <bottom style="medium">
        <color theme="0"/>
      </bottom>
      <diagonal/>
    </border>
    <border>
      <left/>
      <right style="medium">
        <color theme="0"/>
      </right>
      <top/>
      <bottom style="medium">
        <color theme="0"/>
      </bottom>
      <diagonal/>
    </border>
    <border>
      <left/>
      <right/>
      <top/>
      <bottom style="medium">
        <color theme="4" tint="-0.499984740745262"/>
      </bottom>
      <diagonal/>
    </border>
    <border>
      <left/>
      <right style="medium">
        <color theme="0"/>
      </right>
      <top/>
      <bottom style="medium">
        <color theme="4" tint="-0.499984740745262"/>
      </bottom>
      <diagonal/>
    </border>
    <border>
      <left style="medium">
        <color theme="0"/>
      </left>
      <right style="medium">
        <color theme="0"/>
      </right>
      <top/>
      <bottom style="medium">
        <color theme="4" tint="-0.499984740745262"/>
      </bottom>
      <diagonal/>
    </border>
    <border>
      <left style="medium">
        <color theme="0"/>
      </left>
      <right/>
      <top/>
      <bottom style="medium">
        <color theme="4" tint="-0.499984740745262"/>
      </bottom>
      <diagonal/>
    </border>
    <border>
      <left/>
      <right style="medium">
        <color theme="0"/>
      </right>
      <top style="medium">
        <color theme="0"/>
      </top>
      <bottom style="medium">
        <color theme="4" tint="-0.499984740745262"/>
      </bottom>
      <diagonal/>
    </border>
    <border>
      <left style="medium">
        <color theme="0"/>
      </left>
      <right style="medium">
        <color theme="0"/>
      </right>
      <top style="medium">
        <color theme="0"/>
      </top>
      <bottom style="medium">
        <color theme="4" tint="-0.499984740745262"/>
      </bottom>
      <diagonal/>
    </border>
  </borders>
  <cellStyleXfs count="15">
    <xf numFmtId="0" fontId="0"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0" fontId="17" fillId="0" borderId="0">
      <alignment horizontal="left" indent="1"/>
    </xf>
    <xf numFmtId="0" fontId="1" fillId="0" borderId="0"/>
    <xf numFmtId="0" fontId="32" fillId="0" borderId="0" applyNumberFormat="0" applyFill="0" applyBorder="0" applyAlignment="0" applyProtection="0"/>
    <xf numFmtId="0" fontId="1" fillId="0" borderId="0"/>
    <xf numFmtId="0" fontId="32" fillId="0" borderId="0" applyNumberFormat="0" applyFill="0" applyBorder="0" applyAlignment="0" applyProtection="0">
      <alignment horizontal="left" indent="1"/>
    </xf>
    <xf numFmtId="43" fontId="1" fillId="0" borderId="0" applyFont="0" applyFill="0" applyBorder="0" applyAlignment="0" applyProtection="0"/>
    <xf numFmtId="0" fontId="35" fillId="0" borderId="0">
      <alignment vertical="center"/>
    </xf>
    <xf numFmtId="3" fontId="17" fillId="0" borderId="0" applyFont="0" applyFill="0" applyBorder="0" applyAlignment="0" applyProtection="0"/>
    <xf numFmtId="10" fontId="17" fillId="0" borderId="0" applyFont="0" applyFill="0" applyBorder="0" applyAlignment="0" applyProtection="0"/>
    <xf numFmtId="0" fontId="39" fillId="15" borderId="0">
      <alignment horizontal="left" vertical="center" wrapText="1"/>
    </xf>
    <xf numFmtId="0" fontId="40" fillId="15" borderId="0" applyNumberFormat="0" applyBorder="0" applyProtection="0">
      <alignment horizontal="left" vertical="center" wrapText="1"/>
    </xf>
  </cellStyleXfs>
  <cellXfs count="823">
    <xf numFmtId="0" fontId="0" fillId="0" borderId="0" xfId="0"/>
    <xf numFmtId="0" fontId="0" fillId="2" borderId="0" xfId="0" applyFill="1" applyAlignment="1" applyProtection="1">
      <alignment vertical="center"/>
      <protection locked="0"/>
    </xf>
    <xf numFmtId="0" fontId="0" fillId="6" borderId="0" xfId="0" applyFill="1" applyAlignment="1" applyProtection="1">
      <alignment vertical="center"/>
      <protection locked="0"/>
    </xf>
    <xf numFmtId="0" fontId="11" fillId="6" borderId="0" xfId="0" applyFont="1" applyFill="1" applyAlignment="1" applyProtection="1">
      <alignment vertical="center"/>
      <protection locked="0"/>
    </xf>
    <xf numFmtId="0" fontId="0" fillId="0" borderId="0" xfId="0" applyAlignment="1" applyProtection="1">
      <alignment vertical="center"/>
      <protection locked="0"/>
    </xf>
    <xf numFmtId="0" fontId="18" fillId="0" borderId="0" xfId="0" applyFont="1" applyProtection="1">
      <protection locked="0"/>
    </xf>
    <xf numFmtId="0" fontId="0" fillId="0" borderId="0" xfId="0" applyProtection="1">
      <protection locked="0"/>
    </xf>
    <xf numFmtId="0" fontId="0" fillId="2" borderId="2" xfId="0" applyFill="1" applyBorder="1" applyAlignment="1" applyProtection="1">
      <alignment vertical="center"/>
      <protection locked="0"/>
    </xf>
    <xf numFmtId="0" fontId="0" fillId="0" borderId="2" xfId="0" applyBorder="1" applyAlignment="1" applyProtection="1">
      <alignment vertical="center"/>
      <protection locked="0"/>
    </xf>
    <xf numFmtId="0" fontId="18" fillId="0" borderId="2" xfId="0" applyFont="1" applyBorder="1" applyProtection="1">
      <protection locked="0"/>
    </xf>
    <xf numFmtId="0" fontId="0" fillId="0" borderId="2" xfId="0" applyBorder="1" applyProtection="1">
      <protection locked="0"/>
    </xf>
    <xf numFmtId="0" fontId="0" fillId="0" borderId="24" xfId="0" applyBorder="1" applyAlignment="1" applyProtection="1">
      <alignment vertical="center"/>
      <protection locked="0"/>
    </xf>
    <xf numFmtId="0" fontId="0" fillId="0" borderId="24" xfId="0" applyBorder="1" applyProtection="1">
      <protection locked="0"/>
    </xf>
    <xf numFmtId="0" fontId="0" fillId="0" borderId="25" xfId="0" applyBorder="1" applyProtection="1">
      <protection locked="0"/>
    </xf>
    <xf numFmtId="0" fontId="0" fillId="0" borderId="27" xfId="0" applyBorder="1" applyProtection="1">
      <protection locked="0"/>
    </xf>
    <xf numFmtId="0" fontId="3" fillId="0" borderId="2" xfId="0" applyFont="1" applyBorder="1" applyProtection="1">
      <protection locked="0"/>
    </xf>
    <xf numFmtId="0" fontId="11" fillId="0" borderId="33" xfId="0" applyFont="1" applyBorder="1" applyProtection="1">
      <protection locked="0"/>
    </xf>
    <xf numFmtId="0" fontId="11" fillId="0" borderId="33" xfId="0" applyFont="1" applyBorder="1" applyAlignment="1" applyProtection="1">
      <alignment horizontal="center"/>
      <protection locked="0"/>
    </xf>
    <xf numFmtId="0" fontId="0" fillId="0" borderId="24" xfId="0" applyBorder="1" applyAlignment="1" applyProtection="1">
      <alignment horizontal="left" indent="2"/>
      <protection locked="0"/>
    </xf>
    <xf numFmtId="0" fontId="0" fillId="0" borderId="0" xfId="0" applyAlignment="1" applyProtection="1">
      <alignment horizontal="left" indent="2"/>
      <protection locked="0"/>
    </xf>
    <xf numFmtId="0" fontId="0" fillId="0" borderId="0" xfId="0" applyAlignment="1" applyProtection="1">
      <alignment horizontal="left" vertical="center" indent="1"/>
      <protection locked="0"/>
    </xf>
    <xf numFmtId="166" fontId="13" fillId="8" borderId="37" xfId="1" applyNumberFormat="1" applyFont="1" applyFill="1" applyBorder="1" applyAlignment="1" applyProtection="1">
      <alignment horizontal="center"/>
      <protection locked="0"/>
    </xf>
    <xf numFmtId="166" fontId="13" fillId="8" borderId="17" xfId="1" applyNumberFormat="1" applyFont="1" applyFill="1" applyBorder="1" applyAlignment="1" applyProtection="1">
      <alignment horizontal="center"/>
      <protection locked="0"/>
    </xf>
    <xf numFmtId="166" fontId="13" fillId="8" borderId="41" xfId="1" applyNumberFormat="1" applyFont="1" applyFill="1" applyBorder="1" applyAlignment="1" applyProtection="1">
      <alignment horizontal="center"/>
      <protection locked="0"/>
    </xf>
    <xf numFmtId="0" fontId="0" fillId="0" borderId="22" xfId="0" applyBorder="1" applyProtection="1">
      <protection locked="0"/>
    </xf>
    <xf numFmtId="0" fontId="0" fillId="0" borderId="3" xfId="0" applyBorder="1" applyProtection="1">
      <protection locked="0"/>
    </xf>
    <xf numFmtId="0" fontId="0" fillId="0" borderId="23" xfId="0" applyBorder="1" applyProtection="1">
      <protection locked="0"/>
    </xf>
    <xf numFmtId="0" fontId="0" fillId="0" borderId="25" xfId="0" applyBorder="1" applyAlignment="1" applyProtection="1">
      <alignment vertical="center"/>
      <protection locked="0"/>
    </xf>
    <xf numFmtId="0" fontId="3" fillId="0" borderId="26" xfId="0" applyFont="1" applyBorder="1" applyProtection="1">
      <protection locked="0"/>
    </xf>
    <xf numFmtId="0" fontId="2" fillId="9" borderId="24" xfId="0" applyFont="1" applyFill="1" applyBorder="1" applyAlignment="1" applyProtection="1">
      <alignment horizontal="center" vertical="center"/>
      <protection locked="0"/>
    </xf>
    <xf numFmtId="0" fontId="2" fillId="9" borderId="26" xfId="0" applyFont="1" applyFill="1" applyBorder="1" applyAlignment="1" applyProtection="1">
      <alignment horizontal="center" vertical="center"/>
      <protection locked="0"/>
    </xf>
    <xf numFmtId="0" fontId="2" fillId="9" borderId="2" xfId="0" applyFont="1" applyFill="1" applyBorder="1" applyAlignment="1" applyProtection="1">
      <alignment horizontal="center" vertical="center"/>
      <protection locked="0"/>
    </xf>
    <xf numFmtId="0" fontId="11" fillId="0" borderId="7" xfId="0" applyFont="1" applyBorder="1" applyAlignment="1" applyProtection="1">
      <alignment horizontal="left"/>
      <protection locked="0"/>
    </xf>
    <xf numFmtId="0" fontId="11" fillId="0" borderId="8" xfId="0" applyFont="1" applyBorder="1" applyAlignment="1" applyProtection="1">
      <alignment horizontal="left"/>
      <protection locked="0"/>
    </xf>
    <xf numFmtId="0" fontId="3" fillId="0" borderId="0" xfId="0" applyFont="1" applyAlignment="1" applyProtection="1">
      <alignment vertical="center"/>
      <protection locked="0"/>
    </xf>
    <xf numFmtId="0" fontId="4" fillId="3" borderId="17" xfId="2" applyFont="1" applyFill="1" applyBorder="1" applyAlignment="1" applyProtection="1">
      <alignment vertical="center"/>
      <protection locked="0"/>
    </xf>
    <xf numFmtId="0" fontId="5" fillId="0" borderId="0" xfId="0" applyFont="1" applyAlignment="1" applyProtection="1">
      <alignment vertical="center"/>
      <protection locked="0"/>
    </xf>
    <xf numFmtId="0" fontId="0" fillId="4" borderId="17" xfId="0" applyFill="1" applyBorder="1" applyAlignment="1" applyProtection="1">
      <alignment vertical="center"/>
      <protection locked="0"/>
    </xf>
    <xf numFmtId="0" fontId="0" fillId="5" borderId="17" xfId="0" applyFill="1" applyBorder="1" applyAlignment="1" applyProtection="1">
      <alignment vertical="center"/>
      <protection locked="0"/>
    </xf>
    <xf numFmtId="0" fontId="6" fillId="0" borderId="0" xfId="0" applyFont="1" applyAlignment="1" applyProtection="1">
      <alignment vertical="center"/>
      <protection locked="0"/>
    </xf>
    <xf numFmtId="0" fontId="3" fillId="7" borderId="0" xfId="0" applyFont="1" applyFill="1" applyAlignment="1" applyProtection="1">
      <alignment horizontal="center" vertical="center"/>
      <protection locked="0"/>
    </xf>
    <xf numFmtId="0" fontId="3" fillId="8" borderId="0" xfId="0" applyFont="1" applyFill="1" applyAlignment="1" applyProtection="1">
      <alignment horizontal="center" vertical="center"/>
      <protection locked="0"/>
    </xf>
    <xf numFmtId="0" fontId="8" fillId="8" borderId="0" xfId="0" applyFont="1" applyFill="1" applyAlignment="1" applyProtection="1">
      <alignment horizontal="center" vertical="center"/>
      <protection locked="0"/>
    </xf>
    <xf numFmtId="0" fontId="0" fillId="0" borderId="1" xfId="0" applyBorder="1" applyAlignment="1" applyProtection="1">
      <alignment horizontal="center" vertical="center"/>
      <protection locked="0"/>
    </xf>
    <xf numFmtId="0" fontId="5" fillId="0" borderId="1" xfId="0" applyFont="1" applyBorder="1" applyAlignment="1" applyProtection="1">
      <alignment horizontal="center" vertical="center"/>
      <protection locked="0"/>
    </xf>
    <xf numFmtId="9" fontId="15" fillId="0" borderId="1" xfId="1" applyFont="1" applyBorder="1" applyAlignment="1" applyProtection="1">
      <alignment vertical="center"/>
      <protection locked="0"/>
    </xf>
    <xf numFmtId="0" fontId="2" fillId="9" borderId="24" xfId="0" applyFont="1" applyFill="1" applyBorder="1" applyAlignment="1" applyProtection="1">
      <alignment horizontal="center"/>
      <protection locked="0"/>
    </xf>
    <xf numFmtId="0" fontId="0" fillId="0" borderId="70" xfId="0" applyBorder="1" applyAlignment="1" applyProtection="1">
      <alignment horizontal="center"/>
      <protection locked="0"/>
    </xf>
    <xf numFmtId="0" fontId="0" fillId="0" borderId="65" xfId="0" applyBorder="1" applyAlignment="1" applyProtection="1">
      <alignment horizontal="center"/>
      <protection locked="0"/>
    </xf>
    <xf numFmtId="0" fontId="0" fillId="0" borderId="68" xfId="0" applyBorder="1" applyAlignment="1" applyProtection="1">
      <alignment horizontal="center"/>
      <protection locked="0"/>
    </xf>
    <xf numFmtId="0" fontId="26" fillId="9" borderId="28" xfId="2" applyFont="1" applyFill="1" applyBorder="1" applyAlignment="1">
      <alignment vertical="center"/>
    </xf>
    <xf numFmtId="0" fontId="23" fillId="9" borderId="29" xfId="0" applyFont="1" applyFill="1" applyBorder="1" applyProtection="1">
      <protection locked="0"/>
    </xf>
    <xf numFmtId="0" fontId="23" fillId="9" borderId="29" xfId="0" applyFont="1" applyFill="1" applyBorder="1" applyAlignment="1" applyProtection="1">
      <alignment vertical="center"/>
      <protection locked="0"/>
    </xf>
    <xf numFmtId="0" fontId="23" fillId="9" borderId="30" xfId="0" applyFont="1" applyFill="1" applyBorder="1" applyAlignment="1" applyProtection="1">
      <alignment vertical="center"/>
      <protection locked="0"/>
    </xf>
    <xf numFmtId="164" fontId="13" fillId="0" borderId="65" xfId="3" applyNumberFormat="1" applyFont="1" applyBorder="1" applyAlignment="1" applyProtection="1">
      <alignment horizontal="center" vertical="center"/>
      <protection locked="0"/>
    </xf>
    <xf numFmtId="164" fontId="28" fillId="0" borderId="69" xfId="3" applyNumberFormat="1" applyFont="1" applyBorder="1" applyAlignment="1" applyProtection="1">
      <alignment horizontal="center"/>
      <protection locked="0"/>
    </xf>
    <xf numFmtId="164" fontId="28" fillId="0" borderId="54" xfId="3" applyNumberFormat="1" applyFont="1" applyBorder="1" applyAlignment="1" applyProtection="1">
      <alignment horizontal="center"/>
      <protection locked="0"/>
    </xf>
    <xf numFmtId="0" fontId="7" fillId="6" borderId="0" xfId="0" applyFont="1" applyFill="1" applyAlignment="1" applyProtection="1">
      <alignment vertical="center"/>
      <protection locked="0"/>
    </xf>
    <xf numFmtId="0" fontId="2" fillId="9" borderId="22" xfId="0" applyFont="1" applyFill="1" applyBorder="1" applyAlignment="1" applyProtection="1">
      <alignment horizontal="center" vertical="center"/>
      <protection locked="0"/>
    </xf>
    <xf numFmtId="43" fontId="0" fillId="0" borderId="0" xfId="0" applyNumberFormat="1" applyAlignment="1" applyProtection="1">
      <alignment vertical="center"/>
      <protection locked="0"/>
    </xf>
    <xf numFmtId="0" fontId="0" fillId="0" borderId="0" xfId="0" applyProtection="1">
      <protection hidden="1"/>
    </xf>
    <xf numFmtId="0" fontId="0" fillId="0" borderId="0" xfId="0" applyAlignment="1" applyProtection="1">
      <alignment vertical="center"/>
      <protection hidden="1"/>
    </xf>
    <xf numFmtId="3" fontId="25" fillId="0" borderId="70" xfId="0" applyNumberFormat="1" applyFont="1" applyBorder="1" applyAlignment="1" applyProtection="1">
      <alignment horizontal="center" vertical="center"/>
      <protection hidden="1"/>
    </xf>
    <xf numFmtId="3" fontId="25" fillId="0" borderId="65" xfId="0" applyNumberFormat="1" applyFont="1" applyBorder="1" applyAlignment="1" applyProtection="1">
      <alignment horizontal="center"/>
      <protection hidden="1"/>
    </xf>
    <xf numFmtId="3" fontId="25" fillId="0" borderId="71" xfId="0" applyNumberFormat="1" applyFont="1" applyBorder="1" applyAlignment="1" applyProtection="1">
      <alignment horizontal="center"/>
      <protection hidden="1"/>
    </xf>
    <xf numFmtId="43" fontId="3" fillId="0" borderId="61" xfId="3" applyFont="1" applyBorder="1" applyAlignment="1" applyProtection="1">
      <protection hidden="1"/>
    </xf>
    <xf numFmtId="43" fontId="3" fillId="0" borderId="1" xfId="3" applyFont="1" applyBorder="1" applyAlignment="1" applyProtection="1">
      <protection hidden="1"/>
    </xf>
    <xf numFmtId="43" fontId="3" fillId="0" borderId="55" xfId="3" applyFont="1" applyBorder="1" applyAlignment="1" applyProtection="1">
      <protection hidden="1"/>
    </xf>
    <xf numFmtId="164" fontId="3" fillId="0" borderId="25" xfId="3" applyNumberFormat="1" applyFont="1" applyBorder="1" applyProtection="1">
      <protection hidden="1"/>
    </xf>
    <xf numFmtId="164" fontId="18" fillId="6" borderId="25" xfId="3" applyNumberFormat="1" applyFont="1" applyFill="1" applyBorder="1" applyProtection="1">
      <protection hidden="1"/>
    </xf>
    <xf numFmtId="164" fontId="18" fillId="6" borderId="27" xfId="0" applyNumberFormat="1" applyFont="1" applyFill="1" applyBorder="1" applyProtection="1">
      <protection hidden="1"/>
    </xf>
    <xf numFmtId="9" fontId="0" fillId="0" borderId="37" xfId="1" applyFont="1" applyBorder="1" applyAlignment="1" applyProtection="1">
      <alignment horizontal="center"/>
      <protection hidden="1"/>
    </xf>
    <xf numFmtId="9" fontId="0" fillId="0" borderId="38" xfId="1" applyFont="1" applyBorder="1" applyAlignment="1" applyProtection="1">
      <alignment horizontal="center"/>
      <protection hidden="1"/>
    </xf>
    <xf numFmtId="9" fontId="0" fillId="0" borderId="17" xfId="1" applyFont="1" applyBorder="1" applyAlignment="1" applyProtection="1">
      <alignment horizontal="center"/>
      <protection hidden="1"/>
    </xf>
    <xf numFmtId="9" fontId="0" fillId="0" borderId="39" xfId="1" applyFont="1" applyBorder="1" applyAlignment="1" applyProtection="1">
      <alignment horizontal="center"/>
      <protection hidden="1"/>
    </xf>
    <xf numFmtId="9" fontId="0" fillId="0" borderId="41" xfId="1" applyFont="1" applyBorder="1" applyAlignment="1" applyProtection="1">
      <alignment horizontal="center"/>
      <protection hidden="1"/>
    </xf>
    <xf numFmtId="9" fontId="0" fillId="0" borderId="42" xfId="1" applyFont="1" applyBorder="1" applyAlignment="1" applyProtection="1">
      <alignment horizontal="center"/>
      <protection hidden="1"/>
    </xf>
    <xf numFmtId="165" fontId="18" fillId="6" borderId="25" xfId="3" applyNumberFormat="1" applyFont="1" applyFill="1" applyBorder="1" applyProtection="1">
      <protection hidden="1"/>
    </xf>
    <xf numFmtId="0" fontId="18" fillId="6" borderId="25" xfId="0" applyFont="1" applyFill="1" applyBorder="1" applyProtection="1">
      <protection hidden="1"/>
    </xf>
    <xf numFmtId="164" fontId="18" fillId="0" borderId="1" xfId="0" applyNumberFormat="1" applyFont="1" applyBorder="1" applyAlignment="1" applyProtection="1">
      <alignment vertical="center"/>
      <protection locked="0"/>
    </xf>
    <xf numFmtId="164" fontId="18" fillId="0" borderId="55" xfId="0" applyNumberFormat="1" applyFont="1" applyBorder="1" applyAlignment="1" applyProtection="1">
      <alignment vertical="center"/>
      <protection locked="0"/>
    </xf>
    <xf numFmtId="164" fontId="18" fillId="0" borderId="52" xfId="0" applyNumberFormat="1" applyFont="1" applyBorder="1" applyAlignment="1" applyProtection="1">
      <alignment vertical="center"/>
      <protection locked="0"/>
    </xf>
    <xf numFmtId="9" fontId="0" fillId="0" borderId="0" xfId="1" applyFont="1" applyAlignment="1" applyProtection="1">
      <alignment vertical="center"/>
      <protection locked="0"/>
    </xf>
    <xf numFmtId="0" fontId="2" fillId="0" borderId="0" xfId="8" applyFont="1" applyFill="1" applyBorder="1" applyAlignment="1" applyProtection="1">
      <alignment horizontal="center" vertical="center"/>
      <protection locked="0"/>
    </xf>
    <xf numFmtId="0" fontId="4" fillId="6" borderId="28" xfId="2" applyFont="1" applyFill="1" applyBorder="1" applyAlignment="1">
      <alignment vertical="center"/>
    </xf>
    <xf numFmtId="0" fontId="41" fillId="6" borderId="29" xfId="0" applyFont="1" applyFill="1" applyBorder="1" applyProtection="1">
      <protection locked="0"/>
    </xf>
    <xf numFmtId="0" fontId="41" fillId="6" borderId="29" xfId="0" applyFont="1" applyFill="1" applyBorder="1" applyAlignment="1" applyProtection="1">
      <alignment vertical="center"/>
      <protection locked="0"/>
    </xf>
    <xf numFmtId="0" fontId="41" fillId="6" borderId="30" xfId="0" applyFont="1" applyFill="1" applyBorder="1" applyAlignment="1" applyProtection="1">
      <alignment vertical="center"/>
      <protection locked="0"/>
    </xf>
    <xf numFmtId="0" fontId="8" fillId="6" borderId="24" xfId="0" applyFont="1" applyFill="1" applyBorder="1" applyAlignment="1" applyProtection="1">
      <alignment horizontal="center"/>
      <protection locked="0"/>
    </xf>
    <xf numFmtId="0" fontId="0" fillId="0" borderId="0" xfId="0" applyAlignment="1" applyProtection="1">
      <alignment horizontal="center" vertical="center"/>
      <protection locked="0"/>
    </xf>
    <xf numFmtId="0" fontId="31" fillId="6" borderId="17" xfId="6" applyFont="1" applyFill="1" applyBorder="1" applyAlignment="1" applyProtection="1">
      <alignment horizontal="center" vertical="center" wrapText="1"/>
      <protection locked="0"/>
    </xf>
    <xf numFmtId="0" fontId="43" fillId="0" borderId="83" xfId="14" applyFont="1" applyFill="1" applyBorder="1" applyAlignment="1" applyProtection="1">
      <alignment horizontal="left" vertical="center"/>
      <protection locked="0"/>
    </xf>
    <xf numFmtId="0" fontId="44" fillId="0" borderId="83" xfId="13" applyFont="1" applyFill="1" applyBorder="1" applyAlignment="1" applyProtection="1">
      <alignment horizontal="left"/>
      <protection locked="0"/>
    </xf>
    <xf numFmtId="0" fontId="23" fillId="9" borderId="88" xfId="4" applyFont="1" applyFill="1" applyBorder="1" applyAlignment="1" applyProtection="1">
      <alignment horizontal="center" vertical="center"/>
      <protection locked="0"/>
    </xf>
    <xf numFmtId="0" fontId="42" fillId="9" borderId="86" xfId="2" applyFont="1" applyFill="1" applyBorder="1" applyAlignment="1" applyProtection="1">
      <alignment horizontal="center"/>
      <protection locked="0"/>
    </xf>
    <xf numFmtId="0" fontId="42" fillId="9" borderId="0" xfId="2" applyFont="1" applyFill="1" applyAlignment="1" applyProtection="1">
      <alignment horizontal="center"/>
      <protection locked="0"/>
    </xf>
    <xf numFmtId="0" fontId="43" fillId="9" borderId="0" xfId="2" applyFont="1" applyFill="1" applyProtection="1">
      <protection locked="0"/>
    </xf>
    <xf numFmtId="0" fontId="17" fillId="9" borderId="0" xfId="4" applyFill="1" applyAlignment="1" applyProtection="1">
      <alignment horizontal="left"/>
      <protection locked="0"/>
    </xf>
    <xf numFmtId="0" fontId="45" fillId="0" borderId="88" xfId="4" applyFont="1" applyBorder="1" applyAlignment="1" applyProtection="1">
      <alignment horizontal="center" vertical="center"/>
      <protection locked="0"/>
    </xf>
    <xf numFmtId="0" fontId="45" fillId="0" borderId="87" xfId="4" applyFont="1" applyBorder="1" applyAlignment="1" applyProtection="1">
      <alignment horizontal="center"/>
      <protection locked="0"/>
    </xf>
    <xf numFmtId="0" fontId="46" fillId="0" borderId="86" xfId="4" applyFont="1" applyBorder="1" applyAlignment="1" applyProtection="1">
      <alignment horizontal="center"/>
      <protection locked="0"/>
    </xf>
    <xf numFmtId="0" fontId="46" fillId="0" borderId="0" xfId="4" applyFont="1" applyAlignment="1" applyProtection="1">
      <alignment horizontal="center"/>
      <protection locked="0"/>
    </xf>
    <xf numFmtId="0" fontId="17" fillId="0" borderId="0" xfId="4" applyAlignment="1" applyProtection="1">
      <alignment horizontal="left"/>
      <protection hidden="1"/>
    </xf>
    <xf numFmtId="0" fontId="17" fillId="0" borderId="0" xfId="4" applyAlignment="1" applyProtection="1">
      <alignment horizontal="left"/>
      <protection locked="0"/>
    </xf>
    <xf numFmtId="0" fontId="48" fillId="14" borderId="96" xfId="4" applyFont="1" applyFill="1" applyBorder="1" applyAlignment="1" applyProtection="1">
      <alignment horizontal="justify" wrapText="1"/>
      <protection hidden="1"/>
    </xf>
    <xf numFmtId="0" fontId="50" fillId="0" borderId="94" xfId="4" applyFont="1" applyBorder="1" applyAlignment="1" applyProtection="1">
      <alignment horizontal="center" vertical="center"/>
      <protection locked="0"/>
    </xf>
    <xf numFmtId="0" fontId="50" fillId="0" borderId="93" xfId="4" applyFont="1" applyBorder="1" applyAlignment="1" applyProtection="1">
      <alignment horizontal="left" wrapText="1"/>
      <protection hidden="1"/>
    </xf>
    <xf numFmtId="0" fontId="49" fillId="0" borderId="0" xfId="4" applyFont="1" applyAlignment="1" applyProtection="1">
      <alignment horizontal="center"/>
      <protection locked="0"/>
    </xf>
    <xf numFmtId="0" fontId="48" fillId="14" borderId="93" xfId="4" applyFont="1" applyFill="1" applyBorder="1" applyAlignment="1" applyProtection="1">
      <alignment horizontal="justify" wrapText="1"/>
      <protection hidden="1"/>
    </xf>
    <xf numFmtId="0" fontId="17" fillId="0" borderId="93" xfId="4" applyBorder="1" applyAlignment="1" applyProtection="1">
      <alignment horizontal="left" vertical="center"/>
      <protection hidden="1"/>
    </xf>
    <xf numFmtId="0" fontId="49" fillId="0" borderId="92" xfId="4" applyFont="1" applyBorder="1" applyAlignment="1" applyProtection="1">
      <alignment horizontal="center" vertical="center"/>
      <protection locked="0"/>
    </xf>
    <xf numFmtId="0" fontId="49" fillId="0" borderId="0" xfId="4" applyFont="1" applyAlignment="1" applyProtection="1">
      <alignment horizontal="center" vertical="center"/>
      <protection locked="0"/>
    </xf>
    <xf numFmtId="0" fontId="17" fillId="0" borderId="0" xfId="4" applyAlignment="1" applyProtection="1">
      <alignment horizontal="left" vertical="center"/>
      <protection hidden="1"/>
    </xf>
    <xf numFmtId="0" fontId="30" fillId="0" borderId="0" xfId="4" applyFont="1" applyAlignment="1" applyProtection="1">
      <alignment horizontal="left" vertical="center"/>
      <protection hidden="1"/>
    </xf>
    <xf numFmtId="0" fontId="17" fillId="0" borderId="0" xfId="4" applyAlignment="1" applyProtection="1">
      <alignment horizontal="left" vertical="center"/>
      <protection locked="0"/>
    </xf>
    <xf numFmtId="0" fontId="48" fillId="0" borderId="94" xfId="4" applyFont="1" applyBorder="1" applyAlignment="1" applyProtection="1">
      <alignment horizontal="center" vertical="center"/>
      <protection locked="0"/>
    </xf>
    <xf numFmtId="0" fontId="48" fillId="0" borderId="93" xfId="4" applyFont="1" applyBorder="1" applyAlignment="1" applyProtection="1">
      <alignment horizontal="justify" vertical="center" wrapText="1"/>
      <protection hidden="1"/>
    </xf>
    <xf numFmtId="0" fontId="50" fillId="0" borderId="93" xfId="4" applyFont="1" applyBorder="1" applyAlignment="1" applyProtection="1">
      <alignment horizontal="left" vertical="center" wrapText="1"/>
      <protection hidden="1"/>
    </xf>
    <xf numFmtId="0" fontId="17" fillId="0" borderId="0" xfId="4" applyAlignment="1" applyProtection="1">
      <alignment horizontal="center" vertical="center"/>
      <protection locked="0"/>
    </xf>
    <xf numFmtId="0" fontId="50" fillId="0" borderId="93" xfId="4" applyFont="1" applyBorder="1" applyAlignment="1" applyProtection="1">
      <alignment wrapText="1"/>
      <protection hidden="1"/>
    </xf>
    <xf numFmtId="0" fontId="50" fillId="0" borderId="90" xfId="4" applyFont="1" applyBorder="1" applyAlignment="1" applyProtection="1">
      <alignment horizontal="left" wrapText="1"/>
      <protection hidden="1"/>
    </xf>
    <xf numFmtId="49" fontId="41" fillId="0" borderId="11" xfId="13" applyNumberFormat="1" applyFont="1" applyFill="1" applyBorder="1" applyAlignment="1" applyProtection="1">
      <alignment horizontal="center"/>
      <protection hidden="1"/>
    </xf>
    <xf numFmtId="0" fontId="53" fillId="0" borderId="0" xfId="2" applyFont="1" applyAlignment="1" applyProtection="1">
      <alignment horizontal="center"/>
      <protection hidden="1"/>
    </xf>
    <xf numFmtId="9" fontId="50" fillId="0" borderId="93" xfId="4" applyNumberFormat="1" applyFont="1" applyBorder="1" applyAlignment="1" applyProtection="1">
      <alignment horizontal="left" wrapText="1"/>
      <protection hidden="1"/>
    </xf>
    <xf numFmtId="17" fontId="17" fillId="0" borderId="0" xfId="4" applyNumberFormat="1" applyAlignment="1" applyProtection="1">
      <alignment horizontal="left"/>
      <protection locked="0"/>
    </xf>
    <xf numFmtId="0" fontId="19" fillId="9" borderId="0" xfId="8" applyFont="1" applyFill="1" applyBorder="1" applyAlignment="1" applyProtection="1">
      <alignment horizontal="center" wrapText="1"/>
      <protection locked="0"/>
    </xf>
    <xf numFmtId="0" fontId="51" fillId="9" borderId="0" xfId="4" applyFont="1" applyFill="1" applyAlignment="1" applyProtection="1">
      <alignment horizontal="left" wrapText="1"/>
      <protection hidden="1"/>
    </xf>
    <xf numFmtId="49" fontId="52" fillId="9" borderId="11" xfId="2" applyNumberFormat="1" applyFont="1" applyFill="1" applyBorder="1" applyAlignment="1" applyProtection="1">
      <alignment horizontal="center" wrapText="1"/>
      <protection hidden="1"/>
    </xf>
    <xf numFmtId="0" fontId="51" fillId="9" borderId="0" xfId="4" applyFont="1" applyFill="1" applyAlignment="1" applyProtection="1">
      <alignment horizontal="left" wrapText="1"/>
      <protection locked="0"/>
    </xf>
    <xf numFmtId="0" fontId="43" fillId="9" borderId="0" xfId="2" applyFont="1" applyFill="1" applyProtection="1">
      <protection hidden="1"/>
    </xf>
    <xf numFmtId="0" fontId="17" fillId="9" borderId="0" xfId="4" applyFill="1" applyAlignment="1" applyProtection="1">
      <alignment horizontal="left"/>
      <protection hidden="1"/>
    </xf>
    <xf numFmtId="49" fontId="41" fillId="9" borderId="98" xfId="13" applyNumberFormat="1" applyFont="1" applyFill="1" applyBorder="1" applyAlignment="1" applyProtection="1">
      <alignment horizontal="center"/>
      <protection hidden="1"/>
    </xf>
    <xf numFmtId="0" fontId="19" fillId="9" borderId="0" xfId="8" applyFont="1" applyFill="1" applyBorder="1" applyAlignment="1" applyProtection="1">
      <alignment horizontal="center"/>
      <protection locked="0"/>
    </xf>
    <xf numFmtId="0" fontId="8" fillId="6" borderId="0" xfId="0" applyFont="1" applyFill="1" applyAlignment="1" applyProtection="1">
      <alignment vertical="center"/>
      <protection locked="0"/>
    </xf>
    <xf numFmtId="165" fontId="4" fillId="16" borderId="69" xfId="9" applyNumberFormat="1" applyFont="1" applyFill="1" applyBorder="1" applyAlignment="1" applyProtection="1">
      <alignment horizontal="center" vertical="center" wrapText="1"/>
      <protection locked="0"/>
    </xf>
    <xf numFmtId="164" fontId="38" fillId="0" borderId="54" xfId="9" applyNumberFormat="1" applyFont="1" applyBorder="1" applyAlignment="1" applyProtection="1">
      <alignment horizontal="center" vertical="center"/>
      <protection locked="0"/>
    </xf>
    <xf numFmtId="165" fontId="4" fillId="7" borderId="69" xfId="9" applyNumberFormat="1" applyFont="1" applyFill="1" applyBorder="1" applyAlignment="1" applyProtection="1">
      <alignment horizontal="center" vertical="center" wrapText="1"/>
      <protection locked="0"/>
    </xf>
    <xf numFmtId="167" fontId="38" fillId="0" borderId="103" xfId="11" applyNumberFormat="1" applyFont="1" applyBorder="1" applyAlignment="1" applyProtection="1">
      <alignment horizontal="right" wrapText="1"/>
      <protection locked="0"/>
    </xf>
    <xf numFmtId="167" fontId="38" fillId="0" borderId="54" xfId="11" applyNumberFormat="1" applyFont="1" applyBorder="1" applyAlignment="1" applyProtection="1">
      <alignment horizontal="right" wrapText="1"/>
      <protection locked="0"/>
    </xf>
    <xf numFmtId="167" fontId="38" fillId="0" borderId="54" xfId="11" applyNumberFormat="1" applyFont="1" applyBorder="1" applyAlignment="1" applyProtection="1">
      <alignment horizontal="right"/>
      <protection locked="0"/>
    </xf>
    <xf numFmtId="167" fontId="38" fillId="0" borderId="104" xfId="11" applyNumberFormat="1" applyFont="1" applyBorder="1" applyAlignment="1" applyProtection="1">
      <alignment horizontal="right"/>
      <protection locked="0"/>
    </xf>
    <xf numFmtId="0" fontId="41" fillId="7" borderId="29" xfId="0" applyFont="1" applyFill="1" applyBorder="1" applyAlignment="1" applyProtection="1">
      <alignment vertical="center"/>
      <protection locked="0"/>
    </xf>
    <xf numFmtId="0" fontId="41" fillId="7" borderId="30" xfId="0" applyFont="1" applyFill="1" applyBorder="1" applyAlignment="1" applyProtection="1">
      <alignment vertical="center"/>
      <protection locked="0"/>
    </xf>
    <xf numFmtId="164" fontId="54" fillId="7" borderId="56" xfId="4" applyNumberFormat="1" applyFont="1" applyFill="1" applyBorder="1" applyProtection="1">
      <alignment horizontal="left" indent="1"/>
      <protection locked="0"/>
    </xf>
    <xf numFmtId="164" fontId="54" fillId="16" borderId="56" xfId="4" applyNumberFormat="1" applyFont="1" applyFill="1" applyBorder="1" applyProtection="1">
      <alignment horizontal="left" indent="1"/>
      <protection locked="0"/>
    </xf>
    <xf numFmtId="2" fontId="0" fillId="0" borderId="69" xfId="0" applyNumberFormat="1" applyBorder="1" applyAlignment="1" applyProtection="1">
      <alignment vertical="center"/>
      <protection hidden="1"/>
    </xf>
    <xf numFmtId="2" fontId="0" fillId="0" borderId="54" xfId="0" applyNumberFormat="1" applyBorder="1" applyAlignment="1" applyProtection="1">
      <alignment vertical="center"/>
      <protection hidden="1"/>
    </xf>
    <xf numFmtId="2" fontId="0" fillId="0" borderId="56" xfId="0" applyNumberFormat="1" applyBorder="1" applyAlignment="1" applyProtection="1">
      <alignment vertical="center"/>
      <protection hidden="1"/>
    </xf>
    <xf numFmtId="2" fontId="18" fillId="7" borderId="30" xfId="0" applyNumberFormat="1" applyFont="1" applyFill="1" applyBorder="1" applyAlignment="1" applyProtection="1">
      <alignment vertical="center"/>
      <protection locked="0"/>
    </xf>
    <xf numFmtId="2" fontId="5" fillId="0" borderId="61" xfId="0" applyNumberFormat="1" applyFont="1" applyBorder="1" applyAlignment="1" applyProtection="1">
      <alignment vertical="center"/>
      <protection locked="0"/>
    </xf>
    <xf numFmtId="2" fontId="5" fillId="0" borderId="1" xfId="0" applyNumberFormat="1" applyFont="1" applyBorder="1" applyAlignment="1" applyProtection="1">
      <alignment vertical="center"/>
      <protection locked="0"/>
    </xf>
    <xf numFmtId="2" fontId="5" fillId="0" borderId="55" xfId="0" applyNumberFormat="1" applyFont="1" applyBorder="1" applyAlignment="1" applyProtection="1">
      <alignment vertical="center"/>
      <protection locked="0"/>
    </xf>
    <xf numFmtId="164" fontId="34" fillId="0" borderId="74" xfId="7" applyNumberFormat="1" applyFont="1" applyBorder="1" applyAlignment="1" applyProtection="1">
      <alignment vertical="center"/>
      <protection hidden="1"/>
    </xf>
    <xf numFmtId="164" fontId="34" fillId="0" borderId="58" xfId="7" applyNumberFormat="1" applyFont="1" applyBorder="1" applyAlignment="1" applyProtection="1">
      <alignment vertical="center"/>
      <protection hidden="1"/>
    </xf>
    <xf numFmtId="0" fontId="2" fillId="9" borderId="17" xfId="6" applyFont="1" applyFill="1" applyBorder="1" applyAlignment="1" applyProtection="1">
      <alignment horizontal="center" vertical="center"/>
      <protection locked="0"/>
    </xf>
    <xf numFmtId="164" fontId="41" fillId="0" borderId="1" xfId="9" applyNumberFormat="1" applyFont="1" applyBorder="1" applyAlignment="1" applyProtection="1">
      <alignment horizontal="center" vertical="center"/>
      <protection locked="0"/>
    </xf>
    <xf numFmtId="164" fontId="5" fillId="0" borderId="1" xfId="9" applyNumberFormat="1" applyFont="1" applyBorder="1" applyAlignment="1" applyProtection="1">
      <alignment horizontal="center" vertical="center"/>
      <protection locked="0"/>
    </xf>
    <xf numFmtId="164" fontId="0" fillId="0" borderId="0" xfId="0" applyNumberFormat="1" applyAlignment="1" applyProtection="1">
      <alignment vertical="center"/>
      <protection locked="0"/>
    </xf>
    <xf numFmtId="164" fontId="18" fillId="16" borderId="114" xfId="4" applyNumberFormat="1" applyFont="1" applyFill="1" applyBorder="1" applyAlignment="1" applyProtection="1">
      <alignment horizontal="center" vertical="center"/>
      <protection locked="0"/>
    </xf>
    <xf numFmtId="0" fontId="9" fillId="9" borderId="87" xfId="6" applyFont="1" applyFill="1" applyBorder="1" applyAlignment="1" applyProtection="1">
      <alignment horizontal="left"/>
      <protection locked="0"/>
    </xf>
    <xf numFmtId="0" fontId="2" fillId="0" borderId="0" xfId="0" applyFont="1" applyAlignment="1" applyProtection="1">
      <alignment vertical="center"/>
      <protection locked="0"/>
    </xf>
    <xf numFmtId="0" fontId="11" fillId="0" borderId="0" xfId="0" applyFont="1" applyAlignment="1" applyProtection="1">
      <alignment horizontal="left"/>
      <protection locked="0"/>
    </xf>
    <xf numFmtId="0" fontId="11" fillId="0" borderId="0" xfId="0" applyFont="1" applyAlignment="1" applyProtection="1">
      <alignment horizontal="left" vertical="center"/>
      <protection locked="0"/>
    </xf>
    <xf numFmtId="0" fontId="2" fillId="9" borderId="0" xfId="0" applyFont="1" applyFill="1" applyAlignment="1" applyProtection="1">
      <alignment horizontal="center" vertical="center"/>
      <protection locked="0"/>
    </xf>
    <xf numFmtId="0" fontId="3" fillId="0" borderId="26" xfId="0" applyFont="1" applyBorder="1" applyAlignment="1" applyProtection="1">
      <alignment horizontal="left" indent="1"/>
      <protection locked="0"/>
    </xf>
    <xf numFmtId="0" fontId="3" fillId="0" borderId="2" xfId="0" applyFont="1" applyBorder="1" applyAlignment="1" applyProtection="1">
      <alignment horizontal="left" indent="1"/>
      <protection locked="0"/>
    </xf>
    <xf numFmtId="0" fontId="11" fillId="0" borderId="32" xfId="0" applyFont="1" applyBorder="1" applyAlignment="1" applyProtection="1">
      <alignment horizontal="center"/>
      <protection locked="0"/>
    </xf>
    <xf numFmtId="0" fontId="11" fillId="0" borderId="0" xfId="0" applyFont="1" applyAlignment="1" applyProtection="1">
      <alignment vertical="center"/>
      <protection locked="0"/>
    </xf>
    <xf numFmtId="0" fontId="2" fillId="9" borderId="3" xfId="0" applyFont="1" applyFill="1" applyBorder="1" applyAlignment="1" applyProtection="1">
      <alignment horizontal="center" vertical="center"/>
      <protection locked="0"/>
    </xf>
    <xf numFmtId="165" fontId="2" fillId="9" borderId="61" xfId="9" applyNumberFormat="1" applyFont="1" applyFill="1" applyBorder="1" applyAlignment="1" applyProtection="1">
      <alignment horizontal="center" vertical="center" wrapText="1"/>
      <protection locked="0"/>
    </xf>
    <xf numFmtId="0" fontId="17" fillId="0" borderId="0" xfId="4" applyAlignment="1" applyProtection="1">
      <alignment horizontal="left" wrapText="1"/>
      <protection hidden="1"/>
    </xf>
    <xf numFmtId="0" fontId="17" fillId="0" borderId="0" xfId="4" applyAlignment="1" applyProtection="1">
      <alignment horizontal="left" wrapText="1"/>
      <protection locked="0"/>
    </xf>
    <xf numFmtId="0" fontId="48" fillId="14" borderId="97" xfId="4" applyFont="1" applyFill="1" applyBorder="1" applyAlignment="1" applyProtection="1">
      <alignment horizontal="center" vertical="center" wrapText="1"/>
      <protection locked="0"/>
    </xf>
    <xf numFmtId="0" fontId="49" fillId="14" borderId="95" xfId="4" applyFont="1" applyFill="1" applyBorder="1" applyAlignment="1" applyProtection="1">
      <alignment horizontal="center" wrapText="1"/>
      <protection locked="0"/>
    </xf>
    <xf numFmtId="0" fontId="49" fillId="13" borderId="0" xfId="4" applyFont="1" applyFill="1" applyAlignment="1" applyProtection="1">
      <alignment horizontal="center" wrapText="1"/>
      <protection locked="0"/>
    </xf>
    <xf numFmtId="3" fontId="17" fillId="13" borderId="0" xfId="4" applyNumberFormat="1" applyFill="1" applyAlignment="1" applyProtection="1">
      <alignment horizontal="right" wrapText="1"/>
      <protection hidden="1"/>
    </xf>
    <xf numFmtId="0" fontId="17" fillId="13" borderId="0" xfId="4" applyFill="1" applyAlignment="1" applyProtection="1">
      <alignment horizontal="left" wrapText="1"/>
      <protection hidden="1"/>
    </xf>
    <xf numFmtId="0" fontId="17" fillId="13" borderId="0" xfId="4" applyFill="1" applyAlignment="1" applyProtection="1">
      <alignment horizontal="left" wrapText="1"/>
      <protection locked="0"/>
    </xf>
    <xf numFmtId="0" fontId="50" fillId="0" borderId="94" xfId="4" applyFont="1" applyBorder="1" applyAlignment="1" applyProtection="1">
      <alignment horizontal="center" vertical="center" wrapText="1"/>
      <protection locked="0"/>
    </xf>
    <xf numFmtId="0" fontId="49" fillId="0" borderId="92" xfId="4" applyFont="1" applyBorder="1" applyAlignment="1" applyProtection="1">
      <alignment horizontal="center" wrapText="1"/>
      <protection locked="0"/>
    </xf>
    <xf numFmtId="0" fontId="49" fillId="0" borderId="0" xfId="4" applyFont="1" applyAlignment="1" applyProtection="1">
      <alignment horizontal="center" wrapText="1"/>
      <protection locked="0"/>
    </xf>
    <xf numFmtId="3" fontId="41" fillId="0" borderId="0" xfId="4" applyNumberFormat="1" applyFont="1" applyAlignment="1" applyProtection="1">
      <alignment horizontal="right" wrapText="1"/>
      <protection hidden="1"/>
    </xf>
    <xf numFmtId="0" fontId="48" fillId="14" borderId="94" xfId="4" applyFont="1" applyFill="1" applyBorder="1" applyAlignment="1" applyProtection="1">
      <alignment horizontal="center" vertical="center" wrapText="1"/>
      <protection locked="0"/>
    </xf>
    <xf numFmtId="0" fontId="49" fillId="14" borderId="92" xfId="4" applyFont="1" applyFill="1" applyBorder="1" applyAlignment="1" applyProtection="1">
      <alignment horizontal="center" wrapText="1"/>
      <protection locked="0"/>
    </xf>
    <xf numFmtId="0" fontId="49" fillId="14" borderId="0" xfId="4" applyFont="1" applyFill="1" applyAlignment="1" applyProtection="1">
      <alignment horizontal="center" wrapText="1"/>
      <protection locked="0"/>
    </xf>
    <xf numFmtId="3" fontId="8" fillId="14" borderId="0" xfId="4" applyNumberFormat="1" applyFont="1" applyFill="1" applyAlignment="1" applyProtection="1">
      <alignment horizontal="right" wrapText="1"/>
      <protection hidden="1"/>
    </xf>
    <xf numFmtId="0" fontId="17" fillId="14" borderId="0" xfId="4" applyFill="1" applyAlignment="1" applyProtection="1">
      <alignment horizontal="left" wrapText="1"/>
      <protection hidden="1"/>
    </xf>
    <xf numFmtId="0" fontId="17" fillId="14" borderId="0" xfId="4" applyFill="1" applyAlignment="1" applyProtection="1">
      <alignment horizontal="left" wrapText="1"/>
      <protection locked="0"/>
    </xf>
    <xf numFmtId="3" fontId="17" fillId="0" borderId="0" xfId="4" applyNumberFormat="1" applyAlignment="1" applyProtection="1">
      <alignment horizontal="right" wrapText="1"/>
      <protection hidden="1"/>
    </xf>
    <xf numFmtId="0" fontId="49" fillId="0" borderId="92" xfId="4" applyFont="1" applyBorder="1" applyAlignment="1" applyProtection="1">
      <alignment horizontal="center" vertical="center" wrapText="1"/>
      <protection locked="0"/>
    </xf>
    <xf numFmtId="0" fontId="49" fillId="0" borderId="0" xfId="4" applyFont="1" applyAlignment="1" applyProtection="1">
      <alignment horizontal="center" vertical="center" wrapText="1"/>
      <protection locked="0"/>
    </xf>
    <xf numFmtId="0" fontId="17" fillId="0" borderId="0" xfId="4" applyAlignment="1" applyProtection="1">
      <alignment horizontal="left" vertical="center" wrapText="1"/>
      <protection hidden="1"/>
    </xf>
    <xf numFmtId="0" fontId="17" fillId="0" borderId="0" xfId="4" applyAlignment="1" applyProtection="1">
      <alignment horizontal="left" vertical="center" wrapText="1"/>
      <protection locked="0"/>
    </xf>
    <xf numFmtId="3" fontId="17" fillId="0" borderId="0" xfId="4" applyNumberFormat="1" applyAlignment="1" applyProtection="1">
      <alignment horizontal="right" vertical="center" wrapText="1"/>
      <protection hidden="1"/>
    </xf>
    <xf numFmtId="0" fontId="17" fillId="0" borderId="0" xfId="4" applyAlignment="1" applyProtection="1">
      <alignment horizontal="center" vertical="center" wrapText="1"/>
      <protection locked="0"/>
    </xf>
    <xf numFmtId="0" fontId="17" fillId="0" borderId="0" xfId="4" applyAlignment="1" applyProtection="1">
      <alignment horizontal="center" wrapText="1"/>
      <protection locked="0"/>
    </xf>
    <xf numFmtId="9" fontId="17" fillId="0" borderId="0" xfId="4" applyNumberFormat="1" applyAlignment="1" applyProtection="1">
      <alignment horizontal="center" wrapText="1"/>
      <protection locked="0"/>
    </xf>
    <xf numFmtId="0" fontId="50" fillId="0" borderId="91" xfId="4" applyFont="1" applyBorder="1" applyAlignment="1" applyProtection="1">
      <alignment horizontal="center" vertical="center" wrapText="1"/>
      <protection locked="0"/>
    </xf>
    <xf numFmtId="0" fontId="49" fillId="0" borderId="89" xfId="4" applyFont="1" applyBorder="1" applyAlignment="1" applyProtection="1">
      <alignment horizontal="center" wrapText="1"/>
      <protection locked="0"/>
    </xf>
    <xf numFmtId="49" fontId="41" fillId="0" borderId="11" xfId="2" applyNumberFormat="1" applyFont="1" applyBorder="1" applyAlignment="1" applyProtection="1">
      <alignment horizontal="center" wrapText="1"/>
      <protection hidden="1"/>
    </xf>
    <xf numFmtId="3" fontId="17" fillId="14" borderId="0" xfId="4" applyNumberFormat="1" applyFill="1" applyAlignment="1" applyProtection="1">
      <alignment horizontal="right" wrapText="1"/>
      <protection hidden="1"/>
    </xf>
    <xf numFmtId="0" fontId="17" fillId="0" borderId="91" xfId="4" applyBorder="1" applyAlignment="1" applyProtection="1">
      <alignment horizontal="center" vertical="center" wrapText="1"/>
      <protection locked="0"/>
    </xf>
    <xf numFmtId="0" fontId="26" fillId="2" borderId="28" xfId="5" applyFont="1" applyFill="1" applyBorder="1" applyAlignment="1" applyProtection="1">
      <alignment horizontal="center" vertical="center"/>
      <protection hidden="1"/>
    </xf>
    <xf numFmtId="0" fontId="26" fillId="2" borderId="29" xfId="5" applyFont="1" applyFill="1" applyBorder="1" applyAlignment="1" applyProtection="1">
      <alignment horizontal="center" vertical="center" wrapText="1"/>
      <protection hidden="1"/>
    </xf>
    <xf numFmtId="0" fontId="4" fillId="6" borderId="2" xfId="5" applyFont="1" applyFill="1" applyBorder="1" applyAlignment="1" applyProtection="1">
      <alignment horizontal="center" vertical="center"/>
      <protection hidden="1"/>
    </xf>
    <xf numFmtId="0" fontId="4" fillId="6" borderId="2" xfId="5" applyFont="1" applyFill="1" applyBorder="1" applyAlignment="1" applyProtection="1">
      <alignment horizontal="center" vertical="center" wrapText="1"/>
      <protection hidden="1"/>
    </xf>
    <xf numFmtId="0" fontId="26" fillId="5" borderId="28" xfId="5" applyFont="1" applyFill="1" applyBorder="1" applyAlignment="1" applyProtection="1">
      <alignment horizontal="center" vertical="center"/>
      <protection hidden="1"/>
    </xf>
    <xf numFmtId="0" fontId="26" fillId="5" borderId="29" xfId="5" applyFont="1" applyFill="1" applyBorder="1" applyAlignment="1" applyProtection="1">
      <alignment horizontal="center" vertical="center" wrapText="1"/>
      <protection hidden="1"/>
    </xf>
    <xf numFmtId="0" fontId="26" fillId="5" borderId="30" xfId="5" applyFont="1" applyFill="1" applyBorder="1" applyAlignment="1" applyProtection="1">
      <alignment horizontal="center" vertical="center"/>
      <protection hidden="1"/>
    </xf>
    <xf numFmtId="0" fontId="4" fillId="6" borderId="81" xfId="5" applyFont="1" applyFill="1" applyBorder="1" applyAlignment="1" applyProtection="1">
      <alignment vertical="center"/>
      <protection hidden="1"/>
    </xf>
    <xf numFmtId="0" fontId="26" fillId="5" borderId="123" xfId="5" applyFont="1" applyFill="1" applyBorder="1" applyAlignment="1" applyProtection="1">
      <alignment vertical="center"/>
      <protection hidden="1"/>
    </xf>
    <xf numFmtId="0" fontId="4" fillId="6" borderId="123" xfId="5" applyFont="1" applyFill="1" applyBorder="1" applyAlignment="1" applyProtection="1">
      <alignment vertical="center"/>
      <protection hidden="1"/>
    </xf>
    <xf numFmtId="0" fontId="26" fillId="2" borderId="123" xfId="5" applyFont="1" applyFill="1" applyBorder="1" applyAlignment="1" applyProtection="1">
      <alignment vertical="center"/>
      <protection hidden="1"/>
    </xf>
    <xf numFmtId="0" fontId="26" fillId="2" borderId="29" xfId="5" applyFont="1" applyFill="1" applyBorder="1" applyAlignment="1" applyProtection="1">
      <alignment horizontal="center" vertical="center"/>
      <protection hidden="1"/>
    </xf>
    <xf numFmtId="0" fontId="0" fillId="2" borderId="0" xfId="0" applyFill="1" applyAlignment="1" applyProtection="1">
      <alignment vertical="center"/>
      <protection hidden="1"/>
    </xf>
    <xf numFmtId="0" fontId="0" fillId="6" borderId="0" xfId="0" applyFill="1" applyAlignment="1" applyProtection="1">
      <alignment vertical="center"/>
      <protection hidden="1"/>
    </xf>
    <xf numFmtId="0" fontId="7" fillId="6" borderId="0" xfId="0" applyFont="1" applyFill="1" applyAlignment="1" applyProtection="1">
      <alignment vertical="center"/>
      <protection hidden="1"/>
    </xf>
    <xf numFmtId="0" fontId="7" fillId="6" borderId="0" xfId="0" applyFont="1" applyFill="1" applyAlignment="1" applyProtection="1">
      <alignment horizontal="center" vertical="center"/>
      <protection hidden="1"/>
    </xf>
    <xf numFmtId="0" fontId="0" fillId="6" borderId="0" xfId="0" applyFill="1" applyAlignment="1" applyProtection="1">
      <alignment horizontal="center" vertical="center"/>
      <protection hidden="1"/>
    </xf>
    <xf numFmtId="0" fontId="0" fillId="0" borderId="0" xfId="0" applyAlignment="1" applyProtection="1">
      <alignment horizontal="center" vertical="center"/>
      <protection hidden="1"/>
    </xf>
    <xf numFmtId="0" fontId="0" fillId="0" borderId="0" xfId="0" applyAlignment="1" applyProtection="1">
      <alignment horizontal="center"/>
      <protection hidden="1"/>
    </xf>
    <xf numFmtId="0" fontId="0" fillId="0" borderId="57" xfId="0" applyBorder="1" applyAlignment="1" applyProtection="1">
      <alignment horizontal="left" vertical="center"/>
      <protection hidden="1"/>
    </xf>
    <xf numFmtId="0" fontId="0" fillId="0" borderId="52" xfId="0" applyBorder="1" applyAlignment="1" applyProtection="1">
      <alignment horizontal="center" vertical="center"/>
      <protection hidden="1"/>
    </xf>
    <xf numFmtId="0" fontId="0" fillId="0" borderId="75" xfId="0" applyBorder="1" applyAlignment="1" applyProtection="1">
      <alignment horizontal="center" vertical="center"/>
      <protection hidden="1"/>
    </xf>
    <xf numFmtId="0" fontId="0" fillId="0" borderId="124" xfId="0" applyBorder="1" applyAlignment="1" applyProtection="1">
      <alignment vertical="center"/>
      <protection hidden="1"/>
    </xf>
    <xf numFmtId="0" fontId="0" fillId="0" borderId="58" xfId="0" applyBorder="1" applyAlignment="1" applyProtection="1">
      <alignment horizontal="left" vertical="center"/>
      <protection hidden="1"/>
    </xf>
    <xf numFmtId="0" fontId="0" fillId="0" borderId="1" xfId="0" applyBorder="1" applyAlignment="1" applyProtection="1">
      <alignment horizontal="center" vertical="center"/>
      <protection hidden="1"/>
    </xf>
    <xf numFmtId="0" fontId="0" fillId="0" borderId="74" xfId="0" applyBorder="1" applyAlignment="1" applyProtection="1">
      <alignment horizontal="center" vertical="center"/>
      <protection hidden="1"/>
    </xf>
    <xf numFmtId="0" fontId="0" fillId="0" borderId="66" xfId="0" applyBorder="1" applyAlignment="1" applyProtection="1">
      <alignment horizontal="left" vertical="center"/>
      <protection hidden="1"/>
    </xf>
    <xf numFmtId="0" fontId="0" fillId="0" borderId="67" xfId="0" applyBorder="1" applyAlignment="1" applyProtection="1">
      <alignment horizontal="center" vertical="center"/>
      <protection hidden="1"/>
    </xf>
    <xf numFmtId="0" fontId="0" fillId="0" borderId="84" xfId="0" applyBorder="1" applyAlignment="1" applyProtection="1">
      <alignment horizontal="center" vertical="center"/>
      <protection hidden="1"/>
    </xf>
    <xf numFmtId="0" fontId="0" fillId="0" borderId="125" xfId="0" applyBorder="1" applyAlignment="1" applyProtection="1">
      <alignment vertical="center"/>
      <protection hidden="1"/>
    </xf>
    <xf numFmtId="0" fontId="0" fillId="0" borderId="0" xfId="0" applyAlignment="1" applyProtection="1">
      <alignment horizontal="left" vertical="center"/>
      <protection hidden="1"/>
    </xf>
    <xf numFmtId="0" fontId="0" fillId="0" borderId="82" xfId="0" applyBorder="1" applyAlignment="1" applyProtection="1">
      <alignment vertical="center"/>
      <protection hidden="1"/>
    </xf>
    <xf numFmtId="0" fontId="0" fillId="0" borderId="126" xfId="0" applyBorder="1" applyAlignment="1" applyProtection="1">
      <alignment vertical="center"/>
      <protection hidden="1"/>
    </xf>
    <xf numFmtId="0" fontId="11" fillId="0" borderId="64" xfId="0" applyFont="1" applyBorder="1" applyAlignment="1" applyProtection="1">
      <alignment horizontal="left" vertical="center" indent="2"/>
      <protection hidden="1"/>
    </xf>
    <xf numFmtId="0" fontId="11" fillId="0" borderId="52" xfId="0" applyFont="1" applyBorder="1" applyAlignment="1" applyProtection="1">
      <alignment horizontal="center" vertical="center"/>
      <protection hidden="1"/>
    </xf>
    <xf numFmtId="0" fontId="11" fillId="0" borderId="75" xfId="0" applyFont="1" applyBorder="1" applyAlignment="1" applyProtection="1">
      <alignment horizontal="center" vertical="center"/>
      <protection hidden="1"/>
    </xf>
    <xf numFmtId="0" fontId="11" fillId="0" borderId="71" xfId="0" applyFont="1" applyBorder="1" applyAlignment="1" applyProtection="1">
      <alignment horizontal="left" vertical="center" indent="2"/>
      <protection hidden="1"/>
    </xf>
    <xf numFmtId="0" fontId="11" fillId="0" borderId="55" xfId="0" applyFont="1" applyBorder="1" applyAlignment="1" applyProtection="1">
      <alignment horizontal="center" vertical="center"/>
      <protection hidden="1"/>
    </xf>
    <xf numFmtId="0" fontId="11" fillId="0" borderId="80" xfId="0" applyFont="1" applyBorder="1" applyAlignment="1" applyProtection="1">
      <alignment horizontal="center" vertical="center"/>
      <protection hidden="1"/>
    </xf>
    <xf numFmtId="0" fontId="3" fillId="0" borderId="77" xfId="0" applyFont="1" applyBorder="1" applyAlignment="1" applyProtection="1">
      <alignment horizontal="left" vertical="center"/>
      <protection hidden="1"/>
    </xf>
    <xf numFmtId="0" fontId="0" fillId="0" borderId="78" xfId="0" applyBorder="1" applyAlignment="1" applyProtection="1">
      <alignment horizontal="center" vertical="center"/>
      <protection hidden="1"/>
    </xf>
    <xf numFmtId="0" fontId="0" fillId="0" borderId="79" xfId="0" applyBorder="1" applyAlignment="1" applyProtection="1">
      <alignment horizontal="center" vertical="center"/>
      <protection hidden="1"/>
    </xf>
    <xf numFmtId="4" fontId="0" fillId="0" borderId="52" xfId="0" applyNumberFormat="1" applyBorder="1" applyAlignment="1" applyProtection="1">
      <alignment horizontal="center" vertical="center"/>
      <protection hidden="1"/>
    </xf>
    <xf numFmtId="4" fontId="0" fillId="0" borderId="75" xfId="0" applyNumberFormat="1" applyBorder="1" applyAlignment="1" applyProtection="1">
      <alignment horizontal="center" vertical="center"/>
      <protection hidden="1"/>
    </xf>
    <xf numFmtId="4" fontId="0" fillId="0" borderId="1" xfId="0" applyNumberFormat="1" applyBorder="1" applyAlignment="1" applyProtection="1">
      <alignment horizontal="center" vertical="center"/>
      <protection hidden="1"/>
    </xf>
    <xf numFmtId="4" fontId="0" fillId="0" borderId="74" xfId="0" applyNumberFormat="1" applyBorder="1" applyAlignment="1" applyProtection="1">
      <alignment horizontal="center" vertical="center"/>
      <protection hidden="1"/>
    </xf>
    <xf numFmtId="0" fontId="0" fillId="0" borderId="120" xfId="0" applyBorder="1" applyAlignment="1" applyProtection="1">
      <alignment horizontal="left" vertical="center"/>
      <protection hidden="1"/>
    </xf>
    <xf numFmtId="4" fontId="0" fillId="0" borderId="121" xfId="0" applyNumberFormat="1" applyBorder="1" applyAlignment="1" applyProtection="1">
      <alignment horizontal="center" vertical="center"/>
      <protection hidden="1"/>
    </xf>
    <xf numFmtId="4" fontId="0" fillId="0" borderId="122" xfId="0" applyNumberFormat="1" applyBorder="1" applyAlignment="1" applyProtection="1">
      <alignment horizontal="center" vertical="center"/>
      <protection hidden="1"/>
    </xf>
    <xf numFmtId="0" fontId="0" fillId="0" borderId="119" xfId="0" applyBorder="1" applyAlignment="1" applyProtection="1">
      <alignment horizontal="left" vertical="center"/>
      <protection hidden="1"/>
    </xf>
    <xf numFmtId="4" fontId="0" fillId="0" borderId="0" xfId="0" applyNumberFormat="1" applyAlignment="1" applyProtection="1">
      <alignment horizontal="center" vertical="center"/>
      <protection hidden="1"/>
    </xf>
    <xf numFmtId="0" fontId="11" fillId="6" borderId="0" xfId="0" applyFont="1" applyFill="1" applyAlignment="1" applyProtection="1">
      <alignment horizontal="left" vertical="center"/>
      <protection hidden="1"/>
    </xf>
    <xf numFmtId="0" fontId="0" fillId="2" borderId="2" xfId="0" applyFill="1" applyBorder="1" applyAlignment="1" applyProtection="1">
      <alignment vertical="center"/>
      <protection hidden="1"/>
    </xf>
    <xf numFmtId="0" fontId="0" fillId="0" borderId="2" xfId="0" applyBorder="1" applyAlignment="1" applyProtection="1">
      <alignment vertical="center"/>
      <protection hidden="1"/>
    </xf>
    <xf numFmtId="0" fontId="0" fillId="0" borderId="2" xfId="0" applyBorder="1" applyAlignment="1" applyProtection="1">
      <alignment horizontal="center" vertical="center"/>
      <protection hidden="1"/>
    </xf>
    <xf numFmtId="0" fontId="41" fillId="0" borderId="0" xfId="0" applyFont="1" applyAlignment="1" applyProtection="1">
      <alignment horizontal="left" vertical="center"/>
      <protection locked="0"/>
    </xf>
    <xf numFmtId="164" fontId="13" fillId="0" borderId="71" xfId="3" applyNumberFormat="1" applyFont="1" applyBorder="1" applyAlignment="1" applyProtection="1">
      <alignment horizontal="center" vertical="center"/>
      <protection locked="0"/>
    </xf>
    <xf numFmtId="164" fontId="28" fillId="0" borderId="56" xfId="3" applyNumberFormat="1" applyFont="1" applyBorder="1" applyAlignment="1" applyProtection="1">
      <alignment horizontal="center"/>
      <protection locked="0"/>
    </xf>
    <xf numFmtId="0" fontId="2" fillId="9" borderId="17" xfId="6" applyFont="1" applyFill="1" applyBorder="1" applyAlignment="1" applyProtection="1">
      <alignment horizontal="center"/>
      <protection locked="0"/>
    </xf>
    <xf numFmtId="0" fontId="18" fillId="0" borderId="0" xfId="0" applyFont="1" applyAlignment="1" applyProtection="1">
      <alignment vertical="center"/>
      <protection locked="0"/>
    </xf>
    <xf numFmtId="2" fontId="18" fillId="7" borderId="30" xfId="0" applyNumberFormat="1" applyFont="1" applyFill="1" applyBorder="1" applyAlignment="1" applyProtection="1">
      <alignment vertical="center"/>
      <protection hidden="1"/>
    </xf>
    <xf numFmtId="164" fontId="34" fillId="0" borderId="74" xfId="7" applyNumberFormat="1" applyFont="1" applyBorder="1" applyAlignment="1" applyProtection="1">
      <alignment vertical="center"/>
      <protection locked="0"/>
    </xf>
    <xf numFmtId="164" fontId="34" fillId="0" borderId="58" xfId="7" applyNumberFormat="1" applyFont="1" applyBorder="1" applyAlignment="1" applyProtection="1">
      <alignment vertical="center"/>
      <protection locked="0"/>
    </xf>
    <xf numFmtId="2" fontId="0" fillId="0" borderId="69" xfId="0" applyNumberFormat="1" applyBorder="1" applyAlignment="1" applyProtection="1">
      <alignment vertical="center"/>
      <protection locked="0"/>
    </xf>
    <xf numFmtId="2" fontId="0" fillId="0" borderId="54" xfId="0" applyNumberFormat="1" applyBorder="1" applyAlignment="1" applyProtection="1">
      <alignment vertical="center"/>
      <protection locked="0"/>
    </xf>
    <xf numFmtId="2" fontId="0" fillId="0" borderId="56" xfId="0" applyNumberFormat="1" applyBorder="1" applyAlignment="1" applyProtection="1">
      <alignment vertical="center"/>
      <protection locked="0"/>
    </xf>
    <xf numFmtId="0" fontId="0" fillId="2" borderId="0" xfId="0" applyFill="1" applyProtection="1">
      <protection locked="0"/>
    </xf>
    <xf numFmtId="43" fontId="18" fillId="0" borderId="106" xfId="0" applyNumberFormat="1" applyFont="1" applyBorder="1" applyAlignment="1" applyProtection="1">
      <alignment vertical="center"/>
      <protection locked="0"/>
    </xf>
    <xf numFmtId="0" fontId="0" fillId="2" borderId="0" xfId="0" applyFill="1" applyAlignment="1" applyProtection="1">
      <alignment vertical="center"/>
      <protection locked="0" hidden="1"/>
    </xf>
    <xf numFmtId="0" fontId="0" fillId="6" borderId="0" xfId="0" applyFill="1" applyAlignment="1" applyProtection="1">
      <alignment vertical="center"/>
      <protection locked="0" hidden="1"/>
    </xf>
    <xf numFmtId="0" fontId="11" fillId="6" borderId="0" xfId="0" applyFont="1" applyFill="1" applyAlignment="1" applyProtection="1">
      <alignment vertical="center"/>
      <protection locked="0" hidden="1"/>
    </xf>
    <xf numFmtId="0" fontId="0" fillId="0" borderId="0" xfId="0" applyAlignment="1" applyProtection="1">
      <alignment vertical="center"/>
      <protection locked="0" hidden="1"/>
    </xf>
    <xf numFmtId="0" fontId="2" fillId="9" borderId="17" xfId="6" applyFont="1" applyFill="1" applyBorder="1" applyAlignment="1" applyProtection="1">
      <alignment horizontal="center" vertical="center"/>
      <protection locked="0" hidden="1"/>
    </xf>
    <xf numFmtId="0" fontId="0" fillId="0" borderId="0" xfId="0" applyProtection="1">
      <protection locked="0" hidden="1"/>
    </xf>
    <xf numFmtId="0" fontId="18" fillId="0" borderId="0" xfId="0" applyFont="1" applyProtection="1">
      <protection locked="0" hidden="1"/>
    </xf>
    <xf numFmtId="0" fontId="0" fillId="2" borderId="2" xfId="0" applyFill="1" applyBorder="1" applyAlignment="1" applyProtection="1">
      <alignment vertical="center"/>
      <protection locked="0" hidden="1"/>
    </xf>
    <xf numFmtId="0" fontId="0" fillId="0" borderId="2" xfId="0" applyBorder="1" applyAlignment="1" applyProtection="1">
      <alignment vertical="center"/>
      <protection locked="0" hidden="1"/>
    </xf>
    <xf numFmtId="0" fontId="18" fillId="0" borderId="2" xfId="0" applyFont="1" applyBorder="1" applyProtection="1">
      <protection locked="0" hidden="1"/>
    </xf>
    <xf numFmtId="0" fontId="0" fillId="0" borderId="2" xfId="0" applyBorder="1" applyProtection="1">
      <protection locked="0" hidden="1"/>
    </xf>
    <xf numFmtId="0" fontId="0" fillId="0" borderId="0" xfId="0" applyAlignment="1" applyProtection="1">
      <alignment horizontal="center" vertical="center"/>
      <protection locked="0" hidden="1"/>
    </xf>
    <xf numFmtId="165" fontId="4" fillId="16" borderId="69" xfId="9" applyNumberFormat="1" applyFont="1" applyFill="1" applyBorder="1" applyAlignment="1" applyProtection="1">
      <alignment horizontal="center" vertical="center" wrapText="1"/>
      <protection locked="0" hidden="1"/>
    </xf>
    <xf numFmtId="164" fontId="54" fillId="16" borderId="56" xfId="4" applyNumberFormat="1" applyFont="1" applyFill="1" applyBorder="1" applyProtection="1">
      <alignment horizontal="left" indent="1"/>
      <protection locked="0" hidden="1"/>
    </xf>
    <xf numFmtId="165" fontId="4" fillId="7" borderId="69" xfId="9" applyNumberFormat="1" applyFont="1" applyFill="1" applyBorder="1" applyAlignment="1" applyProtection="1">
      <alignment horizontal="center" vertical="center" wrapText="1"/>
      <protection locked="0" hidden="1"/>
    </xf>
    <xf numFmtId="167" fontId="38" fillId="0" borderId="104" xfId="11" applyNumberFormat="1" applyFont="1" applyBorder="1" applyAlignment="1" applyProtection="1">
      <alignment horizontal="right"/>
      <protection locked="0" hidden="1"/>
    </xf>
    <xf numFmtId="164" fontId="54" fillId="7" borderId="56" xfId="4" applyNumberFormat="1" applyFont="1" applyFill="1" applyBorder="1" applyProtection="1">
      <alignment horizontal="left" indent="1"/>
      <protection locked="0" hidden="1"/>
    </xf>
    <xf numFmtId="2" fontId="5" fillId="0" borderId="61" xfId="0" applyNumberFormat="1" applyFont="1" applyBorder="1" applyAlignment="1" applyProtection="1">
      <alignment vertical="center"/>
      <protection locked="0" hidden="1"/>
    </xf>
    <xf numFmtId="2" fontId="5" fillId="0" borderId="1" xfId="0" applyNumberFormat="1" applyFont="1" applyBorder="1" applyAlignment="1" applyProtection="1">
      <alignment vertical="center"/>
      <protection locked="0" hidden="1"/>
    </xf>
    <xf numFmtId="2" fontId="5" fillId="0" borderId="55" xfId="0" applyNumberFormat="1" applyFont="1" applyBorder="1" applyAlignment="1" applyProtection="1">
      <alignment vertical="center"/>
      <protection locked="0" hidden="1"/>
    </xf>
    <xf numFmtId="0" fontId="41" fillId="7" borderId="29" xfId="0" applyFont="1" applyFill="1" applyBorder="1" applyAlignment="1" applyProtection="1">
      <alignment vertical="center"/>
      <protection locked="0" hidden="1"/>
    </xf>
    <xf numFmtId="0" fontId="41" fillId="7" borderId="30" xfId="0" applyFont="1" applyFill="1" applyBorder="1" applyAlignment="1" applyProtection="1">
      <alignment vertical="center"/>
      <protection locked="0" hidden="1"/>
    </xf>
    <xf numFmtId="0" fontId="11" fillId="0" borderId="16" xfId="0" applyFont="1" applyBorder="1" applyAlignment="1" applyProtection="1">
      <alignment horizontal="left"/>
      <protection locked="0"/>
    </xf>
    <xf numFmtId="0" fontId="11" fillId="0" borderId="17" xfId="0" applyFont="1" applyBorder="1" applyAlignment="1" applyProtection="1">
      <alignment horizontal="left"/>
      <protection locked="0"/>
    </xf>
    <xf numFmtId="0" fontId="2" fillId="2" borderId="23" xfId="0" applyFont="1" applyFill="1" applyBorder="1" applyAlignment="1" applyProtection="1">
      <alignment horizontal="center" vertical="center" wrapText="1"/>
      <protection locked="0"/>
    </xf>
    <xf numFmtId="0" fontId="5" fillId="0" borderId="102" xfId="0" applyFont="1" applyBorder="1" applyAlignment="1" applyProtection="1">
      <alignment horizontal="left" vertical="center"/>
      <protection locked="0"/>
    </xf>
    <xf numFmtId="0" fontId="5" fillId="0" borderId="101" xfId="0" applyFont="1" applyBorder="1" applyAlignment="1" applyProtection="1">
      <alignment horizontal="left" vertical="center"/>
      <protection locked="0"/>
    </xf>
    <xf numFmtId="0" fontId="5" fillId="0" borderId="58" xfId="0" applyFont="1" applyBorder="1" applyAlignment="1" applyProtection="1">
      <alignment horizontal="left" vertical="center"/>
      <protection locked="0"/>
    </xf>
    <xf numFmtId="0" fontId="11" fillId="0" borderId="16" xfId="0" applyFont="1" applyBorder="1" applyProtection="1">
      <protection locked="0"/>
    </xf>
    <xf numFmtId="0" fontId="11" fillId="0" borderId="17" xfId="0" applyFont="1" applyBorder="1" applyProtection="1">
      <protection locked="0"/>
    </xf>
    <xf numFmtId="0" fontId="23" fillId="2" borderId="0" xfId="0" applyFont="1" applyFill="1" applyAlignment="1" applyProtection="1">
      <alignment vertical="center"/>
      <protection hidden="1"/>
    </xf>
    <xf numFmtId="0" fontId="23" fillId="0" borderId="0" xfId="0" applyFont="1" applyAlignment="1" applyProtection="1">
      <alignment vertical="center"/>
      <protection hidden="1"/>
    </xf>
    <xf numFmtId="0" fontId="2" fillId="0" borderId="0" xfId="0" applyFont="1" applyProtection="1">
      <protection hidden="1"/>
    </xf>
    <xf numFmtId="0" fontId="23" fillId="0" borderId="0" xfId="0" applyFont="1" applyProtection="1">
      <protection hidden="1"/>
    </xf>
    <xf numFmtId="43" fontId="23" fillId="0" borderId="0" xfId="0" applyNumberFormat="1" applyFont="1" applyProtection="1">
      <protection hidden="1"/>
    </xf>
    <xf numFmtId="43" fontId="23" fillId="0" borderId="0" xfId="0" applyNumberFormat="1" applyFont="1" applyAlignment="1" applyProtection="1">
      <alignment vertical="center"/>
      <protection hidden="1"/>
    </xf>
    <xf numFmtId="0" fontId="19" fillId="0" borderId="0" xfId="0" applyFont="1" applyAlignment="1" applyProtection="1">
      <alignment horizontal="left" vertical="center" indent="2"/>
      <protection hidden="1"/>
    </xf>
    <xf numFmtId="0" fontId="19" fillId="0" borderId="0" xfId="0" applyFont="1" applyAlignment="1" applyProtection="1">
      <alignment vertical="center"/>
      <protection hidden="1"/>
    </xf>
    <xf numFmtId="0" fontId="2" fillId="0" borderId="0" xfId="0" applyFont="1" applyAlignment="1" applyProtection="1">
      <alignment vertical="center"/>
      <protection hidden="1"/>
    </xf>
    <xf numFmtId="10" fontId="2" fillId="0" borderId="0" xfId="1" applyNumberFormat="1" applyFont="1" applyFill="1" applyBorder="1" applyAlignment="1" applyProtection="1">
      <alignment vertical="center"/>
      <protection hidden="1"/>
    </xf>
    <xf numFmtId="9" fontId="23" fillId="0" borderId="0" xfId="0" applyNumberFormat="1" applyFont="1" applyProtection="1">
      <protection hidden="1"/>
    </xf>
    <xf numFmtId="10" fontId="58" fillId="0" borderId="0" xfId="1" applyNumberFormat="1" applyFont="1" applyFill="1" applyBorder="1" applyAlignment="1" applyProtection="1">
      <alignment vertical="center"/>
      <protection hidden="1"/>
    </xf>
    <xf numFmtId="0" fontId="41" fillId="0" borderId="102" xfId="0" applyFont="1" applyBorder="1" applyAlignment="1" applyProtection="1">
      <alignment horizontal="left" vertical="center"/>
      <protection locked="0"/>
    </xf>
    <xf numFmtId="0" fontId="41" fillId="0" borderId="101" xfId="0" applyFont="1" applyBorder="1" applyAlignment="1" applyProtection="1">
      <alignment horizontal="left" vertical="center"/>
      <protection locked="0"/>
    </xf>
    <xf numFmtId="0" fontId="41" fillId="0" borderId="58" xfId="0" applyFont="1" applyBorder="1" applyAlignment="1" applyProtection="1">
      <alignment horizontal="left" vertical="center"/>
      <protection locked="0"/>
    </xf>
    <xf numFmtId="0" fontId="8" fillId="0" borderId="102" xfId="0" applyFont="1" applyBorder="1" applyAlignment="1" applyProtection="1">
      <alignment horizontal="left" vertical="center"/>
      <protection locked="0"/>
    </xf>
    <xf numFmtId="0" fontId="8" fillId="0" borderId="101" xfId="0" applyFont="1" applyBorder="1" applyAlignment="1" applyProtection="1">
      <alignment horizontal="left" vertical="center"/>
      <protection locked="0"/>
    </xf>
    <xf numFmtId="0" fontId="22" fillId="10" borderId="0" xfId="0" applyFont="1" applyFill="1" applyAlignment="1" applyProtection="1">
      <alignment horizontal="left"/>
      <protection locked="0"/>
    </xf>
    <xf numFmtId="0" fontId="2" fillId="0" borderId="0" xfId="0" applyFont="1" applyAlignment="1" applyProtection="1">
      <alignment horizontal="center" vertical="center"/>
      <protection hidden="1"/>
    </xf>
    <xf numFmtId="0" fontId="14" fillId="8" borderId="18" xfId="0" applyFont="1" applyFill="1" applyBorder="1" applyProtection="1">
      <protection locked="0"/>
    </xf>
    <xf numFmtId="0" fontId="14" fillId="8" borderId="20" xfId="0" applyFont="1" applyFill="1" applyBorder="1" applyProtection="1">
      <protection locked="0"/>
    </xf>
    <xf numFmtId="49" fontId="14" fillId="8" borderId="15" xfId="1" applyNumberFormat="1" applyFont="1" applyFill="1" applyBorder="1" applyAlignment="1" applyProtection="1">
      <protection locked="0"/>
    </xf>
    <xf numFmtId="49" fontId="14" fillId="8" borderId="19" xfId="1" applyNumberFormat="1" applyFont="1" applyFill="1" applyBorder="1" applyAlignment="1" applyProtection="1">
      <protection locked="0"/>
    </xf>
    <xf numFmtId="0" fontId="11" fillId="0" borderId="10" xfId="0" applyFont="1" applyBorder="1" applyAlignment="1" applyProtection="1">
      <alignment horizontal="left"/>
      <protection locked="0"/>
    </xf>
    <xf numFmtId="0" fontId="11" fillId="0" borderId="11" xfId="0" applyFont="1" applyBorder="1" applyAlignment="1" applyProtection="1">
      <alignment horizontal="left"/>
      <protection locked="0"/>
    </xf>
    <xf numFmtId="0" fontId="23" fillId="2" borderId="0" xfId="0" applyFont="1" applyFill="1" applyAlignment="1" applyProtection="1">
      <alignment vertical="center"/>
      <protection locked="0"/>
    </xf>
    <xf numFmtId="0" fontId="23" fillId="0" borderId="0" xfId="0" applyFont="1" applyAlignment="1" applyProtection="1">
      <alignment vertical="center"/>
      <protection locked="0"/>
    </xf>
    <xf numFmtId="0" fontId="23" fillId="0" borderId="0" xfId="0" applyFont="1"/>
    <xf numFmtId="0" fontId="3" fillId="6" borderId="0" xfId="0" applyFont="1" applyFill="1" applyProtection="1">
      <protection locked="0"/>
    </xf>
    <xf numFmtId="0" fontId="0" fillId="6" borderId="0" xfId="0" applyFill="1" applyProtection="1">
      <protection locked="0"/>
    </xf>
    <xf numFmtId="0" fontId="29" fillId="18" borderId="0" xfId="0" applyFont="1" applyFill="1" applyAlignment="1" applyProtection="1">
      <alignment horizontal="center" vertical="center"/>
      <protection locked="0"/>
    </xf>
    <xf numFmtId="164" fontId="5" fillId="0" borderId="54" xfId="3" applyNumberFormat="1" applyFont="1" applyBorder="1" applyAlignment="1" applyProtection="1">
      <alignment horizontal="center" vertical="center"/>
      <protection locked="0"/>
    </xf>
    <xf numFmtId="164" fontId="0" fillId="0" borderId="54" xfId="3" applyNumberFormat="1" applyFont="1" applyBorder="1" applyAlignment="1" applyProtection="1">
      <alignment horizontal="center" vertical="center"/>
      <protection locked="0"/>
    </xf>
    <xf numFmtId="164" fontId="2" fillId="2" borderId="56" xfId="3" applyNumberFormat="1" applyFont="1" applyFill="1" applyBorder="1" applyAlignment="1" applyProtection="1">
      <alignment horizontal="center" vertical="center"/>
      <protection locked="0"/>
    </xf>
    <xf numFmtId="164" fontId="2" fillId="2" borderId="56" xfId="3" applyNumberFormat="1" applyFont="1" applyFill="1" applyBorder="1" applyProtection="1">
      <protection locked="0"/>
    </xf>
    <xf numFmtId="0" fontId="11" fillId="0" borderId="141" xfId="0" applyFont="1" applyBorder="1" applyProtection="1">
      <protection locked="0"/>
    </xf>
    <xf numFmtId="0" fontId="11" fillId="0" borderId="142" xfId="0" applyFont="1" applyBorder="1" applyProtection="1">
      <protection locked="0"/>
    </xf>
    <xf numFmtId="0" fontId="0" fillId="0" borderId="137" xfId="0" applyBorder="1" applyAlignment="1" applyProtection="1">
      <alignment vertical="center"/>
      <protection locked="0"/>
    </xf>
    <xf numFmtId="164" fontId="8" fillId="7" borderId="61" xfId="3" applyNumberFormat="1" applyFont="1" applyFill="1" applyBorder="1" applyAlignment="1" applyProtection="1">
      <alignment horizontal="center" vertical="center"/>
      <protection locked="0"/>
    </xf>
    <xf numFmtId="164" fontId="8" fillId="7" borderId="58" xfId="3" applyNumberFormat="1" applyFont="1" applyFill="1" applyBorder="1" applyAlignment="1" applyProtection="1">
      <alignment horizontal="center" vertical="center"/>
      <protection locked="0"/>
    </xf>
    <xf numFmtId="164" fontId="8" fillId="7" borderId="134" xfId="3" applyNumberFormat="1" applyFont="1" applyFill="1" applyBorder="1" applyAlignment="1" applyProtection="1">
      <alignment horizontal="center" vertical="center"/>
      <protection locked="0"/>
    </xf>
    <xf numFmtId="9" fontId="15" fillId="0" borderId="1" xfId="1" applyFont="1" applyBorder="1" applyAlignment="1" applyProtection="1">
      <alignment horizontal="center" vertical="center"/>
      <protection locked="0"/>
    </xf>
    <xf numFmtId="0" fontId="2" fillId="2" borderId="0" xfId="0" applyFont="1" applyFill="1" applyAlignment="1" applyProtection="1">
      <alignment horizontal="center" vertical="center"/>
      <protection locked="0"/>
    </xf>
    <xf numFmtId="0" fontId="15" fillId="0" borderId="1" xfId="0" applyFont="1" applyBorder="1" applyAlignment="1" applyProtection="1">
      <alignment horizontal="left" vertical="center"/>
      <protection locked="0"/>
    </xf>
    <xf numFmtId="0" fontId="8" fillId="8" borderId="0" xfId="0" applyFont="1" applyFill="1" applyAlignment="1" applyProtection="1">
      <alignment horizontal="left" vertical="center"/>
      <protection locked="0"/>
    </xf>
    <xf numFmtId="0" fontId="8" fillId="8" borderId="0" xfId="0" applyFont="1" applyFill="1" applyAlignment="1" applyProtection="1">
      <alignment horizontal="center" vertical="center"/>
      <protection locked="0"/>
    </xf>
    <xf numFmtId="0" fontId="15" fillId="0" borderId="74" xfId="0" applyFont="1" applyBorder="1" applyAlignment="1" applyProtection="1">
      <alignment vertical="center"/>
      <protection locked="0"/>
    </xf>
    <xf numFmtId="0" fontId="15" fillId="0" borderId="58" xfId="0" applyFont="1" applyBorder="1" applyAlignment="1" applyProtection="1">
      <alignment vertical="center"/>
      <protection locked="0"/>
    </xf>
    <xf numFmtId="0" fontId="0" fillId="0" borderId="74" xfId="0" applyBorder="1" applyAlignment="1" applyProtection="1">
      <alignment vertical="center"/>
      <protection locked="0"/>
    </xf>
    <xf numFmtId="0" fontId="0" fillId="0" borderId="58" xfId="0" applyBorder="1" applyAlignment="1" applyProtection="1">
      <alignment vertical="center"/>
      <protection locked="0"/>
    </xf>
    <xf numFmtId="0" fontId="8" fillId="6" borderId="0" xfId="0" applyFont="1" applyFill="1" applyAlignment="1" applyProtection="1">
      <alignment horizontal="center" vertical="center"/>
      <protection locked="0"/>
    </xf>
    <xf numFmtId="0" fontId="3" fillId="7" borderId="0" xfId="0" applyFont="1" applyFill="1" applyAlignment="1" applyProtection="1">
      <alignment horizontal="left" vertical="center"/>
      <protection locked="0"/>
    </xf>
    <xf numFmtId="0" fontId="56" fillId="7" borderId="0" xfId="0" applyFont="1" applyFill="1" applyAlignment="1" applyProtection="1">
      <alignment horizontal="center" vertical="center"/>
      <protection locked="0"/>
    </xf>
    <xf numFmtId="0" fontId="7" fillId="6" borderId="0" xfId="0" applyFont="1" applyFill="1" applyAlignment="1" applyProtection="1">
      <alignment horizontal="center" vertical="center"/>
      <protection locked="0"/>
    </xf>
    <xf numFmtId="0" fontId="9" fillId="2" borderId="0" xfId="0" applyFont="1" applyFill="1" applyAlignment="1" applyProtection="1">
      <alignment horizontal="center" vertical="center"/>
      <protection locked="0"/>
    </xf>
    <xf numFmtId="0" fontId="56" fillId="8" borderId="0" xfId="0" applyFont="1" applyFill="1" applyAlignment="1" applyProtection="1">
      <alignment horizontal="center" vertical="center"/>
      <protection locked="0"/>
    </xf>
    <xf numFmtId="0" fontId="10" fillId="6" borderId="0" xfId="0" applyFont="1" applyFill="1" applyAlignment="1" applyProtection="1">
      <alignment horizontal="center" vertical="center"/>
      <protection locked="0"/>
    </xf>
    <xf numFmtId="0" fontId="3" fillId="8" borderId="0" xfId="0" applyFont="1" applyFill="1" applyAlignment="1" applyProtection="1">
      <alignment horizontal="center" vertical="center"/>
      <protection locked="0"/>
    </xf>
    <xf numFmtId="3" fontId="29" fillId="12" borderId="0" xfId="0" applyNumberFormat="1" applyFont="1" applyFill="1" applyAlignment="1" applyProtection="1">
      <alignment horizontal="center" vertical="center"/>
      <protection hidden="1"/>
    </xf>
    <xf numFmtId="0" fontId="19" fillId="9" borderId="0" xfId="0" applyFont="1" applyFill="1" applyAlignment="1" applyProtection="1">
      <alignment horizontal="center" vertical="center"/>
      <protection hidden="1"/>
    </xf>
    <xf numFmtId="0" fontId="7" fillId="6" borderId="0" xfId="0" applyFont="1" applyFill="1" applyAlignment="1" applyProtection="1">
      <alignment horizontal="center" vertical="center"/>
      <protection hidden="1"/>
    </xf>
    <xf numFmtId="3" fontId="29" fillId="11" borderId="0" xfId="0" applyNumberFormat="1" applyFont="1" applyFill="1" applyAlignment="1" applyProtection="1">
      <alignment horizontal="center" vertical="center"/>
      <protection hidden="1"/>
    </xf>
    <xf numFmtId="0" fontId="55" fillId="6" borderId="0" xfId="0" applyFont="1" applyFill="1" applyAlignment="1" applyProtection="1">
      <alignment horizontal="center" vertical="center"/>
      <protection hidden="1"/>
    </xf>
    <xf numFmtId="3" fontId="29" fillId="7" borderId="0" xfId="0" applyNumberFormat="1" applyFont="1" applyFill="1" applyAlignment="1" applyProtection="1">
      <alignment horizontal="center" vertical="center"/>
      <protection hidden="1"/>
    </xf>
    <xf numFmtId="0" fontId="42" fillId="5" borderId="0" xfId="0" applyFont="1" applyFill="1" applyAlignment="1" applyProtection="1">
      <alignment horizontal="center" vertical="center" wrapText="1"/>
      <protection hidden="1"/>
    </xf>
    <xf numFmtId="10" fontId="29" fillId="12" borderId="0" xfId="0" applyNumberFormat="1" applyFont="1" applyFill="1" applyAlignment="1" applyProtection="1">
      <alignment horizontal="center" vertical="center"/>
      <protection hidden="1"/>
    </xf>
    <xf numFmtId="0" fontId="29" fillId="12" borderId="0" xfId="0" applyFont="1" applyFill="1" applyAlignment="1" applyProtection="1">
      <alignment horizontal="center" vertical="center"/>
      <protection hidden="1"/>
    </xf>
    <xf numFmtId="0" fontId="29" fillId="11" borderId="0" xfId="0" applyFont="1" applyFill="1" applyAlignment="1" applyProtection="1">
      <alignment horizontal="center" vertical="center"/>
      <protection hidden="1"/>
    </xf>
    <xf numFmtId="165" fontId="14" fillId="8" borderId="18" xfId="3" applyNumberFormat="1" applyFont="1" applyFill="1" applyBorder="1" applyAlignment="1" applyProtection="1">
      <alignment horizontal="center"/>
      <protection locked="0"/>
    </xf>
    <xf numFmtId="165" fontId="14" fillId="8" borderId="20" xfId="3" applyNumberFormat="1" applyFont="1" applyFill="1" applyBorder="1" applyAlignment="1" applyProtection="1">
      <alignment horizontal="center"/>
      <protection locked="0"/>
    </xf>
    <xf numFmtId="0" fontId="12" fillId="0" borderId="6" xfId="0" applyFont="1" applyBorder="1" applyAlignment="1" applyProtection="1">
      <alignment horizontal="center"/>
      <protection locked="0"/>
    </xf>
    <xf numFmtId="0" fontId="12" fillId="0" borderId="2" xfId="0" applyFont="1" applyBorder="1" applyAlignment="1" applyProtection="1">
      <alignment horizontal="center"/>
      <protection locked="0"/>
    </xf>
    <xf numFmtId="0" fontId="11" fillId="0" borderId="19" xfId="0" applyFont="1" applyBorder="1" applyAlignment="1" applyProtection="1">
      <alignment horizontal="left"/>
      <protection locked="0"/>
    </xf>
    <xf numFmtId="0" fontId="11" fillId="0" borderId="13" xfId="0" applyFont="1" applyBorder="1" applyAlignment="1" applyProtection="1">
      <alignment horizontal="left"/>
      <protection locked="0"/>
    </xf>
    <xf numFmtId="0" fontId="12" fillId="0" borderId="139" xfId="0" applyFont="1" applyBorder="1" applyAlignment="1" applyProtection="1">
      <alignment horizontal="center"/>
      <protection locked="0"/>
    </xf>
    <xf numFmtId="0" fontId="12" fillId="0" borderId="140" xfId="0" applyFont="1" applyBorder="1" applyAlignment="1" applyProtection="1">
      <alignment horizontal="center"/>
      <protection locked="0"/>
    </xf>
    <xf numFmtId="0" fontId="12" fillId="0" borderId="138" xfId="0" applyFont="1" applyBorder="1" applyAlignment="1" applyProtection="1">
      <alignment horizontal="center"/>
      <protection locked="0"/>
    </xf>
    <xf numFmtId="0" fontId="12" fillId="0" borderId="137" xfId="0" applyFont="1" applyBorder="1" applyAlignment="1" applyProtection="1">
      <alignment horizontal="center"/>
      <protection locked="0"/>
    </xf>
    <xf numFmtId="165" fontId="14" fillId="8" borderId="135" xfId="3" applyNumberFormat="1" applyFont="1" applyFill="1" applyBorder="1" applyAlignment="1" applyProtection="1">
      <alignment horizontal="center"/>
      <protection locked="0"/>
    </xf>
    <xf numFmtId="165" fontId="14" fillId="8" borderId="43" xfId="3" applyNumberFormat="1" applyFont="1" applyFill="1" applyBorder="1" applyAlignment="1" applyProtection="1">
      <alignment horizontal="center"/>
      <protection locked="0"/>
    </xf>
    <xf numFmtId="0" fontId="8" fillId="8" borderId="18" xfId="0" applyFont="1" applyFill="1" applyBorder="1" applyAlignment="1">
      <alignment horizontal="center"/>
    </xf>
    <xf numFmtId="0" fontId="8" fillId="8" borderId="16" xfId="0" applyFont="1" applyFill="1" applyBorder="1" applyAlignment="1">
      <alignment horizontal="center"/>
    </xf>
    <xf numFmtId="0" fontId="8" fillId="8" borderId="17" xfId="0" applyFont="1" applyFill="1" applyBorder="1" applyAlignment="1">
      <alignment horizontal="center"/>
    </xf>
    <xf numFmtId="0" fontId="14" fillId="8" borderId="18" xfId="0" applyFont="1" applyFill="1" applyBorder="1" applyAlignment="1" applyProtection="1">
      <alignment horizontal="center" vertical="center"/>
      <protection locked="0"/>
    </xf>
    <xf numFmtId="0" fontId="14" fillId="8" borderId="16" xfId="0" applyFont="1" applyFill="1" applyBorder="1" applyAlignment="1" applyProtection="1">
      <alignment horizontal="center" vertical="center"/>
      <protection locked="0"/>
    </xf>
    <xf numFmtId="0" fontId="14" fillId="8" borderId="18" xfId="0" applyFont="1" applyFill="1" applyBorder="1" applyAlignment="1" applyProtection="1">
      <alignment horizontal="left"/>
      <protection locked="0"/>
    </xf>
    <xf numFmtId="0" fontId="14" fillId="8" borderId="20" xfId="0" applyFont="1" applyFill="1" applyBorder="1" applyAlignment="1" applyProtection="1">
      <alignment horizontal="left"/>
      <protection locked="0"/>
    </xf>
    <xf numFmtId="0" fontId="14" fillId="8" borderId="18" xfId="0" applyFont="1" applyFill="1" applyBorder="1" applyProtection="1">
      <protection locked="0"/>
    </xf>
    <xf numFmtId="0" fontId="14" fillId="8" borderId="20" xfId="0" applyFont="1" applyFill="1" applyBorder="1" applyProtection="1">
      <protection locked="0"/>
    </xf>
    <xf numFmtId="0" fontId="11" fillId="0" borderId="0" xfId="0" applyFont="1" applyAlignment="1" applyProtection="1">
      <alignment horizontal="left" vertical="center"/>
      <protection locked="0"/>
    </xf>
    <xf numFmtId="0" fontId="2" fillId="9" borderId="21" xfId="6" applyFont="1" applyFill="1" applyBorder="1" applyAlignment="1" applyProtection="1">
      <alignment horizontal="center" vertical="center"/>
      <protection locked="0"/>
    </xf>
    <xf numFmtId="0" fontId="2" fillId="9" borderId="7" xfId="6" applyFont="1" applyFill="1" applyBorder="1" applyAlignment="1" applyProtection="1">
      <alignment horizontal="center" vertical="center"/>
      <protection locked="0"/>
    </xf>
    <xf numFmtId="0" fontId="2" fillId="9" borderId="0" xfId="6" applyFont="1" applyFill="1" applyBorder="1" applyAlignment="1" applyProtection="1">
      <alignment horizontal="center" vertical="center"/>
      <protection locked="0"/>
    </xf>
    <xf numFmtId="0" fontId="2" fillId="9" borderId="10" xfId="6" applyFont="1" applyFill="1" applyBorder="1" applyAlignment="1" applyProtection="1">
      <alignment horizontal="center" vertical="center"/>
      <protection locked="0"/>
    </xf>
    <xf numFmtId="0" fontId="8" fillId="8" borderId="21" xfId="0" applyFont="1" applyFill="1" applyBorder="1" applyAlignment="1" applyProtection="1">
      <alignment horizontal="left" vertical="center" wrapText="1"/>
      <protection locked="0"/>
    </xf>
    <xf numFmtId="0" fontId="8" fillId="8" borderId="0" xfId="0" applyFont="1" applyFill="1" applyAlignment="1" applyProtection="1">
      <alignment horizontal="left" vertical="center" wrapText="1"/>
      <protection locked="0"/>
    </xf>
    <xf numFmtId="0" fontId="2" fillId="9" borderId="21" xfId="6" applyFont="1" applyFill="1" applyBorder="1" applyAlignment="1" applyProtection="1">
      <alignment horizontal="center" vertical="center"/>
      <protection hidden="1"/>
    </xf>
    <xf numFmtId="0" fontId="2" fillId="9" borderId="7" xfId="6" applyFont="1" applyFill="1" applyBorder="1" applyAlignment="1" applyProtection="1">
      <alignment horizontal="center" vertical="center"/>
      <protection hidden="1"/>
    </xf>
    <xf numFmtId="0" fontId="2" fillId="9" borderId="0" xfId="6" applyFont="1" applyFill="1" applyBorder="1" applyAlignment="1" applyProtection="1">
      <alignment horizontal="center" vertical="center"/>
      <protection hidden="1"/>
    </xf>
    <xf numFmtId="0" fontId="2" fillId="9" borderId="10" xfId="6" applyFont="1" applyFill="1" applyBorder="1" applyAlignment="1" applyProtection="1">
      <alignment horizontal="center" vertical="center"/>
      <protection hidden="1"/>
    </xf>
    <xf numFmtId="0" fontId="11" fillId="0" borderId="4" xfId="0" applyFont="1" applyBorder="1" applyAlignment="1" applyProtection="1">
      <alignment horizontal="left"/>
      <protection locked="0"/>
    </xf>
    <xf numFmtId="0" fontId="11" fillId="0" borderId="5" xfId="0" applyFont="1" applyBorder="1" applyAlignment="1" applyProtection="1">
      <alignment horizontal="left"/>
      <protection locked="0"/>
    </xf>
    <xf numFmtId="0" fontId="11" fillId="0" borderId="14" xfId="0" applyFont="1" applyBorder="1" applyAlignment="1" applyProtection="1">
      <alignment horizontal="left"/>
      <protection locked="0"/>
    </xf>
    <xf numFmtId="9" fontId="14" fillId="8" borderId="15" xfId="1" applyFont="1" applyFill="1" applyBorder="1" applyAlignment="1" applyProtection="1">
      <alignment horizontal="center"/>
      <protection locked="0"/>
    </xf>
    <xf numFmtId="9" fontId="14" fillId="8" borderId="19" xfId="1" applyFont="1" applyFill="1" applyBorder="1" applyAlignment="1" applyProtection="1">
      <alignment horizontal="center"/>
      <protection locked="0"/>
    </xf>
    <xf numFmtId="0" fontId="11" fillId="0" borderId="10" xfId="0" applyFont="1" applyBorder="1" applyAlignment="1" applyProtection="1">
      <alignment horizontal="left"/>
      <protection locked="0"/>
    </xf>
    <xf numFmtId="0" fontId="11" fillId="0" borderId="11" xfId="0" applyFont="1" applyBorder="1" applyAlignment="1" applyProtection="1">
      <alignment horizontal="left"/>
      <protection locked="0"/>
    </xf>
    <xf numFmtId="0" fontId="11" fillId="0" borderId="0" xfId="0" applyFont="1" applyAlignment="1" applyProtection="1">
      <alignment horizontal="left"/>
      <protection locked="0"/>
    </xf>
    <xf numFmtId="0" fontId="16" fillId="8" borderId="18" xfId="0" applyFont="1" applyFill="1" applyBorder="1" applyAlignment="1">
      <alignment horizontal="left"/>
    </xf>
    <xf numFmtId="0" fontId="16" fillId="8" borderId="20" xfId="0" applyFont="1" applyFill="1" applyBorder="1" applyAlignment="1">
      <alignment horizontal="left"/>
    </xf>
    <xf numFmtId="165" fontId="14" fillId="8" borderId="9" xfId="3" applyNumberFormat="1" applyFont="1" applyFill="1" applyBorder="1" applyAlignment="1" applyProtection="1">
      <alignment horizontal="center"/>
      <protection locked="0"/>
    </xf>
    <xf numFmtId="165" fontId="14" fillId="8" borderId="21" xfId="3" applyNumberFormat="1" applyFont="1" applyFill="1" applyBorder="1" applyAlignment="1" applyProtection="1">
      <alignment horizontal="center"/>
      <protection locked="0"/>
    </xf>
    <xf numFmtId="0" fontId="14" fillId="8" borderId="16" xfId="0" applyFont="1" applyFill="1" applyBorder="1" applyAlignment="1" applyProtection="1">
      <alignment horizontal="left"/>
      <protection locked="0"/>
    </xf>
    <xf numFmtId="0" fontId="11" fillId="0" borderId="138" xfId="0" applyFont="1" applyBorder="1" applyAlignment="1" applyProtection="1">
      <alignment horizontal="left"/>
      <protection locked="0"/>
    </xf>
    <xf numFmtId="0" fontId="11" fillId="0" borderId="139" xfId="0" applyFont="1" applyBorder="1" applyAlignment="1" applyProtection="1">
      <alignment horizontal="left"/>
      <protection locked="0"/>
    </xf>
    <xf numFmtId="0" fontId="11" fillId="0" borderId="43" xfId="0" applyFont="1" applyBorder="1" applyAlignment="1" applyProtection="1">
      <alignment horizontal="left"/>
      <protection locked="0"/>
    </xf>
    <xf numFmtId="0" fontId="11" fillId="0" borderId="136" xfId="0" applyFont="1" applyBorder="1" applyAlignment="1" applyProtection="1">
      <alignment horizontal="left"/>
      <protection locked="0"/>
    </xf>
    <xf numFmtId="0" fontId="8" fillId="8" borderId="8" xfId="0" applyFont="1" applyFill="1" applyBorder="1" applyAlignment="1">
      <alignment horizontal="center"/>
    </xf>
    <xf numFmtId="0" fontId="8" fillId="8" borderId="133" xfId="0" applyFont="1" applyFill="1" applyBorder="1" applyAlignment="1">
      <alignment horizontal="center"/>
    </xf>
    <xf numFmtId="0" fontId="8" fillId="8" borderId="135" xfId="0" applyFont="1" applyFill="1" applyBorder="1" applyAlignment="1">
      <alignment horizontal="center"/>
    </xf>
    <xf numFmtId="0" fontId="8" fillId="8" borderId="136" xfId="0" applyFont="1" applyFill="1" applyBorder="1" applyAlignment="1">
      <alignment horizontal="center"/>
    </xf>
    <xf numFmtId="0" fontId="14" fillId="8" borderId="135" xfId="0" applyFont="1" applyFill="1" applyBorder="1" applyAlignment="1" applyProtection="1">
      <alignment horizontal="center" vertical="center"/>
      <protection locked="0"/>
    </xf>
    <xf numFmtId="0" fontId="14" fillId="8" borderId="136" xfId="0" applyFont="1" applyFill="1" applyBorder="1" applyAlignment="1" applyProtection="1">
      <alignment horizontal="center" vertical="center"/>
      <protection locked="0"/>
    </xf>
    <xf numFmtId="0" fontId="14" fillId="8" borderId="135" xfId="0" applyFont="1" applyFill="1" applyBorder="1" applyAlignment="1" applyProtection="1">
      <alignment horizontal="left"/>
      <protection locked="0"/>
    </xf>
    <xf numFmtId="0" fontId="14" fillId="8" borderId="43" xfId="0" applyFont="1" applyFill="1" applyBorder="1" applyAlignment="1" applyProtection="1">
      <alignment horizontal="left"/>
      <protection locked="0"/>
    </xf>
    <xf numFmtId="0" fontId="12" fillId="0" borderId="5" xfId="0" applyFont="1" applyBorder="1" applyAlignment="1" applyProtection="1">
      <alignment horizontal="center"/>
      <protection locked="0"/>
    </xf>
    <xf numFmtId="0" fontId="13" fillId="8" borderId="11" xfId="0" applyFont="1" applyFill="1" applyBorder="1" applyAlignment="1" applyProtection="1">
      <alignment horizontal="left"/>
      <protection locked="0"/>
    </xf>
    <xf numFmtId="0" fontId="13" fillId="8" borderId="12" xfId="0" applyFont="1" applyFill="1" applyBorder="1" applyAlignment="1" applyProtection="1">
      <alignment horizontal="left"/>
      <protection locked="0"/>
    </xf>
    <xf numFmtId="0" fontId="0" fillId="0" borderId="4" xfId="0" applyBorder="1" applyAlignment="1" applyProtection="1">
      <alignment horizontal="center"/>
      <protection locked="0"/>
    </xf>
    <xf numFmtId="0" fontId="0" fillId="0" borderId="5" xfId="0" applyBorder="1" applyAlignment="1" applyProtection="1">
      <alignment horizontal="center"/>
      <protection locked="0"/>
    </xf>
    <xf numFmtId="0" fontId="13" fillId="8" borderId="11" xfId="0" applyFont="1" applyFill="1" applyBorder="1" applyAlignment="1" applyProtection="1">
      <alignment horizontal="center"/>
      <protection locked="0"/>
    </xf>
    <xf numFmtId="0" fontId="14" fillId="8" borderId="136" xfId="0" applyFont="1" applyFill="1" applyBorder="1" applyAlignment="1" applyProtection="1">
      <alignment horizontal="left"/>
      <protection locked="0"/>
    </xf>
    <xf numFmtId="164" fontId="13" fillId="0" borderId="74" xfId="3" applyNumberFormat="1" applyFont="1" applyBorder="1" applyAlignment="1" applyProtection="1">
      <alignment horizontal="center" vertical="center"/>
      <protection locked="0"/>
    </xf>
    <xf numFmtId="164" fontId="13" fillId="0" borderId="58" xfId="3" applyNumberFormat="1" applyFont="1" applyBorder="1" applyAlignment="1" applyProtection="1">
      <alignment horizontal="center" vertical="center"/>
      <protection locked="0"/>
    </xf>
    <xf numFmtId="0" fontId="2" fillId="0" borderId="0" xfId="0" applyFont="1" applyAlignment="1" applyProtection="1">
      <alignment horizontal="center" vertical="center"/>
      <protection hidden="1"/>
    </xf>
    <xf numFmtId="0" fontId="37" fillId="10" borderId="0" xfId="0" applyFont="1" applyFill="1" applyAlignment="1" applyProtection="1">
      <alignment horizontal="left"/>
      <protection locked="0"/>
    </xf>
    <xf numFmtId="0" fontId="37" fillId="10" borderId="2" xfId="0" applyFont="1" applyFill="1" applyBorder="1" applyAlignment="1" applyProtection="1">
      <alignment horizontal="left"/>
      <protection locked="0"/>
    </xf>
    <xf numFmtId="0" fontId="57" fillId="10" borderId="0" xfId="0" applyFont="1" applyFill="1" applyAlignment="1" applyProtection="1">
      <alignment horizontal="left"/>
      <protection hidden="1"/>
    </xf>
    <xf numFmtId="164" fontId="2" fillId="0" borderId="0" xfId="3" applyNumberFormat="1" applyFont="1" applyFill="1" applyBorder="1" applyAlignment="1" applyProtection="1">
      <alignment horizontal="center" vertical="center"/>
      <protection hidden="1"/>
    </xf>
    <xf numFmtId="9" fontId="2" fillId="0" borderId="0" xfId="1" applyFont="1" applyFill="1" applyBorder="1" applyAlignment="1" applyProtection="1">
      <alignment horizontal="center" vertical="center"/>
      <protection hidden="1"/>
    </xf>
    <xf numFmtId="0" fontId="2" fillId="0" borderId="0" xfId="0" applyFont="1" applyAlignment="1" applyProtection="1">
      <alignment horizontal="center" vertical="center" wrapText="1"/>
      <protection hidden="1"/>
    </xf>
    <xf numFmtId="166" fontId="2" fillId="0" borderId="0" xfId="0" applyNumberFormat="1" applyFont="1" applyAlignment="1" applyProtection="1">
      <alignment horizontal="center" vertical="center"/>
      <protection hidden="1"/>
    </xf>
    <xf numFmtId="0" fontId="21" fillId="0" borderId="0" xfId="0" applyFont="1" applyAlignment="1" applyProtection="1">
      <alignment horizontal="center" vertical="center" wrapText="1"/>
      <protection hidden="1"/>
    </xf>
    <xf numFmtId="0" fontId="19" fillId="9" borderId="28" xfId="0" applyFont="1" applyFill="1" applyBorder="1" applyAlignment="1" applyProtection="1">
      <alignment horizontal="left" vertical="center"/>
      <protection locked="0"/>
    </xf>
    <xf numFmtId="0" fontId="19" fillId="9" borderId="29" xfId="0" applyFont="1" applyFill="1" applyBorder="1" applyAlignment="1" applyProtection="1">
      <alignment horizontal="left" vertical="center"/>
      <protection locked="0"/>
    </xf>
    <xf numFmtId="0" fontId="11" fillId="0" borderId="24" xfId="0" applyFont="1" applyBorder="1" applyAlignment="1" applyProtection="1">
      <alignment horizontal="left"/>
      <protection locked="0"/>
    </xf>
    <xf numFmtId="165" fontId="3" fillId="0" borderId="20" xfId="3" applyNumberFormat="1" applyFont="1" applyFill="1" applyBorder="1" applyAlignment="1" applyProtection="1">
      <alignment horizontal="right"/>
      <protection hidden="1"/>
    </xf>
    <xf numFmtId="165" fontId="3" fillId="0" borderId="45" xfId="3" applyNumberFormat="1" applyFont="1" applyFill="1" applyBorder="1" applyAlignment="1" applyProtection="1">
      <alignment horizontal="right"/>
      <protection hidden="1"/>
    </xf>
    <xf numFmtId="0" fontId="3" fillId="0" borderId="0" xfId="0" applyFont="1" applyAlignment="1" applyProtection="1">
      <alignment horizontal="center"/>
      <protection locked="0"/>
    </xf>
    <xf numFmtId="0" fontId="13" fillId="8" borderId="36" xfId="0" applyFont="1" applyFill="1" applyBorder="1" applyAlignment="1" applyProtection="1">
      <alignment horizontal="center"/>
      <protection locked="0"/>
    </xf>
    <xf numFmtId="0" fontId="13" fillId="8" borderId="37" xfId="0" applyFont="1" applyFill="1" applyBorder="1" applyAlignment="1" applyProtection="1">
      <alignment horizontal="center"/>
      <protection locked="0"/>
    </xf>
    <xf numFmtId="0" fontId="0" fillId="0" borderId="34" xfId="0" applyBorder="1" applyAlignment="1" applyProtection="1">
      <alignment horizontal="left"/>
      <protection locked="0"/>
    </xf>
    <xf numFmtId="0" fontId="0" fillId="0" borderId="35" xfId="0" applyBorder="1" applyAlignment="1" applyProtection="1">
      <alignment horizontal="left"/>
      <protection locked="0"/>
    </xf>
    <xf numFmtId="37" fontId="13" fillId="8" borderId="46" xfId="3" applyNumberFormat="1" applyFont="1" applyFill="1" applyBorder="1" applyAlignment="1" applyProtection="1">
      <alignment horizontal="right"/>
      <protection locked="0"/>
    </xf>
    <xf numFmtId="37" fontId="13" fillId="8" borderId="47" xfId="3" applyNumberFormat="1" applyFont="1" applyFill="1" applyBorder="1" applyAlignment="1" applyProtection="1">
      <alignment horizontal="right"/>
      <protection locked="0"/>
    </xf>
    <xf numFmtId="0" fontId="3" fillId="0" borderId="24" xfId="0" applyFont="1" applyBorder="1" applyAlignment="1" applyProtection="1">
      <alignment horizontal="left" indent="1"/>
      <protection locked="0"/>
    </xf>
    <xf numFmtId="0" fontId="3" fillId="0" borderId="0" xfId="0" applyFont="1" applyAlignment="1" applyProtection="1">
      <alignment horizontal="left" indent="1"/>
      <protection locked="0"/>
    </xf>
    <xf numFmtId="0" fontId="3" fillId="0" borderId="34" xfId="0" applyFont="1" applyBorder="1" applyAlignment="1" applyProtection="1">
      <alignment horizontal="center"/>
      <protection locked="0"/>
    </xf>
    <xf numFmtId="0" fontId="3" fillId="0" borderId="35" xfId="0" applyFont="1" applyBorder="1" applyAlignment="1" applyProtection="1">
      <alignment horizontal="center"/>
      <protection locked="0"/>
    </xf>
    <xf numFmtId="1" fontId="13" fillId="8" borderId="20" xfId="0" applyNumberFormat="1" applyFont="1" applyFill="1" applyBorder="1" applyAlignment="1" applyProtection="1">
      <alignment horizontal="right"/>
      <protection locked="0"/>
    </xf>
    <xf numFmtId="1" fontId="13" fillId="8" borderId="45" xfId="0" applyNumberFormat="1" applyFont="1" applyFill="1" applyBorder="1" applyAlignment="1" applyProtection="1">
      <alignment horizontal="right"/>
      <protection locked="0"/>
    </xf>
    <xf numFmtId="0" fontId="11" fillId="0" borderId="31" xfId="0" applyFont="1" applyBorder="1" applyAlignment="1" applyProtection="1">
      <alignment horizontal="left" indent="2"/>
      <protection locked="0"/>
    </xf>
    <xf numFmtId="0" fontId="11" fillId="0" borderId="32" xfId="0" applyFont="1" applyBorder="1" applyAlignment="1" applyProtection="1">
      <alignment horizontal="left" indent="2"/>
      <protection locked="0"/>
    </xf>
    <xf numFmtId="0" fontId="11" fillId="0" borderId="32" xfId="0" applyFont="1" applyBorder="1" applyAlignment="1" applyProtection="1">
      <alignment horizontal="center"/>
      <protection locked="0"/>
    </xf>
    <xf numFmtId="0" fontId="19" fillId="9" borderId="30" xfId="0" applyFont="1" applyFill="1" applyBorder="1" applyAlignment="1" applyProtection="1">
      <alignment horizontal="left" vertical="center"/>
      <protection locked="0"/>
    </xf>
    <xf numFmtId="1" fontId="13" fillId="8" borderId="43" xfId="0" applyNumberFormat="1" applyFont="1" applyFill="1" applyBorder="1" applyAlignment="1" applyProtection="1">
      <alignment horizontal="right"/>
      <protection locked="0"/>
    </xf>
    <xf numFmtId="1" fontId="13" fillId="8" borderId="44" xfId="0" applyNumberFormat="1" applyFont="1" applyFill="1" applyBorder="1" applyAlignment="1" applyProtection="1">
      <alignment horizontal="right"/>
      <protection locked="0"/>
    </xf>
    <xf numFmtId="0" fontId="13" fillId="8" borderId="40" xfId="0" applyFont="1" applyFill="1" applyBorder="1" applyAlignment="1" applyProtection="1">
      <alignment horizontal="center"/>
      <protection locked="0"/>
    </xf>
    <xf numFmtId="0" fontId="13" fillId="8" borderId="41" xfId="0" applyFont="1" applyFill="1" applyBorder="1" applyAlignment="1" applyProtection="1">
      <alignment horizontal="center"/>
      <protection locked="0"/>
    </xf>
    <xf numFmtId="0" fontId="3" fillId="0" borderId="26" xfId="0" applyFont="1" applyBorder="1" applyAlignment="1" applyProtection="1">
      <alignment horizontal="left"/>
      <protection locked="0"/>
    </xf>
    <xf numFmtId="0" fontId="3" fillId="0" borderId="2" xfId="0" applyFont="1" applyBorder="1" applyAlignment="1" applyProtection="1">
      <alignment horizontal="left"/>
      <protection locked="0"/>
    </xf>
    <xf numFmtId="165" fontId="3" fillId="0" borderId="2" xfId="3" applyNumberFormat="1" applyFont="1" applyFill="1" applyBorder="1" applyAlignment="1" applyProtection="1">
      <alignment horizontal="right"/>
    </xf>
    <xf numFmtId="0" fontId="3" fillId="0" borderId="26" xfId="0" applyFont="1" applyBorder="1" applyAlignment="1" applyProtection="1">
      <alignment horizontal="left" indent="1"/>
      <protection locked="0"/>
    </xf>
    <xf numFmtId="0" fontId="3" fillId="0" borderId="2" xfId="0" applyFont="1" applyBorder="1" applyAlignment="1" applyProtection="1">
      <alignment horizontal="left" indent="1"/>
      <protection locked="0"/>
    </xf>
    <xf numFmtId="9" fontId="13" fillId="8" borderId="20" xfId="0" applyNumberFormat="1" applyFont="1" applyFill="1" applyBorder="1" applyAlignment="1" applyProtection="1">
      <alignment horizontal="right"/>
      <protection locked="0"/>
    </xf>
    <xf numFmtId="0" fontId="13" fillId="8" borderId="45" xfId="0" applyFont="1" applyFill="1" applyBorder="1" applyAlignment="1" applyProtection="1">
      <alignment horizontal="right"/>
      <protection locked="0"/>
    </xf>
    <xf numFmtId="165" fontId="3" fillId="0" borderId="2" xfId="3" applyNumberFormat="1" applyFont="1" applyFill="1" applyBorder="1" applyAlignment="1" applyProtection="1">
      <alignment horizontal="right"/>
      <protection locked="0"/>
    </xf>
    <xf numFmtId="0" fontId="3" fillId="0" borderId="2" xfId="0" applyFont="1" applyBorder="1" applyAlignment="1" applyProtection="1">
      <alignment horizontal="center"/>
      <protection locked="0"/>
    </xf>
    <xf numFmtId="10" fontId="18" fillId="6" borderId="2" xfId="1" applyNumberFormat="1" applyFont="1" applyFill="1" applyBorder="1" applyAlignment="1" applyProtection="1">
      <alignment horizontal="center"/>
      <protection hidden="1"/>
    </xf>
    <xf numFmtId="10" fontId="18" fillId="6" borderId="27" xfId="1" applyNumberFormat="1" applyFont="1" applyFill="1" applyBorder="1" applyAlignment="1" applyProtection="1">
      <alignment horizontal="center"/>
      <protection hidden="1"/>
    </xf>
    <xf numFmtId="9" fontId="8" fillId="0" borderId="20" xfId="0" applyNumberFormat="1" applyFont="1" applyBorder="1" applyAlignment="1">
      <alignment horizontal="right"/>
    </xf>
    <xf numFmtId="0" fontId="8" fillId="0" borderId="45" xfId="0" applyFont="1" applyBorder="1" applyAlignment="1">
      <alignment horizontal="right"/>
    </xf>
    <xf numFmtId="0" fontId="13" fillId="8" borderId="16" xfId="0" applyFont="1" applyFill="1" applyBorder="1" applyAlignment="1" applyProtection="1">
      <alignment horizontal="center"/>
      <protection locked="0"/>
    </xf>
    <xf numFmtId="0" fontId="13" fillId="8" borderId="17" xfId="0" applyFont="1" applyFill="1" applyBorder="1" applyAlignment="1" applyProtection="1">
      <alignment horizontal="center"/>
      <protection locked="0"/>
    </xf>
    <xf numFmtId="0" fontId="3" fillId="0" borderId="24" xfId="0" applyFont="1" applyBorder="1" applyAlignment="1" applyProtection="1">
      <alignment horizontal="center"/>
      <protection locked="0"/>
    </xf>
    <xf numFmtId="9" fontId="8" fillId="0" borderId="20" xfId="1" applyFont="1" applyFill="1" applyBorder="1" applyAlignment="1" applyProtection="1">
      <alignment horizontal="right"/>
    </xf>
    <xf numFmtId="9" fontId="8" fillId="0" borderId="45" xfId="1" applyFont="1" applyFill="1" applyBorder="1" applyAlignment="1" applyProtection="1">
      <alignment horizontal="right"/>
    </xf>
    <xf numFmtId="0" fontId="11" fillId="0" borderId="31" xfId="0" applyFont="1" applyBorder="1" applyAlignment="1" applyProtection="1">
      <alignment horizontal="center"/>
      <protection locked="0"/>
    </xf>
    <xf numFmtId="165" fontId="8" fillId="0" borderId="46" xfId="3" applyNumberFormat="1" applyFont="1" applyFill="1" applyBorder="1" applyAlignment="1" applyProtection="1">
      <alignment horizontal="right"/>
      <protection hidden="1"/>
    </xf>
    <xf numFmtId="165" fontId="8" fillId="0" borderId="47" xfId="3" applyNumberFormat="1" applyFont="1" applyFill="1" applyBorder="1" applyAlignment="1" applyProtection="1">
      <alignment horizontal="right"/>
      <protection hidden="1"/>
    </xf>
    <xf numFmtId="0" fontId="11" fillId="0" borderId="48" xfId="0" applyFont="1" applyBorder="1" applyAlignment="1" applyProtection="1">
      <alignment horizontal="left" indent="2"/>
      <protection locked="0"/>
    </xf>
    <xf numFmtId="0" fontId="11" fillId="0" borderId="49" xfId="0" applyFont="1" applyBorder="1" applyAlignment="1" applyProtection="1">
      <alignment horizontal="left" indent="2"/>
      <protection locked="0"/>
    </xf>
    <xf numFmtId="0" fontId="0" fillId="0" borderId="26" xfId="0" applyBorder="1" applyAlignment="1" applyProtection="1">
      <alignment horizontal="left"/>
      <protection locked="0"/>
    </xf>
    <xf numFmtId="0" fontId="0" fillId="0" borderId="2" xfId="0" applyBorder="1" applyAlignment="1" applyProtection="1">
      <alignment horizontal="left"/>
      <protection locked="0"/>
    </xf>
    <xf numFmtId="37" fontId="13" fillId="8" borderId="50" xfId="3" applyNumberFormat="1" applyFont="1" applyFill="1" applyBorder="1" applyAlignment="1" applyProtection="1">
      <alignment horizontal="right"/>
      <protection locked="0"/>
    </xf>
    <xf numFmtId="37" fontId="13" fillId="8" borderId="51" xfId="3" applyNumberFormat="1" applyFont="1" applyFill="1" applyBorder="1" applyAlignment="1" applyProtection="1">
      <alignment horizontal="right"/>
      <protection locked="0"/>
    </xf>
    <xf numFmtId="0" fontId="3" fillId="0" borderId="26" xfId="0" applyFont="1" applyBorder="1" applyAlignment="1" applyProtection="1">
      <alignment horizontal="center"/>
      <protection locked="0"/>
    </xf>
    <xf numFmtId="0" fontId="11" fillId="0" borderId="24" xfId="0" applyFont="1" applyBorder="1" applyAlignment="1" applyProtection="1">
      <alignment vertical="center"/>
      <protection locked="0"/>
    </xf>
    <xf numFmtId="0" fontId="11" fillId="0" borderId="0" xfId="0" applyFont="1" applyAlignment="1" applyProtection="1">
      <alignment vertical="center"/>
      <protection locked="0"/>
    </xf>
    <xf numFmtId="165" fontId="13" fillId="8" borderId="20" xfId="3" applyNumberFormat="1" applyFont="1" applyFill="1" applyBorder="1" applyAlignment="1" applyProtection="1">
      <alignment horizontal="right"/>
      <protection locked="0"/>
    </xf>
    <xf numFmtId="165" fontId="13" fillId="8" borderId="45" xfId="3" applyNumberFormat="1" applyFont="1" applyFill="1" applyBorder="1" applyAlignment="1" applyProtection="1">
      <alignment horizontal="right"/>
      <protection locked="0"/>
    </xf>
    <xf numFmtId="0" fontId="13" fillId="8" borderId="76" xfId="0" applyFont="1" applyFill="1" applyBorder="1" applyAlignment="1" applyProtection="1">
      <alignment horizontal="center"/>
      <protection locked="0"/>
    </xf>
    <xf numFmtId="164" fontId="13" fillId="0" borderId="74" xfId="0" applyNumberFormat="1" applyFont="1" applyBorder="1" applyAlignment="1" applyProtection="1">
      <alignment horizontal="center" vertical="center"/>
      <protection locked="0"/>
    </xf>
    <xf numFmtId="164" fontId="13" fillId="0" borderId="58" xfId="0" applyNumberFormat="1" applyFont="1" applyBorder="1" applyAlignment="1" applyProtection="1">
      <alignment horizontal="center" vertical="center"/>
      <protection locked="0"/>
    </xf>
    <xf numFmtId="0" fontId="2" fillId="9" borderId="22" xfId="0" applyFont="1" applyFill="1" applyBorder="1" applyAlignment="1" applyProtection="1">
      <alignment horizontal="center" vertical="center"/>
      <protection locked="0"/>
    </xf>
    <xf numFmtId="0" fontId="2" fillId="9" borderId="26" xfId="0" applyFont="1" applyFill="1" applyBorder="1" applyAlignment="1" applyProtection="1">
      <alignment horizontal="center" vertical="center"/>
      <protection locked="0"/>
    </xf>
    <xf numFmtId="0" fontId="2" fillId="9" borderId="3" xfId="0" applyFont="1" applyFill="1" applyBorder="1" applyAlignment="1" applyProtection="1">
      <alignment horizontal="center" vertical="center"/>
      <protection locked="0"/>
    </xf>
    <xf numFmtId="0" fontId="2" fillId="9" borderId="2" xfId="0" applyFont="1" applyFill="1" applyBorder="1" applyAlignment="1" applyProtection="1">
      <alignment horizontal="center" vertical="center"/>
      <protection locked="0"/>
    </xf>
    <xf numFmtId="0" fontId="13" fillId="8" borderId="20" xfId="0" applyFont="1" applyFill="1" applyBorder="1" applyAlignment="1" applyProtection="1">
      <alignment horizontal="center"/>
      <protection locked="0"/>
    </xf>
    <xf numFmtId="0" fontId="13" fillId="0" borderId="74" xfId="0" applyFont="1" applyBorder="1" applyAlignment="1" applyProtection="1">
      <alignment horizontal="center" vertical="center"/>
      <protection locked="0"/>
    </xf>
    <xf numFmtId="0" fontId="13" fillId="0" borderId="58" xfId="0" applyFont="1" applyBorder="1" applyAlignment="1" applyProtection="1">
      <alignment horizontal="center" vertical="center"/>
      <protection locked="0"/>
    </xf>
    <xf numFmtId="164" fontId="13" fillId="0" borderId="1" xfId="0" applyNumberFormat="1" applyFont="1"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13" fillId="0" borderId="75" xfId="0" applyFont="1" applyBorder="1" applyAlignment="1" applyProtection="1">
      <alignment horizontal="center" vertical="center"/>
      <protection locked="0"/>
    </xf>
    <xf numFmtId="0" fontId="13" fillId="0" borderId="57" xfId="0" applyFont="1" applyBorder="1" applyAlignment="1" applyProtection="1">
      <alignment horizontal="center" vertical="center"/>
      <protection locked="0"/>
    </xf>
    <xf numFmtId="164" fontId="13" fillId="0" borderId="1" xfId="3" applyNumberFormat="1" applyFont="1" applyBorder="1" applyAlignment="1" applyProtection="1">
      <alignment horizontal="center" vertical="center"/>
      <protection locked="0"/>
    </xf>
    <xf numFmtId="164" fontId="13" fillId="0" borderId="75" xfId="3" applyNumberFormat="1" applyFont="1" applyBorder="1" applyAlignment="1" applyProtection="1">
      <alignment horizontal="center" vertical="center"/>
      <protection locked="0"/>
    </xf>
    <xf numFmtId="164" fontId="13" fillId="0" borderId="57" xfId="3" applyNumberFormat="1" applyFont="1" applyBorder="1" applyAlignment="1" applyProtection="1">
      <alignment horizontal="center" vertical="center"/>
      <protection locked="0"/>
    </xf>
    <xf numFmtId="164" fontId="13" fillId="0" borderId="52" xfId="3" applyNumberFormat="1" applyFont="1" applyBorder="1" applyAlignment="1" applyProtection="1">
      <alignment horizontal="center" vertical="center"/>
      <protection locked="0"/>
    </xf>
    <xf numFmtId="0" fontId="13" fillId="0" borderId="55" xfId="0" applyFont="1" applyBorder="1" applyAlignment="1" applyProtection="1">
      <alignment horizontal="center" vertical="center"/>
      <protection locked="0"/>
    </xf>
    <xf numFmtId="164" fontId="2" fillId="0" borderId="0" xfId="0" applyNumberFormat="1" applyFont="1" applyAlignment="1" applyProtection="1">
      <alignment horizontal="center" vertical="center"/>
      <protection hidden="1"/>
    </xf>
    <xf numFmtId="0" fontId="13" fillId="0" borderId="59" xfId="0" applyFont="1" applyBorder="1" applyAlignment="1" applyProtection="1">
      <alignment horizontal="center" vertical="center"/>
      <protection locked="0"/>
    </xf>
    <xf numFmtId="0" fontId="2" fillId="9" borderId="3" xfId="0" applyFont="1" applyFill="1" applyBorder="1" applyAlignment="1" applyProtection="1">
      <alignment horizontal="center" vertical="center" wrapText="1"/>
      <protection locked="0"/>
    </xf>
    <xf numFmtId="0" fontId="2" fillId="9" borderId="2" xfId="0" applyFont="1" applyFill="1" applyBorder="1" applyAlignment="1" applyProtection="1">
      <alignment horizontal="center" vertical="center" wrapText="1"/>
      <protection locked="0"/>
    </xf>
    <xf numFmtId="0" fontId="19" fillId="0" borderId="0" xfId="0" applyFont="1" applyAlignment="1" applyProtection="1">
      <alignment horizontal="left" vertical="center"/>
      <protection hidden="1"/>
    </xf>
    <xf numFmtId="0" fontId="2" fillId="9" borderId="17" xfId="6" applyFont="1" applyFill="1" applyBorder="1" applyAlignment="1" applyProtection="1">
      <alignment horizontal="center" vertical="center"/>
      <protection locked="0"/>
    </xf>
    <xf numFmtId="0" fontId="2" fillId="9" borderId="22" xfId="0" applyFont="1" applyFill="1" applyBorder="1" applyAlignment="1" applyProtection="1">
      <alignment horizontal="center" vertical="center" wrapText="1"/>
      <protection locked="0"/>
    </xf>
    <xf numFmtId="0" fontId="2" fillId="9" borderId="24" xfId="0" applyFont="1" applyFill="1" applyBorder="1" applyAlignment="1" applyProtection="1">
      <alignment horizontal="center" vertical="center" wrapText="1"/>
      <protection locked="0"/>
    </xf>
    <xf numFmtId="0" fontId="2" fillId="9" borderId="0" xfId="0" applyFont="1" applyFill="1" applyAlignment="1" applyProtection="1">
      <alignment horizontal="center" vertical="center" wrapText="1"/>
      <protection locked="0"/>
    </xf>
    <xf numFmtId="0" fontId="2" fillId="9" borderId="23" xfId="0" applyFont="1" applyFill="1" applyBorder="1" applyAlignment="1" applyProtection="1">
      <alignment horizontal="center" vertical="center" wrapText="1"/>
      <protection locked="0"/>
    </xf>
    <xf numFmtId="0" fontId="2" fillId="9" borderId="25" xfId="0" applyFont="1" applyFill="1" applyBorder="1" applyAlignment="1" applyProtection="1">
      <alignment horizontal="center" vertical="center" wrapText="1"/>
      <protection locked="0"/>
    </xf>
    <xf numFmtId="0" fontId="2" fillId="9" borderId="24" xfId="0" applyFont="1" applyFill="1" applyBorder="1" applyAlignment="1" applyProtection="1">
      <alignment horizontal="center" vertical="center"/>
      <protection locked="0"/>
    </xf>
    <xf numFmtId="0" fontId="22" fillId="10" borderId="0" xfId="0" applyFont="1" applyFill="1" applyAlignment="1" applyProtection="1">
      <alignment horizontal="left"/>
      <protection locked="0"/>
    </xf>
    <xf numFmtId="0" fontId="22" fillId="10" borderId="2" xfId="0" applyFont="1" applyFill="1" applyBorder="1" applyAlignment="1" applyProtection="1">
      <alignment horizontal="left"/>
      <protection locked="0"/>
    </xf>
    <xf numFmtId="166" fontId="3" fillId="0" borderId="1" xfId="1" applyNumberFormat="1" applyFont="1" applyBorder="1" applyAlignment="1" applyProtection="1">
      <alignment horizontal="center"/>
      <protection hidden="1"/>
    </xf>
    <xf numFmtId="166" fontId="3" fillId="0" borderId="61" xfId="1" applyNumberFormat="1" applyFont="1" applyBorder="1" applyAlignment="1" applyProtection="1">
      <alignment horizontal="center" wrapText="1"/>
      <protection hidden="1"/>
    </xf>
    <xf numFmtId="166" fontId="3" fillId="0" borderId="1" xfId="1" applyNumberFormat="1" applyFont="1" applyBorder="1" applyAlignment="1" applyProtection="1">
      <alignment horizontal="center" wrapText="1"/>
      <protection hidden="1"/>
    </xf>
    <xf numFmtId="0" fontId="2" fillId="9" borderId="22" xfId="0" applyFont="1" applyFill="1" applyBorder="1" applyAlignment="1" applyProtection="1">
      <alignment horizontal="center" vertical="center"/>
      <protection hidden="1"/>
    </xf>
    <xf numFmtId="0" fontId="2" fillId="9" borderId="26" xfId="0" applyFont="1" applyFill="1" applyBorder="1" applyAlignment="1" applyProtection="1">
      <alignment horizontal="center" vertical="center"/>
      <protection hidden="1"/>
    </xf>
    <xf numFmtId="0" fontId="2" fillId="9" borderId="0" xfId="0" applyFont="1" applyFill="1" applyAlignment="1" applyProtection="1">
      <alignment horizontal="center" wrapText="1"/>
      <protection hidden="1"/>
    </xf>
    <xf numFmtId="0" fontId="2" fillId="9" borderId="81" xfId="0" applyFont="1" applyFill="1" applyBorder="1" applyAlignment="1" applyProtection="1">
      <alignment horizontal="center" vertical="center" wrapText="1"/>
      <protection hidden="1"/>
    </xf>
    <xf numFmtId="0" fontId="2" fillId="9" borderId="82" xfId="0" applyFont="1" applyFill="1" applyBorder="1" applyAlignment="1" applyProtection="1">
      <alignment horizontal="center" vertical="center" wrapText="1"/>
      <protection hidden="1"/>
    </xf>
    <xf numFmtId="166" fontId="3" fillId="0" borderId="55" xfId="1" applyNumberFormat="1" applyFont="1" applyBorder="1" applyAlignment="1" applyProtection="1">
      <alignment horizontal="center"/>
      <protection hidden="1"/>
    </xf>
    <xf numFmtId="166" fontId="3" fillId="0" borderId="55" xfId="1" applyNumberFormat="1" applyFont="1" applyBorder="1" applyAlignment="1" applyProtection="1">
      <alignment horizontal="center" wrapText="1"/>
      <protection hidden="1"/>
    </xf>
    <xf numFmtId="0" fontId="2" fillId="9" borderId="0" xfId="0" applyFont="1" applyFill="1" applyAlignment="1" applyProtection="1">
      <alignment horizontal="center"/>
      <protection hidden="1"/>
    </xf>
    <xf numFmtId="166" fontId="3" fillId="0" borderId="61" xfId="1" applyNumberFormat="1" applyFont="1" applyBorder="1" applyAlignment="1" applyProtection="1">
      <alignment horizontal="center"/>
      <protection hidden="1"/>
    </xf>
    <xf numFmtId="0" fontId="5" fillId="0" borderId="55"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2" fillId="9" borderId="22" xfId="0" applyFont="1" applyFill="1" applyBorder="1" applyAlignment="1" applyProtection="1">
      <alignment horizontal="center" vertical="center" wrapText="1"/>
      <protection hidden="1"/>
    </xf>
    <xf numFmtId="0" fontId="2" fillId="9" borderId="23" xfId="0" applyFont="1" applyFill="1" applyBorder="1" applyAlignment="1" applyProtection="1">
      <alignment horizontal="center" vertical="center" wrapText="1"/>
      <protection hidden="1"/>
    </xf>
    <xf numFmtId="0" fontId="2" fillId="9" borderId="26" xfId="0" applyFont="1" applyFill="1" applyBorder="1" applyAlignment="1" applyProtection="1">
      <alignment horizontal="center" vertical="center" wrapText="1"/>
      <protection hidden="1"/>
    </xf>
    <xf numFmtId="0" fontId="2" fillId="9" borderId="27" xfId="0" applyFont="1" applyFill="1" applyBorder="1" applyAlignment="1" applyProtection="1">
      <alignment horizontal="center" vertical="center" wrapText="1"/>
      <protection hidden="1"/>
    </xf>
    <xf numFmtId="0" fontId="2" fillId="9" borderId="23" xfId="0" applyFont="1" applyFill="1" applyBorder="1" applyAlignment="1" applyProtection="1">
      <alignment horizontal="center" vertical="center"/>
      <protection locked="0"/>
    </xf>
    <xf numFmtId="0" fontId="2" fillId="9" borderId="0" xfId="0" applyFont="1" applyFill="1" applyAlignment="1" applyProtection="1">
      <alignment horizontal="center" vertical="center"/>
      <protection locked="0"/>
    </xf>
    <xf numFmtId="0" fontId="2" fillId="9" borderId="25" xfId="0" applyFont="1" applyFill="1" applyBorder="1" applyAlignment="1" applyProtection="1">
      <alignment horizontal="center" vertical="center"/>
      <protection locked="0"/>
    </xf>
    <xf numFmtId="0" fontId="5" fillId="0" borderId="61" xfId="0" applyFont="1" applyBorder="1" applyAlignment="1" applyProtection="1">
      <alignment horizontal="left" vertical="center"/>
      <protection locked="0"/>
    </xf>
    <xf numFmtId="0" fontId="5" fillId="0" borderId="69" xfId="0" applyFont="1" applyBorder="1" applyAlignment="1" applyProtection="1">
      <alignment horizontal="left" vertical="center"/>
      <protection locked="0"/>
    </xf>
    <xf numFmtId="0" fontId="5" fillId="0" borderId="1" xfId="0" applyFont="1" applyBorder="1" applyAlignment="1" applyProtection="1">
      <alignment horizontal="left" vertical="center"/>
      <protection locked="0"/>
    </xf>
    <xf numFmtId="0" fontId="5" fillId="0" borderId="54" xfId="0" applyFont="1" applyBorder="1" applyAlignment="1" applyProtection="1">
      <alignment horizontal="left" vertical="center"/>
      <protection locked="0"/>
    </xf>
    <xf numFmtId="166" fontId="3" fillId="0" borderId="55" xfId="1" applyNumberFormat="1" applyFont="1" applyBorder="1" applyAlignment="1" applyProtection="1">
      <alignment horizontal="center" vertical="center"/>
      <protection hidden="1"/>
    </xf>
    <xf numFmtId="0" fontId="2" fillId="9" borderId="29" xfId="0" applyFont="1" applyFill="1" applyBorder="1" applyAlignment="1" applyProtection="1">
      <alignment horizontal="center" vertical="center"/>
      <protection hidden="1"/>
    </xf>
    <xf numFmtId="10" fontId="18" fillId="0" borderId="61" xfId="1" applyNumberFormat="1" applyFont="1" applyBorder="1" applyAlignment="1" applyProtection="1">
      <alignment horizontal="center" vertical="center"/>
      <protection hidden="1"/>
    </xf>
    <xf numFmtId="10" fontId="18" fillId="0" borderId="1" xfId="1" applyNumberFormat="1" applyFont="1" applyBorder="1" applyAlignment="1" applyProtection="1">
      <alignment horizontal="center" vertical="center"/>
      <protection hidden="1"/>
    </xf>
    <xf numFmtId="10" fontId="18" fillId="0" borderId="55" xfId="1" applyNumberFormat="1" applyFont="1" applyBorder="1" applyAlignment="1" applyProtection="1">
      <alignment horizontal="center" vertical="center"/>
      <protection hidden="1"/>
    </xf>
    <xf numFmtId="0" fontId="2" fillId="9" borderId="0" xfId="0" applyFont="1" applyFill="1" applyAlignment="1" applyProtection="1">
      <alignment horizontal="center" vertical="center"/>
      <protection hidden="1"/>
    </xf>
    <xf numFmtId="166" fontId="3" fillId="0" borderId="61" xfId="1" applyNumberFormat="1" applyFont="1" applyBorder="1" applyAlignment="1" applyProtection="1">
      <alignment horizontal="center" vertical="center"/>
      <protection hidden="1"/>
    </xf>
    <xf numFmtId="166" fontId="3" fillId="0" borderId="1" xfId="1" applyNumberFormat="1" applyFont="1" applyBorder="1" applyAlignment="1" applyProtection="1">
      <alignment horizontal="center" vertical="center"/>
      <protection hidden="1"/>
    </xf>
    <xf numFmtId="168" fontId="5" fillId="0" borderId="1" xfId="0" applyNumberFormat="1" applyFont="1" applyBorder="1" applyAlignment="1" applyProtection="1">
      <alignment horizontal="center"/>
      <protection locked="0"/>
    </xf>
    <xf numFmtId="0" fontId="2" fillId="9" borderId="0" xfId="0" applyFont="1" applyFill="1" applyAlignment="1" applyProtection="1">
      <alignment horizontal="center"/>
      <protection locked="0"/>
    </xf>
    <xf numFmtId="0" fontId="2" fillId="9" borderId="25" xfId="0" applyFont="1" applyFill="1" applyBorder="1" applyAlignment="1" applyProtection="1">
      <alignment horizontal="center"/>
      <protection locked="0"/>
    </xf>
    <xf numFmtId="0" fontId="0" fillId="0" borderId="61" xfId="0" applyBorder="1" applyAlignment="1" applyProtection="1">
      <alignment horizontal="left"/>
      <protection locked="0"/>
    </xf>
    <xf numFmtId="0" fontId="0" fillId="0" borderId="1" xfId="0" applyBorder="1" applyAlignment="1" applyProtection="1">
      <alignment horizontal="left"/>
      <protection locked="0"/>
    </xf>
    <xf numFmtId="0" fontId="5" fillId="0" borderId="61" xfId="0" applyFont="1" applyBorder="1" applyAlignment="1" applyProtection="1">
      <alignment horizontal="left"/>
      <protection locked="0"/>
    </xf>
    <xf numFmtId="0" fontId="5" fillId="0" borderId="1"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0" fillId="0" borderId="67" xfId="0" applyBorder="1" applyAlignment="1" applyProtection="1">
      <alignment horizontal="left"/>
      <protection locked="0"/>
    </xf>
    <xf numFmtId="0" fontId="0" fillId="0" borderId="63" xfId="0" applyBorder="1" applyAlignment="1" applyProtection="1">
      <alignment horizontal="left"/>
      <protection locked="0"/>
    </xf>
    <xf numFmtId="0" fontId="0" fillId="0" borderId="85" xfId="0" applyBorder="1" applyAlignment="1" applyProtection="1">
      <alignment horizontal="left"/>
      <protection locked="0"/>
    </xf>
    <xf numFmtId="0" fontId="0" fillId="0" borderId="60" xfId="0" applyBorder="1" applyAlignment="1" applyProtection="1">
      <alignment horizontal="left"/>
      <protection locked="0"/>
    </xf>
    <xf numFmtId="0" fontId="8" fillId="6" borderId="0" xfId="0" applyFont="1" applyFill="1" applyAlignment="1" applyProtection="1">
      <alignment horizontal="center"/>
      <protection locked="0"/>
    </xf>
    <xf numFmtId="0" fontId="8" fillId="6" borderId="25" xfId="0" applyFont="1" applyFill="1" applyBorder="1" applyAlignment="1" applyProtection="1">
      <alignment horizontal="center"/>
      <protection locked="0"/>
    </xf>
    <xf numFmtId="168" fontId="38" fillId="0" borderId="99" xfId="0" applyNumberFormat="1" applyFont="1" applyBorder="1" applyAlignment="1">
      <alignment horizontal="center" vertical="center"/>
    </xf>
    <xf numFmtId="168" fontId="38" fillId="0" borderId="100" xfId="0" applyNumberFormat="1" applyFont="1" applyBorder="1" applyAlignment="1">
      <alignment horizontal="center" vertical="center"/>
    </xf>
    <xf numFmtId="168" fontId="5" fillId="0" borderId="61" xfId="0" applyNumberFormat="1" applyFont="1" applyBorder="1" applyAlignment="1" applyProtection="1">
      <alignment horizontal="center"/>
      <protection locked="0"/>
    </xf>
    <xf numFmtId="0" fontId="24" fillId="9" borderId="26" xfId="0" applyFont="1" applyFill="1" applyBorder="1" applyAlignment="1">
      <alignment horizontal="center" vertical="center"/>
    </xf>
    <xf numFmtId="0" fontId="24" fillId="9" borderId="2" xfId="0" applyFont="1" applyFill="1" applyBorder="1" applyAlignment="1">
      <alignment horizontal="center" vertical="center"/>
    </xf>
    <xf numFmtId="168" fontId="27" fillId="16" borderId="72" xfId="0" applyNumberFormat="1" applyFont="1" applyFill="1" applyBorder="1" applyAlignment="1" applyProtection="1">
      <alignment horizontal="left" vertical="center" indent="6"/>
      <protection locked="0"/>
    </xf>
    <xf numFmtId="168" fontId="27" fillId="16" borderId="73" xfId="0" applyNumberFormat="1" applyFont="1" applyFill="1" applyBorder="1" applyAlignment="1" applyProtection="1">
      <alignment horizontal="left" vertical="center" indent="6"/>
      <protection locked="0"/>
    </xf>
    <xf numFmtId="0" fontId="5" fillId="0" borderId="69" xfId="0" applyFont="1" applyBorder="1" applyAlignment="1" applyProtection="1">
      <alignment horizontal="left"/>
      <protection locked="0"/>
    </xf>
    <xf numFmtId="0" fontId="36" fillId="6" borderId="26" xfId="0" applyFont="1" applyFill="1" applyBorder="1" applyAlignment="1">
      <alignment horizontal="center" vertical="center"/>
    </xf>
    <xf numFmtId="0" fontId="36" fillId="6" borderId="2" xfId="0" applyFont="1" applyFill="1" applyBorder="1" applyAlignment="1">
      <alignment horizontal="center" vertical="center"/>
    </xf>
    <xf numFmtId="168" fontId="27" fillId="7" borderId="72" xfId="0" applyNumberFormat="1" applyFont="1" applyFill="1" applyBorder="1" applyAlignment="1" applyProtection="1">
      <alignment horizontal="left" vertical="center" indent="5"/>
      <protection locked="0"/>
    </xf>
    <xf numFmtId="0" fontId="27" fillId="7" borderId="72" xfId="0" applyFont="1" applyFill="1" applyBorder="1" applyAlignment="1" applyProtection="1">
      <alignment horizontal="left" vertical="center" indent="5"/>
      <protection locked="0"/>
    </xf>
    <xf numFmtId="0" fontId="27" fillId="7" borderId="73" xfId="0" applyFont="1" applyFill="1" applyBorder="1" applyAlignment="1" applyProtection="1">
      <alignment horizontal="left" vertical="center" indent="5"/>
      <protection locked="0"/>
    </xf>
    <xf numFmtId="168" fontId="38" fillId="0" borderId="74" xfId="0" applyNumberFormat="1" applyFont="1" applyBorder="1" applyAlignment="1">
      <alignment horizontal="center" vertical="center"/>
    </xf>
    <xf numFmtId="168" fontId="38" fillId="0" borderId="58" xfId="0" applyNumberFormat="1" applyFont="1" applyBorder="1" applyAlignment="1">
      <alignment horizontal="center" vertical="center"/>
    </xf>
    <xf numFmtId="0" fontId="0" fillId="0" borderId="71" xfId="0" applyBorder="1" applyAlignment="1" applyProtection="1">
      <alignment horizontal="left" vertical="center"/>
      <protection locked="0"/>
    </xf>
    <xf numFmtId="0" fontId="0" fillId="0" borderId="55" xfId="0" applyBorder="1" applyAlignment="1" applyProtection="1">
      <alignment horizontal="left" vertical="center"/>
      <protection locked="0"/>
    </xf>
    <xf numFmtId="0" fontId="3" fillId="7" borderId="28" xfId="0" applyFont="1" applyFill="1" applyBorder="1" applyAlignment="1" applyProtection="1">
      <alignment horizontal="left" vertical="center"/>
      <protection locked="0"/>
    </xf>
    <xf numFmtId="0" fontId="3" fillId="7" borderId="29" xfId="0" applyFont="1" applyFill="1" applyBorder="1" applyAlignment="1" applyProtection="1">
      <alignment horizontal="left" vertical="center"/>
      <protection locked="0"/>
    </xf>
    <xf numFmtId="0" fontId="0" fillId="0" borderId="0" xfId="0" applyAlignment="1" applyProtection="1">
      <alignment horizontal="left" vertical="center"/>
      <protection locked="0"/>
    </xf>
    <xf numFmtId="0" fontId="8" fillId="7" borderId="28" xfId="0" applyFont="1" applyFill="1" applyBorder="1" applyAlignment="1" applyProtection="1">
      <alignment horizontal="center" vertical="center"/>
      <protection locked="0"/>
    </xf>
    <xf numFmtId="0" fontId="8" fillId="7" borderId="29" xfId="0" applyFont="1" applyFill="1" applyBorder="1" applyAlignment="1" applyProtection="1">
      <alignment horizontal="center" vertical="center"/>
      <protection locked="0"/>
    </xf>
    <xf numFmtId="2" fontId="18" fillId="7" borderId="29" xfId="0" applyNumberFormat="1" applyFont="1" applyFill="1" applyBorder="1" applyAlignment="1" applyProtection="1">
      <alignment horizontal="left" vertical="center" indent="2"/>
      <protection locked="0"/>
    </xf>
    <xf numFmtId="169" fontId="5" fillId="0" borderId="65" xfId="0" applyNumberFormat="1" applyFont="1" applyBorder="1" applyAlignment="1" applyProtection="1">
      <alignment horizontal="center" vertical="center"/>
      <protection locked="0"/>
    </xf>
    <xf numFmtId="169" fontId="5" fillId="0" borderId="1" xfId="0" applyNumberFormat="1" applyFont="1" applyBorder="1" applyAlignment="1" applyProtection="1">
      <alignment horizontal="center" vertical="center"/>
      <protection locked="0"/>
    </xf>
    <xf numFmtId="2" fontId="5" fillId="0" borderId="1" xfId="0" applyNumberFormat="1" applyFont="1" applyBorder="1" applyAlignment="1" applyProtection="1">
      <alignment horizontal="left" vertical="center"/>
      <protection locked="0"/>
    </xf>
    <xf numFmtId="169" fontId="5" fillId="0" borderId="71" xfId="0" applyNumberFormat="1" applyFont="1" applyBorder="1" applyAlignment="1" applyProtection="1">
      <alignment horizontal="center" vertical="center"/>
      <protection locked="0"/>
    </xf>
    <xf numFmtId="169" fontId="5" fillId="0" borderId="55" xfId="0" applyNumberFormat="1" applyFont="1" applyBorder="1" applyAlignment="1" applyProtection="1">
      <alignment horizontal="center" vertical="center"/>
      <protection locked="0"/>
    </xf>
    <xf numFmtId="2" fontId="5" fillId="0" borderId="55" xfId="0" applyNumberFormat="1" applyFont="1" applyBorder="1" applyAlignment="1" applyProtection="1">
      <alignment horizontal="left" vertical="center"/>
      <protection locked="0"/>
    </xf>
    <xf numFmtId="0" fontId="0" fillId="0" borderId="70" xfId="0" applyBorder="1" applyAlignment="1" applyProtection="1">
      <alignment horizontal="left" vertical="center"/>
      <protection locked="0"/>
    </xf>
    <xf numFmtId="0" fontId="0" fillId="0" borderId="61" xfId="0" applyBorder="1" applyAlignment="1" applyProtection="1">
      <alignment horizontal="left" vertical="center"/>
      <protection locked="0"/>
    </xf>
    <xf numFmtId="0" fontId="0" fillId="0" borderId="65" xfId="0" applyBorder="1" applyAlignment="1" applyProtection="1">
      <alignment horizontal="left" vertical="center"/>
      <protection locked="0"/>
    </xf>
    <xf numFmtId="0" fontId="0" fillId="0" borderId="1" xfId="0" applyBorder="1" applyAlignment="1" applyProtection="1">
      <alignment horizontal="left" vertical="center"/>
      <protection locked="0"/>
    </xf>
    <xf numFmtId="0" fontId="8" fillId="6" borderId="25" xfId="0" applyFont="1" applyFill="1" applyBorder="1" applyAlignment="1" applyProtection="1">
      <alignment horizontal="center" vertical="center"/>
      <protection locked="0"/>
    </xf>
    <xf numFmtId="0" fontId="8" fillId="6" borderId="24" xfId="0" applyFont="1" applyFill="1" applyBorder="1" applyAlignment="1" applyProtection="1">
      <alignment horizontal="center" vertical="center"/>
      <protection locked="0"/>
    </xf>
    <xf numFmtId="0" fontId="8" fillId="6" borderId="25" xfId="0" applyFont="1" applyFill="1" applyBorder="1" applyAlignment="1" applyProtection="1">
      <alignment horizontal="center" vertical="center" wrapText="1"/>
      <protection locked="0"/>
    </xf>
    <xf numFmtId="169" fontId="5" fillId="0" borderId="70" xfId="0" applyNumberFormat="1" applyFont="1" applyBorder="1" applyAlignment="1" applyProtection="1">
      <alignment horizontal="center" vertical="center"/>
      <protection locked="0"/>
    </xf>
    <xf numFmtId="169" fontId="5" fillId="0" borderId="61" xfId="0" applyNumberFormat="1" applyFont="1" applyBorder="1" applyAlignment="1" applyProtection="1">
      <alignment horizontal="center" vertical="center"/>
      <protection locked="0"/>
    </xf>
    <xf numFmtId="2" fontId="5" fillId="0" borderId="61" xfId="0" applyNumberFormat="1" applyFont="1" applyBorder="1" applyAlignment="1" applyProtection="1">
      <alignment horizontal="left" vertical="center"/>
      <protection locked="0"/>
    </xf>
    <xf numFmtId="0" fontId="8" fillId="6" borderId="28" xfId="0" applyFont="1" applyFill="1" applyBorder="1" applyAlignment="1" applyProtection="1">
      <alignment horizontal="left" vertical="center"/>
      <protection locked="0"/>
    </xf>
    <xf numFmtId="0" fontId="8" fillId="6" borderId="29" xfId="0" applyFont="1" applyFill="1" applyBorder="1" applyAlignment="1" applyProtection="1">
      <alignment horizontal="left" vertical="center"/>
      <protection locked="0"/>
    </xf>
    <xf numFmtId="0" fontId="8" fillId="6" borderId="30" xfId="0" applyFont="1" applyFill="1" applyBorder="1" applyAlignment="1" applyProtection="1">
      <alignment horizontal="left" vertical="center"/>
      <protection locked="0"/>
    </xf>
    <xf numFmtId="0" fontId="4" fillId="6" borderId="22" xfId="7" applyFont="1" applyFill="1" applyBorder="1" applyAlignment="1" applyProtection="1">
      <alignment horizontal="left"/>
      <protection locked="0"/>
    </xf>
    <xf numFmtId="0" fontId="4" fillId="6" borderId="3" xfId="7" applyFont="1" applyFill="1" applyBorder="1" applyAlignment="1" applyProtection="1">
      <alignment horizontal="left"/>
      <protection locked="0"/>
    </xf>
    <xf numFmtId="0" fontId="4" fillId="6" borderId="23" xfId="7" applyFont="1" applyFill="1" applyBorder="1" applyAlignment="1" applyProtection="1">
      <alignment horizontal="left"/>
      <protection locked="0"/>
    </xf>
    <xf numFmtId="0" fontId="26" fillId="2" borderId="28" xfId="7" applyFont="1" applyFill="1" applyBorder="1" applyAlignment="1" applyProtection="1">
      <alignment horizontal="left"/>
      <protection locked="0"/>
    </xf>
    <xf numFmtId="0" fontId="26" fillId="2" borderId="29" xfId="7" applyFont="1" applyFill="1" applyBorder="1" applyAlignment="1" applyProtection="1">
      <alignment horizontal="left"/>
      <protection locked="0"/>
    </xf>
    <xf numFmtId="0" fontId="26" fillId="2" borderId="30" xfId="7" applyFont="1" applyFill="1" applyBorder="1" applyAlignment="1" applyProtection="1">
      <alignment horizontal="left"/>
      <protection locked="0"/>
    </xf>
    <xf numFmtId="0" fontId="8" fillId="6" borderId="28" xfId="0" applyFont="1" applyFill="1" applyBorder="1" applyAlignment="1" applyProtection="1">
      <alignment horizontal="center" vertical="center"/>
      <protection locked="0"/>
    </xf>
    <xf numFmtId="0" fontId="8" fillId="6" borderId="29" xfId="0" applyFont="1" applyFill="1" applyBorder="1" applyAlignment="1" applyProtection="1">
      <alignment horizontal="center" vertical="center"/>
      <protection locked="0"/>
    </xf>
    <xf numFmtId="0" fontId="8" fillId="6" borderId="30" xfId="0" applyFont="1" applyFill="1" applyBorder="1" applyAlignment="1" applyProtection="1">
      <alignment horizontal="center" vertical="center"/>
      <protection locked="0"/>
    </xf>
    <xf numFmtId="0" fontId="33" fillId="2" borderId="0" xfId="7" applyFont="1" applyFill="1" applyAlignment="1" applyProtection="1">
      <alignment horizontal="center" vertical="center"/>
      <protection locked="0"/>
    </xf>
    <xf numFmtId="0" fontId="37" fillId="6" borderId="0" xfId="7" applyFont="1" applyFill="1" applyAlignment="1" applyProtection="1">
      <alignment horizontal="center" vertical="center"/>
      <protection locked="0"/>
    </xf>
    <xf numFmtId="0" fontId="33" fillId="5" borderId="0" xfId="7" applyFont="1" applyFill="1" applyAlignment="1" applyProtection="1">
      <alignment horizontal="center" vertical="center"/>
      <protection locked="0"/>
    </xf>
    <xf numFmtId="14" fontId="38" fillId="0" borderId="65" xfId="7" applyNumberFormat="1" applyFont="1" applyBorder="1" applyAlignment="1" applyProtection="1">
      <alignment horizontal="center" vertical="center"/>
      <protection locked="0"/>
    </xf>
    <xf numFmtId="14" fontId="38" fillId="0" borderId="1" xfId="7" applyNumberFormat="1" applyFont="1" applyBorder="1" applyAlignment="1" applyProtection="1">
      <alignment horizontal="center" vertical="center"/>
      <protection locked="0"/>
    </xf>
    <xf numFmtId="3" fontId="37" fillId="14" borderId="0" xfId="7" applyNumberFormat="1" applyFont="1" applyFill="1" applyAlignment="1" applyProtection="1">
      <alignment horizontal="center" vertical="center"/>
      <protection locked="0"/>
    </xf>
    <xf numFmtId="14" fontId="38" fillId="0" borderId="102" xfId="7" applyNumberFormat="1" applyFont="1" applyBorder="1" applyAlignment="1" applyProtection="1">
      <alignment horizontal="center" wrapText="1"/>
      <protection locked="0"/>
    </xf>
    <xf numFmtId="14" fontId="38" fillId="0" borderId="58" xfId="7" applyNumberFormat="1" applyFont="1" applyBorder="1" applyAlignment="1" applyProtection="1">
      <alignment horizontal="center" wrapText="1"/>
      <protection locked="0"/>
    </xf>
    <xf numFmtId="0" fontId="38" fillId="0" borderId="74" xfId="7" applyFont="1" applyBorder="1" applyAlignment="1" applyProtection="1">
      <alignment horizontal="left" wrapText="1"/>
      <protection locked="0"/>
    </xf>
    <xf numFmtId="0" fontId="38" fillId="0" borderId="101" xfId="7" applyFont="1" applyBorder="1" applyAlignment="1" applyProtection="1">
      <alignment horizontal="left" wrapText="1"/>
      <protection locked="0"/>
    </xf>
    <xf numFmtId="0" fontId="38" fillId="0" borderId="58" xfId="7" applyFont="1" applyBorder="1" applyAlignment="1" applyProtection="1">
      <alignment horizontal="left" wrapText="1"/>
      <protection locked="0"/>
    </xf>
    <xf numFmtId="0" fontId="38" fillId="0" borderId="1" xfId="7" applyFont="1" applyBorder="1" applyAlignment="1" applyProtection="1">
      <alignment horizontal="left" vertical="center"/>
      <protection locked="0"/>
    </xf>
    <xf numFmtId="14" fontId="4" fillId="16" borderId="70" xfId="7" applyNumberFormat="1" applyFont="1" applyFill="1" applyBorder="1" applyAlignment="1" applyProtection="1">
      <alignment horizontal="center" vertical="center" wrapText="1"/>
      <protection locked="0"/>
    </xf>
    <xf numFmtId="14" fontId="4" fillId="16" borderId="61" xfId="7" applyNumberFormat="1" applyFont="1" applyFill="1" applyBorder="1" applyAlignment="1" applyProtection="1">
      <alignment horizontal="center" vertical="center" wrapText="1"/>
      <protection locked="0"/>
    </xf>
    <xf numFmtId="164" fontId="38" fillId="0" borderId="1" xfId="7" applyNumberFormat="1" applyFont="1" applyBorder="1" applyAlignment="1" applyProtection="1">
      <alignment horizontal="left" vertical="center"/>
      <protection locked="0"/>
    </xf>
    <xf numFmtId="0" fontId="4" fillId="16" borderId="61" xfId="7" applyFont="1" applyFill="1" applyBorder="1" applyAlignment="1" applyProtection="1">
      <alignment horizontal="center" vertical="center" wrapText="1"/>
      <protection locked="0"/>
    </xf>
    <xf numFmtId="0" fontId="4" fillId="16" borderId="62" xfId="4" applyFont="1" applyFill="1" applyBorder="1" applyAlignment="1" applyProtection="1">
      <alignment horizontal="center"/>
      <protection locked="0"/>
    </xf>
    <xf numFmtId="0" fontId="4" fillId="16" borderId="72" xfId="4" applyFont="1" applyFill="1" applyBorder="1" applyAlignment="1" applyProtection="1">
      <alignment horizontal="center"/>
      <protection locked="0"/>
    </xf>
    <xf numFmtId="0" fontId="4" fillId="16" borderId="59" xfId="4" applyFont="1" applyFill="1" applyBorder="1" applyAlignment="1" applyProtection="1">
      <alignment horizontal="center"/>
      <protection locked="0"/>
    </xf>
    <xf numFmtId="0" fontId="4" fillId="16" borderId="64" xfId="7" applyFont="1" applyFill="1" applyBorder="1" applyAlignment="1" applyProtection="1">
      <alignment horizontal="center" vertical="center" wrapText="1"/>
      <protection locked="0"/>
    </xf>
    <xf numFmtId="0" fontId="4" fillId="16" borderId="52" xfId="7" applyFont="1" applyFill="1" applyBorder="1" applyAlignment="1" applyProtection="1">
      <alignment horizontal="center" vertical="center" wrapText="1"/>
      <protection locked="0"/>
    </xf>
    <xf numFmtId="0" fontId="34" fillId="0" borderId="65" xfId="7" applyFont="1" applyBorder="1" applyAlignment="1" applyProtection="1">
      <alignment horizontal="left" vertical="center"/>
      <protection locked="0"/>
    </xf>
    <xf numFmtId="0" fontId="34" fillId="0" borderId="1" xfId="7" applyFont="1" applyBorder="1" applyAlignment="1" applyProtection="1">
      <alignment horizontal="left" vertical="center"/>
      <protection locked="0"/>
    </xf>
    <xf numFmtId="164" fontId="34" fillId="0" borderId="1" xfId="7" applyNumberFormat="1" applyFont="1" applyBorder="1" applyAlignment="1" applyProtection="1">
      <alignment horizontal="center" vertical="center"/>
      <protection locked="0"/>
    </xf>
    <xf numFmtId="164" fontId="34" fillId="0" borderId="74" xfId="7" applyNumberFormat="1" applyFont="1" applyBorder="1" applyAlignment="1" applyProtection="1">
      <alignment horizontal="center" vertical="center"/>
      <protection locked="0"/>
    </xf>
    <xf numFmtId="164" fontId="34" fillId="0" borderId="58" xfId="7" applyNumberFormat="1" applyFont="1" applyBorder="1" applyAlignment="1" applyProtection="1">
      <alignment horizontal="center" vertical="center"/>
      <protection locked="0"/>
    </xf>
    <xf numFmtId="164" fontId="38" fillId="0" borderId="54" xfId="7" applyNumberFormat="1" applyFont="1" applyBorder="1" applyAlignment="1" applyProtection="1">
      <alignment horizontal="left" vertical="center"/>
      <protection locked="0"/>
    </xf>
    <xf numFmtId="0" fontId="4" fillId="16" borderId="53" xfId="7" applyFont="1" applyFill="1" applyBorder="1" applyAlignment="1" applyProtection="1">
      <alignment horizontal="center" vertical="center" wrapText="1"/>
      <protection locked="0"/>
    </xf>
    <xf numFmtId="0" fontId="4" fillId="16" borderId="55" xfId="4" applyFont="1" applyFill="1" applyBorder="1" applyAlignment="1" applyProtection="1">
      <alignment horizontal="left"/>
      <protection locked="0"/>
    </xf>
    <xf numFmtId="0" fontId="4" fillId="16" borderId="56" xfId="4" applyFont="1" applyFill="1" applyBorder="1" applyAlignment="1" applyProtection="1">
      <alignment horizontal="left"/>
      <protection locked="0"/>
    </xf>
    <xf numFmtId="164" fontId="54" fillId="16" borderId="80" xfId="4" applyNumberFormat="1" applyFont="1" applyFill="1" applyBorder="1" applyAlignment="1" applyProtection="1">
      <alignment horizontal="center"/>
      <protection locked="0"/>
    </xf>
    <xf numFmtId="0" fontId="54" fillId="16" borderId="59" xfId="4" applyFont="1" applyFill="1" applyBorder="1" applyAlignment="1" applyProtection="1">
      <alignment horizontal="center"/>
      <protection locked="0"/>
    </xf>
    <xf numFmtId="14" fontId="4" fillId="7" borderId="70" xfId="7" applyNumberFormat="1" applyFont="1" applyFill="1" applyBorder="1" applyAlignment="1" applyProtection="1">
      <alignment horizontal="center" vertical="center" wrapText="1"/>
      <protection locked="0"/>
    </xf>
    <xf numFmtId="14" fontId="4" fillId="7" borderId="61" xfId="7" applyNumberFormat="1" applyFont="1" applyFill="1" applyBorder="1" applyAlignment="1" applyProtection="1">
      <alignment horizontal="center" vertical="center" wrapText="1"/>
      <protection locked="0"/>
    </xf>
    <xf numFmtId="0" fontId="4" fillId="7" borderId="61" xfId="7" applyFont="1" applyFill="1" applyBorder="1" applyAlignment="1" applyProtection="1">
      <alignment horizontal="center" vertical="center" wrapText="1"/>
      <protection locked="0"/>
    </xf>
    <xf numFmtId="0" fontId="4" fillId="7" borderId="69" xfId="7" applyFont="1" applyFill="1" applyBorder="1" applyAlignment="1" applyProtection="1">
      <alignment horizontal="center" vertical="center" wrapText="1"/>
      <protection locked="0"/>
    </xf>
    <xf numFmtId="0" fontId="4" fillId="7" borderId="70" xfId="7" applyFont="1" applyFill="1" applyBorder="1" applyAlignment="1" applyProtection="1">
      <alignment horizontal="center" vertical="center" wrapText="1"/>
      <protection locked="0"/>
    </xf>
    <xf numFmtId="0" fontId="4" fillId="7" borderId="55" xfId="4" applyFont="1" applyFill="1" applyBorder="1" applyAlignment="1" applyProtection="1">
      <alignment horizontal="left"/>
      <protection locked="0"/>
    </xf>
    <xf numFmtId="0" fontId="4" fillId="7" borderId="56" xfId="4" applyFont="1" applyFill="1" applyBorder="1" applyAlignment="1" applyProtection="1">
      <alignment horizontal="left"/>
      <protection locked="0"/>
    </xf>
    <xf numFmtId="0" fontId="4" fillId="7" borderId="62" xfId="4" applyFont="1" applyFill="1" applyBorder="1" applyAlignment="1" applyProtection="1">
      <alignment horizontal="center"/>
      <protection locked="0"/>
    </xf>
    <xf numFmtId="0" fontId="4" fillId="7" borderId="72" xfId="4" applyFont="1" applyFill="1" applyBorder="1" applyAlignment="1" applyProtection="1">
      <alignment horizontal="center"/>
      <protection locked="0"/>
    </xf>
    <xf numFmtId="0" fontId="4" fillId="7" borderId="59" xfId="4" applyFont="1" applyFill="1" applyBorder="1" applyAlignment="1" applyProtection="1">
      <alignment horizontal="center"/>
      <protection locked="0"/>
    </xf>
    <xf numFmtId="164" fontId="54" fillId="7" borderId="80" xfId="4" applyNumberFormat="1" applyFont="1" applyFill="1" applyBorder="1" applyAlignment="1" applyProtection="1">
      <alignment horizontal="center"/>
      <protection locked="0"/>
    </xf>
    <xf numFmtId="0" fontId="54" fillId="7" borderId="59" xfId="4" applyFont="1" applyFill="1" applyBorder="1" applyAlignment="1" applyProtection="1">
      <alignment horizontal="center"/>
      <protection locked="0"/>
    </xf>
    <xf numFmtId="0" fontId="0" fillId="0" borderId="71" xfId="0" applyBorder="1" applyAlignment="1" applyProtection="1">
      <alignment horizontal="left" vertical="center"/>
      <protection hidden="1"/>
    </xf>
    <xf numFmtId="0" fontId="0" fillId="0" borderId="55" xfId="0" applyBorder="1" applyAlignment="1" applyProtection="1">
      <alignment horizontal="left" vertical="center"/>
      <protection hidden="1"/>
    </xf>
    <xf numFmtId="0" fontId="0" fillId="0" borderId="65" xfId="0" applyBorder="1" applyAlignment="1" applyProtection="1">
      <alignment horizontal="left" vertical="center"/>
      <protection hidden="1"/>
    </xf>
    <xf numFmtId="0" fontId="0" fillId="0" borderId="1" xfId="0" applyBorder="1" applyAlignment="1" applyProtection="1">
      <alignment horizontal="left" vertical="center"/>
      <protection hidden="1"/>
    </xf>
    <xf numFmtId="14" fontId="38" fillId="0" borderId="102" xfId="7" applyNumberFormat="1" applyFont="1" applyBorder="1" applyAlignment="1" applyProtection="1">
      <alignment horizontal="center" vertical="center" wrapText="1"/>
      <protection locked="0"/>
    </xf>
    <xf numFmtId="14" fontId="38" fillId="0" borderId="58" xfId="7" applyNumberFormat="1" applyFont="1" applyBorder="1" applyAlignment="1" applyProtection="1">
      <alignment horizontal="center" vertical="center" wrapText="1"/>
      <protection locked="0"/>
    </xf>
    <xf numFmtId="0" fontId="0" fillId="0" borderId="70" xfId="0" applyBorder="1" applyAlignment="1" applyProtection="1">
      <alignment horizontal="left" vertical="center"/>
      <protection hidden="1"/>
    </xf>
    <xf numFmtId="0" fontId="0" fillId="0" borderId="61" xfId="0" applyBorder="1" applyAlignment="1" applyProtection="1">
      <alignment horizontal="left" vertical="center"/>
      <protection hidden="1"/>
    </xf>
    <xf numFmtId="0" fontId="8" fillId="6" borderId="25" xfId="0" applyFont="1" applyFill="1" applyBorder="1" applyAlignment="1" applyProtection="1">
      <alignment horizontal="center" vertical="center" wrapText="1"/>
      <protection hidden="1"/>
    </xf>
    <xf numFmtId="0" fontId="8" fillId="6" borderId="24" xfId="0" applyFont="1" applyFill="1" applyBorder="1" applyAlignment="1" applyProtection="1">
      <alignment horizontal="center" vertical="center"/>
      <protection hidden="1"/>
    </xf>
    <xf numFmtId="0" fontId="8" fillId="6" borderId="0" xfId="0" applyFont="1" applyFill="1" applyAlignment="1" applyProtection="1">
      <alignment horizontal="center" vertical="center"/>
      <protection hidden="1"/>
    </xf>
    <xf numFmtId="14" fontId="38" fillId="0" borderId="108" xfId="7" applyNumberFormat="1" applyFont="1" applyBorder="1" applyAlignment="1" applyProtection="1">
      <alignment horizontal="center" vertical="center"/>
      <protection locked="0"/>
    </xf>
    <xf numFmtId="14" fontId="38" fillId="0" borderId="107" xfId="7" applyNumberFormat="1" applyFont="1" applyBorder="1" applyAlignment="1" applyProtection="1">
      <alignment horizontal="center" vertical="center"/>
      <protection locked="0"/>
    </xf>
    <xf numFmtId="164" fontId="54" fillId="7" borderId="80" xfId="4" applyNumberFormat="1" applyFont="1" applyFill="1" applyBorder="1" applyAlignment="1" applyProtection="1">
      <alignment horizontal="center"/>
      <protection hidden="1"/>
    </xf>
    <xf numFmtId="0" fontId="54" fillId="7" borderId="59" xfId="4" applyFont="1" applyFill="1" applyBorder="1" applyAlignment="1" applyProtection="1">
      <alignment horizontal="center"/>
      <protection hidden="1"/>
    </xf>
    <xf numFmtId="0" fontId="4" fillId="7" borderId="62" xfId="4" applyFont="1" applyFill="1" applyBorder="1" applyAlignment="1" applyProtection="1">
      <alignment horizontal="center"/>
      <protection hidden="1"/>
    </xf>
    <xf numFmtId="0" fontId="4" fillId="7" borderId="72" xfId="4" applyFont="1" applyFill="1" applyBorder="1" applyAlignment="1" applyProtection="1">
      <alignment horizontal="center"/>
      <protection hidden="1"/>
    </xf>
    <xf numFmtId="0" fontId="4" fillId="7" borderId="59" xfId="4" applyFont="1" applyFill="1" applyBorder="1" applyAlignment="1" applyProtection="1">
      <alignment horizontal="center"/>
      <protection hidden="1"/>
    </xf>
    <xf numFmtId="0" fontId="34" fillId="0" borderId="65" xfId="7" applyFont="1" applyBorder="1" applyAlignment="1" applyProtection="1">
      <alignment horizontal="left" vertical="center"/>
      <protection hidden="1"/>
    </xf>
    <xf numFmtId="0" fontId="34" fillId="0" borderId="1" xfId="7" applyFont="1" applyBorder="1" applyAlignment="1" applyProtection="1">
      <alignment horizontal="left" vertical="center"/>
      <protection hidden="1"/>
    </xf>
    <xf numFmtId="164" fontId="34" fillId="0" borderId="1" xfId="7" applyNumberFormat="1" applyFont="1" applyBorder="1" applyAlignment="1" applyProtection="1">
      <alignment horizontal="center" vertical="center"/>
      <protection hidden="1"/>
    </xf>
    <xf numFmtId="164" fontId="34" fillId="0" borderId="74" xfId="7" applyNumberFormat="1" applyFont="1" applyBorder="1" applyAlignment="1" applyProtection="1">
      <alignment horizontal="center" vertical="center"/>
      <protection hidden="1"/>
    </xf>
    <xf numFmtId="164" fontId="34" fillId="0" borderId="58" xfId="7" applyNumberFormat="1" applyFont="1" applyBorder="1" applyAlignment="1" applyProtection="1">
      <alignment horizontal="center" vertical="center"/>
      <protection hidden="1"/>
    </xf>
    <xf numFmtId="0" fontId="4" fillId="7" borderId="70" xfId="7" applyFont="1" applyFill="1" applyBorder="1" applyAlignment="1" applyProtection="1">
      <alignment horizontal="center" vertical="center" wrapText="1"/>
      <protection hidden="1"/>
    </xf>
    <xf numFmtId="0" fontId="4" fillId="7" borderId="61" xfId="7" applyFont="1" applyFill="1" applyBorder="1" applyAlignment="1" applyProtection="1">
      <alignment horizontal="center" vertical="center" wrapText="1"/>
      <protection hidden="1"/>
    </xf>
    <xf numFmtId="0" fontId="4" fillId="16" borderId="62" xfId="4" applyFont="1" applyFill="1" applyBorder="1" applyAlignment="1" applyProtection="1">
      <alignment horizontal="center"/>
      <protection hidden="1"/>
    </xf>
    <xf numFmtId="0" fontId="4" fillId="16" borderId="72" xfId="4" applyFont="1" applyFill="1" applyBorder="1" applyAlignment="1" applyProtection="1">
      <alignment horizontal="center"/>
      <protection hidden="1"/>
    </xf>
    <xf numFmtId="0" fontId="4" fillId="16" borderId="59" xfId="4" applyFont="1" applyFill="1" applyBorder="1" applyAlignment="1" applyProtection="1">
      <alignment horizontal="center"/>
      <protection hidden="1"/>
    </xf>
    <xf numFmtId="164" fontId="54" fillId="16" borderId="80" xfId="4" applyNumberFormat="1" applyFont="1" applyFill="1" applyBorder="1" applyAlignment="1" applyProtection="1">
      <alignment horizontal="center"/>
      <protection hidden="1"/>
    </xf>
    <xf numFmtId="0" fontId="54" fillId="16" borderId="59" xfId="4" applyFont="1" applyFill="1" applyBorder="1" applyAlignment="1" applyProtection="1">
      <alignment horizontal="center"/>
      <protection hidden="1"/>
    </xf>
    <xf numFmtId="0" fontId="4" fillId="16" borderId="64" xfId="7" applyFont="1" applyFill="1" applyBorder="1" applyAlignment="1" applyProtection="1">
      <alignment horizontal="center" vertical="center" wrapText="1"/>
      <protection hidden="1"/>
    </xf>
    <xf numFmtId="0" fontId="4" fillId="16" borderId="52" xfId="7" applyFont="1" applyFill="1" applyBorder="1" applyAlignment="1" applyProtection="1">
      <alignment horizontal="center" vertical="center" wrapText="1"/>
      <protection hidden="1"/>
    </xf>
    <xf numFmtId="3" fontId="37" fillId="14" borderId="0" xfId="7" applyNumberFormat="1" applyFont="1" applyFill="1" applyAlignment="1" applyProtection="1">
      <alignment horizontal="center" vertical="center"/>
      <protection hidden="1"/>
    </xf>
    <xf numFmtId="0" fontId="3" fillId="7" borderId="28" xfId="0" applyFont="1" applyFill="1" applyBorder="1" applyAlignment="1" applyProtection="1">
      <alignment horizontal="left" vertical="center"/>
      <protection hidden="1"/>
    </xf>
    <xf numFmtId="0" fontId="3" fillId="7" borderId="29" xfId="0" applyFont="1" applyFill="1" applyBorder="1" applyAlignment="1" applyProtection="1">
      <alignment horizontal="left" vertical="center"/>
      <protection hidden="1"/>
    </xf>
    <xf numFmtId="2" fontId="18" fillId="7" borderId="29" xfId="0" applyNumberFormat="1" applyFont="1" applyFill="1" applyBorder="1" applyAlignment="1" applyProtection="1">
      <alignment horizontal="left" vertical="center" indent="2"/>
      <protection locked="0" hidden="1"/>
    </xf>
    <xf numFmtId="169" fontId="5" fillId="0" borderId="71" xfId="0" applyNumberFormat="1" applyFont="1" applyBorder="1" applyAlignment="1" applyProtection="1">
      <alignment horizontal="center" vertical="center"/>
      <protection locked="0" hidden="1"/>
    </xf>
    <xf numFmtId="169" fontId="5" fillId="0" borderId="55" xfId="0" applyNumberFormat="1" applyFont="1" applyBorder="1" applyAlignment="1" applyProtection="1">
      <alignment horizontal="center" vertical="center"/>
      <protection locked="0" hidden="1"/>
    </xf>
    <xf numFmtId="0" fontId="5" fillId="0" borderId="55" xfId="0" applyFont="1" applyBorder="1" applyAlignment="1" applyProtection="1">
      <alignment horizontal="left" vertical="center"/>
      <protection locked="0" hidden="1"/>
    </xf>
    <xf numFmtId="2" fontId="5" fillId="0" borderId="55" xfId="0" applyNumberFormat="1" applyFont="1" applyBorder="1" applyAlignment="1" applyProtection="1">
      <alignment horizontal="left" vertical="center"/>
      <protection locked="0" hidden="1"/>
    </xf>
    <xf numFmtId="0" fontId="5" fillId="0" borderId="56" xfId="0" applyFont="1" applyBorder="1" applyAlignment="1" applyProtection="1">
      <alignment horizontal="left" vertical="center"/>
      <protection locked="0" hidden="1"/>
    </xf>
    <xf numFmtId="0" fontId="0" fillId="0" borderId="0" xfId="0" applyAlignment="1" applyProtection="1">
      <alignment horizontal="left" vertical="center"/>
      <protection locked="0" hidden="1"/>
    </xf>
    <xf numFmtId="169" fontId="5" fillId="0" borderId="65" xfId="0" applyNumberFormat="1" applyFont="1" applyBorder="1" applyAlignment="1" applyProtection="1">
      <alignment horizontal="center" vertical="center"/>
      <protection locked="0" hidden="1"/>
    </xf>
    <xf numFmtId="169" fontId="5" fillId="0" borderId="1" xfId="0" applyNumberFormat="1" applyFont="1" applyBorder="1" applyAlignment="1" applyProtection="1">
      <alignment horizontal="center" vertical="center"/>
      <protection locked="0" hidden="1"/>
    </xf>
    <xf numFmtId="0" fontId="5" fillId="0" borderId="1" xfId="0" applyFont="1" applyBorder="1" applyAlignment="1" applyProtection="1">
      <alignment horizontal="left" vertical="center"/>
      <protection locked="0" hidden="1"/>
    </xf>
    <xf numFmtId="2" fontId="5" fillId="0" borderId="1" xfId="0" applyNumberFormat="1" applyFont="1" applyBorder="1" applyAlignment="1" applyProtection="1">
      <alignment horizontal="left" vertical="center"/>
      <protection locked="0" hidden="1"/>
    </xf>
    <xf numFmtId="0" fontId="5" fillId="0" borderId="54" xfId="0" applyFont="1" applyBorder="1" applyAlignment="1" applyProtection="1">
      <alignment horizontal="left" vertical="center"/>
      <protection locked="0" hidden="1"/>
    </xf>
    <xf numFmtId="14" fontId="38" fillId="0" borderId="102" xfId="7" applyNumberFormat="1" applyFont="1" applyBorder="1" applyAlignment="1" applyProtection="1">
      <alignment horizontal="center" vertical="center" wrapText="1"/>
      <protection locked="0" hidden="1"/>
    </xf>
    <xf numFmtId="14" fontId="38" fillId="0" borderId="58" xfId="7" applyNumberFormat="1" applyFont="1" applyBorder="1" applyAlignment="1" applyProtection="1">
      <alignment horizontal="center" vertical="center" wrapText="1"/>
      <protection locked="0" hidden="1"/>
    </xf>
    <xf numFmtId="0" fontId="5" fillId="0" borderId="61" xfId="0" applyFont="1" applyBorder="1" applyAlignment="1" applyProtection="1">
      <alignment horizontal="left" vertical="center"/>
      <protection locked="0" hidden="1"/>
    </xf>
    <xf numFmtId="2" fontId="5" fillId="0" borderId="61" xfId="0" applyNumberFormat="1" applyFont="1" applyBorder="1" applyAlignment="1" applyProtection="1">
      <alignment horizontal="left" vertical="center"/>
      <protection locked="0" hidden="1"/>
    </xf>
    <xf numFmtId="0" fontId="4" fillId="7" borderId="62" xfId="4" applyFont="1" applyFill="1" applyBorder="1" applyAlignment="1" applyProtection="1">
      <alignment horizontal="center"/>
      <protection locked="0" hidden="1"/>
    </xf>
    <xf numFmtId="0" fontId="4" fillId="7" borderId="72" xfId="4" applyFont="1" applyFill="1" applyBorder="1" applyAlignment="1" applyProtection="1">
      <alignment horizontal="center"/>
      <protection locked="0" hidden="1"/>
    </xf>
    <xf numFmtId="0" fontId="4" fillId="7" borderId="59" xfId="4" applyFont="1" applyFill="1" applyBorder="1" applyAlignment="1" applyProtection="1">
      <alignment horizontal="center"/>
      <protection locked="0" hidden="1"/>
    </xf>
    <xf numFmtId="14" fontId="38" fillId="0" borderId="102" xfId="7" applyNumberFormat="1" applyFont="1" applyBorder="1" applyAlignment="1" applyProtection="1">
      <alignment horizontal="center" wrapText="1"/>
      <protection locked="0" hidden="1"/>
    </xf>
    <xf numFmtId="14" fontId="38" fillId="0" borderId="58" xfId="7" applyNumberFormat="1" applyFont="1" applyBorder="1" applyAlignment="1" applyProtection="1">
      <alignment horizontal="center" wrapText="1"/>
      <protection locked="0" hidden="1"/>
    </xf>
    <xf numFmtId="0" fontId="38" fillId="0" borderId="74" xfId="7" applyFont="1" applyBorder="1" applyAlignment="1" applyProtection="1">
      <alignment horizontal="left" wrapText="1"/>
      <protection locked="0" hidden="1"/>
    </xf>
    <xf numFmtId="0" fontId="38" fillId="0" borderId="101" xfId="7" applyFont="1" applyBorder="1" applyAlignment="1" applyProtection="1">
      <alignment horizontal="left" wrapText="1"/>
      <protection locked="0" hidden="1"/>
    </xf>
    <xf numFmtId="0" fontId="38" fillId="0" borderId="58" xfId="7" applyFont="1" applyBorder="1" applyAlignment="1" applyProtection="1">
      <alignment horizontal="left" wrapText="1"/>
      <protection locked="0" hidden="1"/>
    </xf>
    <xf numFmtId="14" fontId="38" fillId="0" borderId="108" xfId="7" applyNumberFormat="1" applyFont="1" applyBorder="1" applyAlignment="1" applyProtection="1">
      <alignment horizontal="center" vertical="center"/>
      <protection locked="0" hidden="1"/>
    </xf>
    <xf numFmtId="14" fontId="38" fillId="0" borderId="107" xfId="7" applyNumberFormat="1" applyFont="1" applyBorder="1" applyAlignment="1" applyProtection="1">
      <alignment horizontal="center" vertical="center"/>
      <protection locked="0" hidden="1"/>
    </xf>
    <xf numFmtId="0" fontId="4" fillId="7" borderId="55" xfId="4" applyFont="1" applyFill="1" applyBorder="1" applyAlignment="1" applyProtection="1">
      <alignment horizontal="left"/>
      <protection locked="0" hidden="1"/>
    </xf>
    <xf numFmtId="0" fontId="4" fillId="7" borderId="56" xfId="4" applyFont="1" applyFill="1" applyBorder="1" applyAlignment="1" applyProtection="1">
      <alignment horizontal="left"/>
      <protection locked="0" hidden="1"/>
    </xf>
    <xf numFmtId="164" fontId="38" fillId="0" borderId="1" xfId="7" applyNumberFormat="1" applyFont="1" applyBorder="1" applyAlignment="1" applyProtection="1">
      <alignment horizontal="left" vertical="center"/>
      <protection locked="0" hidden="1"/>
    </xf>
    <xf numFmtId="164" fontId="38" fillId="0" borderId="54" xfId="7" applyNumberFormat="1" applyFont="1" applyBorder="1" applyAlignment="1" applyProtection="1">
      <alignment horizontal="left" vertical="center"/>
      <protection locked="0" hidden="1"/>
    </xf>
    <xf numFmtId="0" fontId="4" fillId="16" borderId="55" xfId="4" applyFont="1" applyFill="1" applyBorder="1" applyAlignment="1" applyProtection="1">
      <alignment horizontal="left"/>
      <protection locked="0" hidden="1"/>
    </xf>
    <xf numFmtId="0" fontId="4" fillId="16" borderId="56" xfId="4" applyFont="1" applyFill="1" applyBorder="1" applyAlignment="1" applyProtection="1">
      <alignment horizontal="left"/>
      <protection locked="0" hidden="1"/>
    </xf>
    <xf numFmtId="0" fontId="4" fillId="6" borderId="22" xfId="7" applyFont="1" applyFill="1" applyBorder="1" applyAlignment="1" applyProtection="1">
      <alignment horizontal="left"/>
      <protection locked="0" hidden="1"/>
    </xf>
    <xf numFmtId="0" fontId="4" fillId="6" borderId="3" xfId="7" applyFont="1" applyFill="1" applyBorder="1" applyAlignment="1" applyProtection="1">
      <alignment horizontal="left"/>
      <protection locked="0" hidden="1"/>
    </xf>
    <xf numFmtId="0" fontId="4" fillId="6" borderId="23" xfId="7" applyFont="1" applyFill="1" applyBorder="1" applyAlignment="1" applyProtection="1">
      <alignment horizontal="left"/>
      <protection locked="0" hidden="1"/>
    </xf>
    <xf numFmtId="14" fontId="4" fillId="7" borderId="70" xfId="7" applyNumberFormat="1" applyFont="1" applyFill="1" applyBorder="1" applyAlignment="1" applyProtection="1">
      <alignment horizontal="center" vertical="center" wrapText="1"/>
      <protection locked="0" hidden="1"/>
    </xf>
    <xf numFmtId="14" fontId="4" fillId="7" borderId="61" xfId="7" applyNumberFormat="1" applyFont="1" applyFill="1" applyBorder="1" applyAlignment="1" applyProtection="1">
      <alignment horizontal="center" vertical="center" wrapText="1"/>
      <protection locked="0" hidden="1"/>
    </xf>
    <xf numFmtId="0" fontId="4" fillId="16" borderId="62" xfId="4" applyFont="1" applyFill="1" applyBorder="1" applyAlignment="1" applyProtection="1">
      <alignment horizontal="center"/>
      <protection locked="0" hidden="1"/>
    </xf>
    <xf numFmtId="0" fontId="4" fillId="16" borderId="72" xfId="4" applyFont="1" applyFill="1" applyBorder="1" applyAlignment="1" applyProtection="1">
      <alignment horizontal="center"/>
      <protection locked="0" hidden="1"/>
    </xf>
    <xf numFmtId="0" fontId="4" fillId="16" borderId="59" xfId="4" applyFont="1" applyFill="1" applyBorder="1" applyAlignment="1" applyProtection="1">
      <alignment horizontal="center"/>
      <protection locked="0" hidden="1"/>
    </xf>
    <xf numFmtId="0" fontId="4" fillId="7" borderId="61" xfId="7" applyFont="1" applyFill="1" applyBorder="1" applyAlignment="1" applyProtection="1">
      <alignment horizontal="center" vertical="center" wrapText="1"/>
      <protection locked="0" hidden="1"/>
    </xf>
    <xf numFmtId="0" fontId="4" fillId="7" borderId="69" xfId="7" applyFont="1" applyFill="1" applyBorder="1" applyAlignment="1" applyProtection="1">
      <alignment horizontal="center" vertical="center" wrapText="1"/>
      <protection locked="0" hidden="1"/>
    </xf>
    <xf numFmtId="0" fontId="26" fillId="2" borderId="28" xfId="7" applyFont="1" applyFill="1" applyBorder="1" applyAlignment="1" applyProtection="1">
      <alignment horizontal="left"/>
      <protection locked="0" hidden="1"/>
    </xf>
    <xf numFmtId="0" fontId="26" fillId="2" borderId="29" xfId="7" applyFont="1" applyFill="1" applyBorder="1" applyAlignment="1" applyProtection="1">
      <alignment horizontal="left"/>
      <protection locked="0" hidden="1"/>
    </xf>
    <xf numFmtId="0" fontId="26" fillId="2" borderId="30" xfId="7" applyFont="1" applyFill="1" applyBorder="1" applyAlignment="1" applyProtection="1">
      <alignment horizontal="left"/>
      <protection locked="0" hidden="1"/>
    </xf>
    <xf numFmtId="14" fontId="4" fillId="16" borderId="70" xfId="7" applyNumberFormat="1" applyFont="1" applyFill="1" applyBorder="1" applyAlignment="1" applyProtection="1">
      <alignment horizontal="center" vertical="center" wrapText="1"/>
      <protection locked="0" hidden="1"/>
    </xf>
    <xf numFmtId="14" fontId="4" fillId="16" borderId="61" xfId="7" applyNumberFormat="1" applyFont="1" applyFill="1" applyBorder="1" applyAlignment="1" applyProtection="1">
      <alignment horizontal="center" vertical="center" wrapText="1"/>
      <protection locked="0" hidden="1"/>
    </xf>
    <xf numFmtId="0" fontId="4" fillId="16" borderId="52" xfId="7" applyFont="1" applyFill="1" applyBorder="1" applyAlignment="1" applyProtection="1">
      <alignment horizontal="center" vertical="center" wrapText="1"/>
      <protection locked="0" hidden="1"/>
    </xf>
    <xf numFmtId="0" fontId="4" fillId="16" borderId="53" xfId="7" applyFont="1" applyFill="1" applyBorder="1" applyAlignment="1" applyProtection="1">
      <alignment horizontal="center" vertical="center" wrapText="1"/>
      <protection locked="0" hidden="1"/>
    </xf>
    <xf numFmtId="0" fontId="7" fillId="6" borderId="0" xfId="0" applyFont="1" applyFill="1" applyAlignment="1" applyProtection="1">
      <alignment horizontal="center" vertical="center"/>
      <protection locked="0" hidden="1"/>
    </xf>
    <xf numFmtId="0" fontId="22" fillId="10" borderId="0" xfId="0" applyFont="1" applyFill="1" applyAlignment="1" applyProtection="1">
      <alignment horizontal="left"/>
      <protection locked="0" hidden="1"/>
    </xf>
    <xf numFmtId="0" fontId="22" fillId="10" borderId="2" xfId="0" applyFont="1" applyFill="1" applyBorder="1" applyAlignment="1" applyProtection="1">
      <alignment horizontal="left"/>
      <protection locked="0" hidden="1"/>
    </xf>
    <xf numFmtId="0" fontId="33" fillId="2" borderId="0" xfId="7" applyFont="1" applyFill="1" applyAlignment="1" applyProtection="1">
      <alignment horizontal="center" vertical="center"/>
      <protection locked="0" hidden="1"/>
    </xf>
    <xf numFmtId="0" fontId="37" fillId="6" borderId="0" xfId="7" applyFont="1" applyFill="1" applyAlignment="1" applyProtection="1">
      <alignment horizontal="center" vertical="center"/>
      <protection locked="0" hidden="1"/>
    </xf>
    <xf numFmtId="0" fontId="33" fillId="5" borderId="0" xfId="7" applyFont="1" applyFill="1" applyAlignment="1" applyProtection="1">
      <alignment horizontal="center" vertical="center"/>
      <protection locked="0" hidden="1"/>
    </xf>
    <xf numFmtId="0" fontId="8" fillId="0" borderId="102" xfId="0" applyFont="1" applyBorder="1" applyAlignment="1" applyProtection="1">
      <alignment horizontal="left" vertical="center"/>
      <protection locked="0"/>
    </xf>
    <xf numFmtId="0" fontId="8" fillId="0" borderId="101" xfId="0" applyFont="1" applyBorder="1" applyAlignment="1" applyProtection="1">
      <alignment horizontal="left" vertical="center"/>
      <protection locked="0"/>
    </xf>
    <xf numFmtId="0" fontId="8" fillId="0" borderId="58" xfId="0" applyFont="1" applyBorder="1" applyAlignment="1" applyProtection="1">
      <alignment horizontal="left" vertical="center"/>
      <protection locked="0"/>
    </xf>
    <xf numFmtId="0" fontId="5" fillId="0" borderId="102" xfId="0" applyFont="1" applyBorder="1" applyAlignment="1" applyProtection="1">
      <alignment horizontal="left" vertical="center"/>
      <protection locked="0"/>
    </xf>
    <xf numFmtId="0" fontId="5" fillId="0" borderId="101" xfId="0" applyFont="1" applyBorder="1" applyAlignment="1" applyProtection="1">
      <alignment horizontal="left" vertical="center"/>
      <protection locked="0"/>
    </xf>
    <xf numFmtId="0" fontId="5" fillId="0" borderId="58" xfId="0" applyFont="1" applyBorder="1" applyAlignment="1" applyProtection="1">
      <alignment horizontal="left" vertical="center"/>
      <protection locked="0"/>
    </xf>
    <xf numFmtId="0" fontId="0" fillId="0" borderId="102" xfId="0" applyBorder="1" applyAlignment="1" applyProtection="1">
      <alignment horizontal="left" vertical="center"/>
      <protection locked="0"/>
    </xf>
    <xf numFmtId="0" fontId="0" fillId="0" borderId="101" xfId="0" applyBorder="1" applyAlignment="1" applyProtection="1">
      <alignment horizontal="left" vertical="center"/>
      <protection locked="0"/>
    </xf>
    <xf numFmtId="0" fontId="0" fillId="0" borderId="58" xfId="0" applyBorder="1" applyAlignment="1" applyProtection="1">
      <alignment horizontal="left" vertical="center"/>
      <protection locked="0"/>
    </xf>
    <xf numFmtId="0" fontId="2" fillId="2" borderId="64" xfId="0" applyFont="1" applyFill="1" applyBorder="1" applyAlignment="1" applyProtection="1">
      <alignment horizontal="center" vertical="center"/>
      <protection locked="0"/>
    </xf>
    <xf numFmtId="0" fontId="2" fillId="2" borderId="52" xfId="0" applyFont="1" applyFill="1" applyBorder="1" applyAlignment="1" applyProtection="1">
      <alignment horizontal="center" vertical="center"/>
      <protection locked="0"/>
    </xf>
    <xf numFmtId="0" fontId="2" fillId="2" borderId="65" xfId="0" applyFont="1" applyFill="1" applyBorder="1" applyAlignment="1" applyProtection="1">
      <alignment horizontal="center" vertical="center"/>
      <protection locked="0"/>
    </xf>
    <xf numFmtId="0" fontId="2" fillId="2" borderId="1" xfId="0" applyFont="1" applyFill="1" applyBorder="1" applyAlignment="1" applyProtection="1">
      <alignment horizontal="center" vertical="center"/>
      <protection locked="0"/>
    </xf>
    <xf numFmtId="0" fontId="2" fillId="2" borderId="53" xfId="0" applyFont="1" applyFill="1" applyBorder="1" applyAlignment="1" applyProtection="1">
      <alignment horizontal="center" vertical="center" wrapText="1"/>
      <protection locked="0"/>
    </xf>
    <xf numFmtId="0" fontId="2" fillId="2" borderId="54" xfId="0" applyFont="1" applyFill="1" applyBorder="1" applyAlignment="1" applyProtection="1">
      <alignment horizontal="center" vertical="center" wrapText="1"/>
      <protection locked="0"/>
    </xf>
    <xf numFmtId="3" fontId="41" fillId="0" borderId="111" xfId="7" applyNumberFormat="1" applyFont="1" applyBorder="1" applyAlignment="1" applyProtection="1">
      <alignment horizontal="left"/>
      <protection locked="0"/>
    </xf>
    <xf numFmtId="3" fontId="41" fillId="0" borderId="1" xfId="7" applyNumberFormat="1" applyFont="1" applyBorder="1" applyAlignment="1" applyProtection="1">
      <alignment horizontal="left"/>
      <protection locked="0"/>
    </xf>
    <xf numFmtId="165" fontId="5" fillId="0" borderId="74" xfId="9" applyNumberFormat="1" applyFont="1" applyBorder="1" applyAlignment="1" applyProtection="1">
      <alignment horizontal="left" vertical="center"/>
      <protection locked="0"/>
    </xf>
    <xf numFmtId="165" fontId="5" fillId="0" borderId="101" xfId="9" applyNumberFormat="1" applyFont="1" applyBorder="1" applyAlignment="1" applyProtection="1">
      <alignment horizontal="left" vertical="center"/>
      <protection locked="0"/>
    </xf>
    <xf numFmtId="165" fontId="5" fillId="0" borderId="58" xfId="9" applyNumberFormat="1" applyFont="1" applyBorder="1" applyAlignment="1" applyProtection="1">
      <alignment horizontal="left" vertical="center"/>
      <protection locked="0"/>
    </xf>
    <xf numFmtId="0" fontId="2" fillId="2" borderId="71" xfId="0" applyFont="1" applyFill="1" applyBorder="1" applyAlignment="1" applyProtection="1">
      <alignment horizontal="center" vertical="center"/>
      <protection locked="0"/>
    </xf>
    <xf numFmtId="0" fontId="2" fillId="2" borderId="55" xfId="0" applyFont="1" applyFill="1" applyBorder="1" applyAlignment="1" applyProtection="1">
      <alignment horizontal="center" vertical="center"/>
      <protection locked="0"/>
    </xf>
    <xf numFmtId="0" fontId="2" fillId="9" borderId="116" xfId="7" applyFont="1" applyFill="1" applyBorder="1" applyAlignment="1" applyProtection="1">
      <alignment horizontal="center"/>
      <protection locked="0"/>
    </xf>
    <xf numFmtId="0" fontId="2" fillId="9" borderId="117" xfId="7" applyFont="1" applyFill="1" applyBorder="1" applyAlignment="1" applyProtection="1">
      <alignment horizontal="center"/>
      <protection locked="0"/>
    </xf>
    <xf numFmtId="0" fontId="2" fillId="9" borderId="118" xfId="7" applyFont="1" applyFill="1" applyBorder="1" applyAlignment="1" applyProtection="1">
      <alignment horizontal="center"/>
      <protection locked="0"/>
    </xf>
    <xf numFmtId="0" fontId="2" fillId="2" borderId="22" xfId="0" applyFont="1" applyFill="1" applyBorder="1" applyAlignment="1" applyProtection="1">
      <alignment horizontal="center" vertical="center"/>
      <protection locked="0"/>
    </xf>
    <xf numFmtId="0" fontId="2" fillId="2" borderId="3" xfId="0" applyFont="1" applyFill="1" applyBorder="1" applyAlignment="1" applyProtection="1">
      <alignment horizontal="center" vertical="center"/>
      <protection locked="0"/>
    </xf>
    <xf numFmtId="0" fontId="11" fillId="0" borderId="26" xfId="0" applyFont="1" applyBorder="1" applyAlignment="1" applyProtection="1">
      <alignment horizontal="center" vertical="center"/>
      <protection locked="0"/>
    </xf>
    <xf numFmtId="0" fontId="11" fillId="0" borderId="2" xfId="0" applyFont="1" applyBorder="1" applyAlignment="1" applyProtection="1">
      <alignment horizontal="center" vertical="center"/>
      <protection locked="0"/>
    </xf>
    <xf numFmtId="0" fontId="11" fillId="0" borderId="105" xfId="0" applyFont="1" applyBorder="1" applyAlignment="1" applyProtection="1">
      <alignment horizontal="center" vertical="center"/>
      <protection locked="0"/>
    </xf>
    <xf numFmtId="0" fontId="41" fillId="0" borderId="102" xfId="0" applyFont="1" applyBorder="1" applyAlignment="1" applyProtection="1">
      <alignment horizontal="left" vertical="center"/>
      <protection locked="0"/>
    </xf>
    <xf numFmtId="0" fontId="41" fillId="0" borderId="101" xfId="0" applyFont="1" applyBorder="1" applyAlignment="1" applyProtection="1">
      <alignment horizontal="left" vertical="center"/>
      <protection locked="0"/>
    </xf>
    <xf numFmtId="0" fontId="41" fillId="0" borderId="58" xfId="0" applyFont="1" applyBorder="1" applyAlignment="1" applyProtection="1">
      <alignment horizontal="left" vertical="center"/>
      <protection locked="0"/>
    </xf>
    <xf numFmtId="0" fontId="2" fillId="9" borderId="109" xfId="7" applyFont="1" applyFill="1" applyBorder="1" applyAlignment="1" applyProtection="1">
      <alignment horizontal="center" vertical="center" wrapText="1"/>
      <protection locked="0"/>
    </xf>
    <xf numFmtId="0" fontId="2" fillId="9" borderId="61" xfId="7" applyFont="1" applyFill="1" applyBorder="1" applyAlignment="1" applyProtection="1">
      <alignment horizontal="center" vertical="center" wrapText="1"/>
      <protection locked="0"/>
    </xf>
    <xf numFmtId="165" fontId="2" fillId="9" borderId="130" xfId="9" applyNumberFormat="1" applyFont="1" applyFill="1" applyBorder="1" applyAlignment="1" applyProtection="1">
      <alignment horizontal="center" vertical="center" wrapText="1"/>
      <protection locked="0"/>
    </xf>
    <xf numFmtId="165" fontId="2" fillId="9" borderId="131" xfId="9" applyNumberFormat="1" applyFont="1" applyFill="1" applyBorder="1" applyAlignment="1" applyProtection="1">
      <alignment horizontal="center" vertical="center" wrapText="1"/>
      <protection locked="0"/>
    </xf>
    <xf numFmtId="165" fontId="2" fillId="9" borderId="132" xfId="9" applyNumberFormat="1" applyFont="1" applyFill="1" applyBorder="1" applyAlignment="1" applyProtection="1">
      <alignment horizontal="center" vertical="center" wrapText="1"/>
      <protection locked="0"/>
    </xf>
    <xf numFmtId="165" fontId="2" fillId="9" borderId="61" xfId="9" applyNumberFormat="1" applyFont="1" applyFill="1" applyBorder="1" applyAlignment="1" applyProtection="1">
      <alignment horizontal="center" vertical="center" wrapText="1"/>
      <protection locked="0"/>
    </xf>
    <xf numFmtId="165" fontId="2" fillId="9" borderId="110" xfId="9" applyNumberFormat="1" applyFont="1" applyFill="1" applyBorder="1" applyAlignment="1" applyProtection="1">
      <alignment horizontal="center" vertical="center" wrapText="1"/>
      <protection locked="0"/>
    </xf>
    <xf numFmtId="0" fontId="8" fillId="16" borderId="113" xfId="4" applyFont="1" applyFill="1" applyBorder="1" applyAlignment="1" applyProtection="1">
      <alignment horizontal="center"/>
      <protection locked="0"/>
    </xf>
    <xf numFmtId="0" fontId="8" fillId="16" borderId="114" xfId="4" applyFont="1" applyFill="1" applyBorder="1" applyAlignment="1" applyProtection="1">
      <alignment horizontal="center"/>
      <protection locked="0"/>
    </xf>
    <xf numFmtId="165" fontId="5" fillId="0" borderId="1" xfId="9" applyNumberFormat="1" applyFont="1" applyBorder="1" applyAlignment="1" applyProtection="1">
      <alignment horizontal="center" vertical="center"/>
      <protection locked="0"/>
    </xf>
    <xf numFmtId="165" fontId="5" fillId="0" borderId="112" xfId="9" applyNumberFormat="1" applyFont="1" applyBorder="1" applyAlignment="1" applyProtection="1">
      <alignment horizontal="center" vertical="center"/>
      <protection locked="0"/>
    </xf>
    <xf numFmtId="0" fontId="8" fillId="17" borderId="114" xfId="4" applyFont="1" applyFill="1" applyBorder="1" applyAlignment="1" applyProtection="1">
      <alignment horizontal="center" vertical="center"/>
      <protection locked="0"/>
    </xf>
    <xf numFmtId="0" fontId="8" fillId="17" borderId="115" xfId="4" applyFont="1" applyFill="1" applyBorder="1" applyAlignment="1" applyProtection="1">
      <alignment horizontal="center" vertical="center"/>
      <protection locked="0"/>
    </xf>
    <xf numFmtId="0" fontId="8" fillId="17" borderId="127" xfId="4" applyFont="1" applyFill="1" applyBorder="1" applyAlignment="1" applyProtection="1">
      <alignment horizontal="center" vertical="center"/>
      <protection locked="0"/>
    </xf>
    <xf numFmtId="0" fontId="8" fillId="17" borderId="128" xfId="4" applyFont="1" applyFill="1" applyBorder="1" applyAlignment="1" applyProtection="1">
      <alignment horizontal="center" vertical="center"/>
      <protection locked="0"/>
    </xf>
    <xf numFmtId="0" fontId="8" fillId="17" borderId="129" xfId="4" applyFont="1" applyFill="1" applyBorder="1" applyAlignment="1" applyProtection="1">
      <alignment horizontal="center" vertical="center"/>
      <protection locked="0"/>
    </xf>
    <xf numFmtId="0" fontId="47" fillId="5" borderId="0" xfId="2" applyFont="1" applyFill="1" applyAlignment="1" applyProtection="1">
      <alignment horizontal="center"/>
      <protection hidden="1"/>
    </xf>
    <xf numFmtId="0" fontId="2" fillId="9" borderId="88" xfId="6" applyFont="1" applyFill="1" applyBorder="1" applyAlignment="1" applyProtection="1">
      <alignment horizontal="center" wrapText="1"/>
      <protection hidden="1"/>
    </xf>
    <xf numFmtId="0" fontId="2" fillId="9" borderId="87" xfId="6" applyFont="1" applyFill="1" applyBorder="1" applyAlignment="1" applyProtection="1">
      <alignment horizontal="center" wrapText="1"/>
      <protection hidden="1"/>
    </xf>
    <xf numFmtId="0" fontId="2" fillId="9" borderId="86" xfId="6" applyFont="1" applyFill="1" applyBorder="1" applyAlignment="1" applyProtection="1">
      <alignment horizontal="center" wrapText="1"/>
      <protection hidden="1"/>
    </xf>
    <xf numFmtId="0" fontId="2" fillId="9" borderId="88" xfId="6" applyFont="1" applyFill="1" applyBorder="1" applyAlignment="1" applyProtection="1">
      <alignment horizontal="center" vertical="center" wrapText="1"/>
      <protection hidden="1"/>
    </xf>
    <xf numFmtId="0" fontId="2" fillId="9" borderId="87" xfId="6" applyFont="1" applyFill="1" applyBorder="1" applyAlignment="1" applyProtection="1">
      <alignment horizontal="center" vertical="center" wrapText="1"/>
      <protection hidden="1"/>
    </xf>
    <xf numFmtId="0" fontId="2" fillId="9" borderId="86" xfId="6" applyFont="1" applyFill="1" applyBorder="1" applyAlignment="1" applyProtection="1">
      <alignment horizontal="center" vertical="center" wrapText="1"/>
      <protection hidden="1"/>
    </xf>
    <xf numFmtId="0" fontId="17" fillId="0" borderId="0" xfId="4" applyAlignment="1" applyProtection="1">
      <alignment horizontal="center" wrapText="1"/>
      <protection hidden="1"/>
    </xf>
  </cellXfs>
  <cellStyles count="15">
    <cellStyle name="Comma" xfId="3" builtinId="3"/>
    <cellStyle name="Comma 2" xfId="11" xr:uid="{00000000-0005-0000-0000-000001000000}"/>
    <cellStyle name="Comma 4" xfId="9" xr:uid="{00000000-0005-0000-0000-000002000000}"/>
    <cellStyle name="Heading 3 2" xfId="14" xr:uid="{00000000-0005-0000-0000-000003000000}"/>
    <cellStyle name="Hyperlink" xfId="6" builtinId="8"/>
    <cellStyle name="Hyperlink 2" xfId="8" xr:uid="{00000000-0005-0000-0000-000005000000}"/>
    <cellStyle name="Normal" xfId="0" builtinId="0"/>
    <cellStyle name="Normal 2" xfId="2" xr:uid="{00000000-0005-0000-0000-000007000000}"/>
    <cellStyle name="Normal 2 2" xfId="13" xr:uid="{00000000-0005-0000-0000-000008000000}"/>
    <cellStyle name="Normal 3" xfId="4" xr:uid="{00000000-0005-0000-0000-000009000000}"/>
    <cellStyle name="Normal 4" xfId="7" xr:uid="{00000000-0005-0000-0000-00000A000000}"/>
    <cellStyle name="Normal 5" xfId="5" xr:uid="{00000000-0005-0000-0000-00000B000000}"/>
    <cellStyle name="Percent" xfId="1" builtinId="5"/>
    <cellStyle name="Percent 2" xfId="12" xr:uid="{00000000-0005-0000-0000-00000D000000}"/>
    <cellStyle name="Title 2" xfId="10" xr:uid="{00000000-0005-0000-0000-00000E000000}"/>
  </cellStyles>
  <dxfs count="131">
    <dxf>
      <font>
        <color rgb="FF9C0006"/>
      </font>
      <fill>
        <patternFill>
          <bgColor theme="6" tint="0.59996337778862885"/>
        </patternFill>
      </fill>
    </dxf>
    <dxf>
      <font>
        <color rgb="FF9C0006"/>
      </font>
      <fill>
        <patternFill>
          <bgColor theme="3" tint="0.59996337778862885"/>
        </patternFill>
      </fill>
    </dxf>
    <dxf>
      <font>
        <color rgb="FF9C0006"/>
      </font>
      <fill>
        <patternFill>
          <bgColor rgb="FFFFC7CE"/>
        </patternFill>
      </fill>
    </dxf>
    <dxf>
      <font>
        <color rgb="FF9C0006"/>
      </font>
      <fill>
        <patternFill>
          <bgColor theme="6" tint="0.59996337778862885"/>
        </patternFill>
      </fill>
    </dxf>
    <dxf>
      <font>
        <color rgb="FF9C0006"/>
      </font>
      <fill>
        <patternFill>
          <bgColor theme="3" tint="0.59996337778862885"/>
        </patternFill>
      </fill>
    </dxf>
    <dxf>
      <font>
        <color rgb="FF9C0006"/>
      </font>
      <fill>
        <patternFill>
          <bgColor theme="6" tint="0.59996337778862885"/>
        </patternFill>
      </fill>
    </dxf>
    <dxf>
      <font>
        <color rgb="FF9C0006"/>
      </font>
      <fill>
        <patternFill>
          <bgColor theme="3" tint="0.59996337778862885"/>
        </patternFill>
      </fill>
    </dxf>
    <dxf>
      <font>
        <color rgb="FF9C0006"/>
      </font>
      <fill>
        <patternFill>
          <bgColor theme="6" tint="0.59996337778862885"/>
        </patternFill>
      </fill>
    </dxf>
    <dxf>
      <font>
        <color rgb="FF9C0006"/>
      </font>
      <fill>
        <patternFill>
          <bgColor theme="3" tint="0.59996337778862885"/>
        </patternFill>
      </fill>
    </dxf>
    <dxf>
      <font>
        <color rgb="FF9C0006"/>
      </font>
      <fill>
        <patternFill>
          <bgColor theme="6" tint="0.59996337778862885"/>
        </patternFill>
      </fill>
    </dxf>
    <dxf>
      <font>
        <color rgb="FF9C0006"/>
      </font>
      <fill>
        <patternFill>
          <bgColor theme="3" tint="0.59996337778862885"/>
        </patternFill>
      </fill>
    </dxf>
    <dxf>
      <font>
        <color rgb="FF9C0006"/>
      </font>
      <fill>
        <patternFill>
          <bgColor theme="6" tint="0.59996337778862885"/>
        </patternFill>
      </fill>
    </dxf>
    <dxf>
      <font>
        <color rgb="FF9C0006"/>
      </font>
      <fill>
        <patternFill>
          <bgColor theme="3" tint="0.59996337778862885"/>
        </patternFill>
      </fill>
    </dxf>
    <dxf>
      <font>
        <color rgb="FF9C0006"/>
      </font>
      <fill>
        <patternFill>
          <bgColor theme="6" tint="0.59996337778862885"/>
        </patternFill>
      </fill>
    </dxf>
    <dxf>
      <font>
        <color rgb="FF9C0006"/>
      </font>
      <fill>
        <patternFill>
          <bgColor theme="3" tint="0.59996337778862885"/>
        </patternFill>
      </fill>
    </dxf>
    <dxf>
      <font>
        <color rgb="FF9C0006"/>
      </font>
      <fill>
        <patternFill>
          <bgColor theme="6" tint="0.59996337778862885"/>
        </patternFill>
      </fill>
    </dxf>
    <dxf>
      <font>
        <color rgb="FF9C0006"/>
      </font>
      <fill>
        <patternFill>
          <bgColor theme="3" tint="0.59996337778862885"/>
        </patternFill>
      </fill>
    </dxf>
    <dxf>
      <font>
        <color rgb="FF9C0006"/>
      </font>
      <fill>
        <patternFill>
          <bgColor theme="6" tint="0.59996337778862885"/>
        </patternFill>
      </fill>
    </dxf>
    <dxf>
      <font>
        <color rgb="FF9C0006"/>
      </font>
      <fill>
        <patternFill>
          <bgColor theme="3" tint="0.59996337778862885"/>
        </patternFill>
      </fill>
    </dxf>
    <dxf>
      <font>
        <color rgb="FF9C0006"/>
      </font>
      <fill>
        <patternFill>
          <bgColor theme="6" tint="0.59996337778862885"/>
        </patternFill>
      </fill>
    </dxf>
    <dxf>
      <font>
        <color rgb="FF9C0006"/>
      </font>
      <fill>
        <patternFill>
          <bgColor theme="3" tint="0.59996337778862885"/>
        </patternFill>
      </fill>
    </dxf>
    <dxf>
      <font>
        <color rgb="FF9C0006"/>
      </font>
      <fill>
        <patternFill>
          <bgColor theme="6" tint="0.59996337778862885"/>
        </patternFill>
      </fill>
    </dxf>
    <dxf>
      <font>
        <color rgb="FF9C0006"/>
      </font>
      <fill>
        <patternFill>
          <bgColor theme="3" tint="0.59996337778862885"/>
        </patternFill>
      </fill>
    </dxf>
    <dxf>
      <font>
        <color rgb="FF9C0006"/>
      </font>
      <fill>
        <patternFill>
          <bgColor theme="6" tint="0.59996337778862885"/>
        </patternFill>
      </fill>
    </dxf>
    <dxf>
      <font>
        <color rgb="FF9C0006"/>
      </font>
      <fill>
        <patternFill>
          <bgColor theme="3" tint="0.59996337778862885"/>
        </patternFill>
      </fill>
    </dxf>
    <dxf>
      <font>
        <b val="0"/>
        <i val="0"/>
        <strike val="0"/>
        <condense val="0"/>
        <extend val="0"/>
        <outline val="0"/>
        <shadow val="0"/>
        <u val="none"/>
        <vertAlign val="baseline"/>
        <sz val="11"/>
        <color theme="4" tint="-0.499984740745262"/>
        <name val="Calibri"/>
        <scheme val="minor"/>
      </font>
      <numFmt numFmtId="13" formatCode="0%"/>
      <alignment horizontal="center" vertical="bottom" textRotation="0" wrapText="1" indent="0" justifyLastLine="0" shrinkToFit="0" readingOrder="0"/>
      <protection locked="0" hidden="0"/>
    </dxf>
    <dxf>
      <font>
        <b val="0"/>
        <i val="0"/>
        <strike val="0"/>
        <condense val="0"/>
        <extend val="0"/>
        <outline val="0"/>
        <shadow val="0"/>
        <u val="none"/>
        <vertAlign val="baseline"/>
        <sz val="11"/>
        <color theme="4" tint="-0.499984740745262"/>
        <name val="Calibri"/>
        <scheme val="minor"/>
      </font>
      <alignment horizontal="center" vertical="bottom" textRotation="0" wrapText="1" indent="0" justifyLastLine="0" shrinkToFit="0" readingOrder="0"/>
      <protection locked="0" hidden="0"/>
    </dxf>
    <dxf>
      <font>
        <b val="0"/>
        <i val="0"/>
        <strike val="0"/>
        <condense val="0"/>
        <extend val="0"/>
        <outline val="0"/>
        <shadow val="0"/>
        <u val="none"/>
        <vertAlign val="baseline"/>
        <sz val="11"/>
        <color theme="4" tint="-0.499984740745262"/>
        <name val="Calibri"/>
        <scheme val="minor"/>
      </font>
      <alignment horizontal="left" vertical="bottom" textRotation="0" wrapText="1" indent="0" justifyLastLine="0" shrinkToFit="0" readingOrder="0"/>
      <protection locked="0" hidden="0"/>
    </dxf>
    <dxf>
      <font>
        <strike val="0"/>
        <outline val="0"/>
        <shadow val="0"/>
        <u val="none"/>
        <vertAlign val="baseline"/>
        <name val="Calibri"/>
        <scheme val="minor"/>
      </font>
      <alignment textRotation="0" wrapText="1" indent="0" justifyLastLine="0" shrinkToFit="0" readingOrder="0"/>
      <protection locked="0" hidden="0"/>
    </dxf>
    <dxf>
      <font>
        <b val="0"/>
        <i val="0"/>
        <strike val="0"/>
        <condense val="0"/>
        <extend val="0"/>
        <outline val="0"/>
        <shadow val="0"/>
        <u val="none"/>
        <vertAlign val="baseline"/>
        <sz val="11"/>
        <color theme="4" tint="-0.499984740745262"/>
        <name val="Calibri"/>
        <scheme val="minor"/>
      </font>
      <fill>
        <patternFill patternType="solid">
          <fgColor indexed="64"/>
          <bgColor theme="0" tint="-0.14999847407452621"/>
        </patternFill>
      </fill>
      <alignment horizontal="left" vertical="bottom" textRotation="0" wrapText="1" indent="0" justifyLastLine="0" shrinkToFit="0" readingOrder="0"/>
      <protection locked="0" hidden="0"/>
    </dxf>
    <dxf>
      <numFmt numFmtId="4" formatCode="#,##0.00"/>
      <alignment horizontal="center" vertical="center" textRotation="0" wrapText="0" indent="0" justifyLastLine="0" shrinkToFit="0" readingOrder="0"/>
      <border diagonalUp="0" diagonalDown="0" outline="0">
        <left/>
        <right/>
        <top/>
        <bottom/>
      </border>
      <protection locked="1" hidden="1"/>
    </dxf>
    <dxf>
      <numFmt numFmtId="4" formatCode="#,##0.00"/>
      <alignment horizontal="center" vertical="center" textRotation="0" wrapText="0" indent="0" justifyLastLine="0" shrinkToFit="0" readingOrder="0"/>
      <border diagonalUp="0" diagonalDown="0">
        <left style="thin">
          <color theme="0" tint="-0.499984740745262"/>
        </left>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numFmt numFmtId="4" formatCode="#,##0.00"/>
      <alignment horizontal="center" vertical="center" textRotation="0" wrapText="0" indent="0" justifyLastLine="0" shrinkToFit="0" readingOrder="0"/>
      <border diagonalUp="0" diagonalDown="0" outline="0">
        <left/>
        <right/>
        <top/>
        <bottom/>
      </border>
      <protection locked="1" hidden="1"/>
    </dxf>
    <dxf>
      <numFmt numFmtId="4" formatCode="#,##0.00"/>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numFmt numFmtId="4" formatCode="#,##0.00"/>
      <alignment horizontal="center" vertical="center" textRotation="0" wrapText="0" indent="0" justifyLastLine="0" shrinkToFit="0" readingOrder="0"/>
      <border diagonalUp="0" diagonalDown="0" outline="0">
        <left/>
        <right/>
        <top/>
        <bottom/>
      </border>
      <protection locked="1" hidden="1"/>
    </dxf>
    <dxf>
      <numFmt numFmtId="4" formatCode="#,##0.00"/>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numFmt numFmtId="4" formatCode="#,##0.00"/>
      <alignment horizontal="center" vertical="center" textRotation="0" wrapText="0" indent="0" justifyLastLine="0" shrinkToFit="0" readingOrder="0"/>
      <border diagonalUp="0" diagonalDown="0" outline="0">
        <left/>
        <right/>
        <top/>
        <bottom/>
      </border>
      <protection locked="1" hidden="1"/>
    </dxf>
    <dxf>
      <numFmt numFmtId="4" formatCode="#,##0.00"/>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numFmt numFmtId="4" formatCode="#,##0.00"/>
      <alignment horizontal="center" vertical="center" textRotation="0" wrapText="0" indent="0" justifyLastLine="0" shrinkToFit="0" readingOrder="0"/>
      <border diagonalUp="0" diagonalDown="0" outline="0">
        <left/>
        <right/>
        <top/>
        <bottom/>
      </border>
      <protection locked="1" hidden="1"/>
    </dxf>
    <dxf>
      <numFmt numFmtId="4" formatCode="#,##0.00"/>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numFmt numFmtId="4" formatCode="#,##0.00"/>
      <alignment horizontal="center" vertical="center" textRotation="0" wrapText="0" indent="0" justifyLastLine="0" shrinkToFit="0" readingOrder="0"/>
      <border diagonalUp="0" diagonalDown="0" outline="0">
        <left/>
        <right/>
        <top/>
        <bottom/>
      </border>
      <protection locked="1" hidden="1"/>
    </dxf>
    <dxf>
      <numFmt numFmtId="4" formatCode="#,##0.00"/>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numFmt numFmtId="4" formatCode="#,##0.00"/>
      <alignment horizontal="center" vertical="center" textRotation="0" wrapText="0" indent="0" justifyLastLine="0" shrinkToFit="0" readingOrder="0"/>
      <border diagonalUp="0" diagonalDown="0" outline="0">
        <left/>
        <right/>
        <top/>
        <bottom/>
      </border>
      <protection locked="1" hidden="1"/>
    </dxf>
    <dxf>
      <numFmt numFmtId="4" formatCode="#,##0.00"/>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numFmt numFmtId="4" formatCode="#,##0.00"/>
      <alignment horizontal="center" vertical="center" textRotation="0" wrapText="0" indent="0" justifyLastLine="0" shrinkToFit="0" readingOrder="0"/>
      <border diagonalUp="0" diagonalDown="0" outline="0">
        <left/>
        <right/>
        <top/>
        <bottom/>
      </border>
      <protection locked="1" hidden="1"/>
    </dxf>
    <dxf>
      <numFmt numFmtId="4" formatCode="#,##0.00"/>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numFmt numFmtId="4" formatCode="#,##0.00"/>
      <alignment horizontal="center" vertical="center" textRotation="0" wrapText="0" indent="0" justifyLastLine="0" shrinkToFit="0" readingOrder="0"/>
      <border diagonalUp="0" diagonalDown="0" outline="0">
        <left/>
        <right/>
        <top/>
        <bottom/>
      </border>
      <protection locked="1" hidden="1"/>
    </dxf>
    <dxf>
      <numFmt numFmtId="4" formatCode="#,##0.00"/>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numFmt numFmtId="4" formatCode="#,##0.00"/>
      <alignment horizontal="center" vertical="center" textRotation="0" wrapText="0" indent="0" justifyLastLine="0" shrinkToFit="0" readingOrder="0"/>
      <border diagonalUp="0" diagonalDown="0" outline="0">
        <left/>
        <right/>
        <top/>
        <bottom/>
      </border>
      <protection locked="1" hidden="1"/>
    </dxf>
    <dxf>
      <numFmt numFmtId="4" formatCode="#,##0.00"/>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numFmt numFmtId="4" formatCode="#,##0.00"/>
      <alignment horizontal="center" vertical="center" textRotation="0" wrapText="0" indent="0" justifyLastLine="0" shrinkToFit="0" readingOrder="0"/>
      <border diagonalUp="0" diagonalDown="0" outline="0">
        <left/>
        <right/>
        <top/>
        <bottom/>
      </border>
      <protection locked="1" hidden="1"/>
    </dxf>
    <dxf>
      <numFmt numFmtId="4" formatCode="#,##0.00"/>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numFmt numFmtId="4" formatCode="#,##0.00"/>
      <alignment horizontal="center" vertical="center" textRotation="0" wrapText="0" indent="0" justifyLastLine="0" shrinkToFit="0" readingOrder="0"/>
      <border diagonalUp="0" diagonalDown="0" outline="0">
        <left/>
        <right/>
        <top/>
        <bottom/>
      </border>
      <protection locked="1" hidden="1"/>
    </dxf>
    <dxf>
      <numFmt numFmtId="4" formatCode="#,##0.00"/>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numFmt numFmtId="4" formatCode="#,##0.00"/>
      <alignment horizontal="center" vertical="center" textRotation="0" wrapText="0" indent="0" justifyLastLine="0" shrinkToFit="0" readingOrder="0"/>
      <border diagonalUp="0" diagonalDown="0" outline="0">
        <left/>
        <right/>
        <top/>
        <bottom/>
      </border>
      <protection locked="1" hidden="1"/>
    </dxf>
    <dxf>
      <numFmt numFmtId="4" formatCode="#,##0.00"/>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alignment horizontal="left" vertical="center" textRotation="0" wrapText="0" indent="0" justifyLastLine="0" shrinkToFit="0" readingOrder="0"/>
      <border diagonalUp="0" diagonalDown="0" outline="0">
        <left/>
        <right style="thin">
          <color theme="0" tint="-0.499984740745262"/>
        </right>
        <top/>
        <bottom/>
      </border>
      <protection locked="1" hidden="1"/>
    </dxf>
    <dxf>
      <alignment horizontal="left" vertical="center" textRotation="0" wrapText="0" indent="0" justifyLastLine="0" shrinkToFit="0" readingOrder="0"/>
      <border diagonalUp="0" diagonalDown="0">
        <left/>
        <right style="thin">
          <color theme="0" tint="-0.499984740745262"/>
        </right>
        <top style="thin">
          <color theme="0" tint="-0.499984740745262"/>
        </top>
        <bottom style="thin">
          <color theme="0" tint="-0.499984740745262"/>
        </bottom>
      </border>
      <protection locked="1" hidden="1"/>
    </dxf>
    <dxf>
      <protection locked="1" hidden="1"/>
    </dxf>
    <dxf>
      <border diagonalUp="0" diagonalDown="0">
        <left style="medium">
          <color theme="5"/>
        </left>
        <right style="medium">
          <color theme="5"/>
        </right>
        <top style="medium">
          <color theme="5"/>
        </top>
        <bottom style="medium">
          <color theme="5"/>
        </bottom>
      </border>
    </dxf>
    <dxf>
      <alignment horizontal="center" vertical="center" textRotation="0" wrapText="0" indent="0" justifyLastLine="0" shrinkToFit="0" readingOrder="0"/>
      <protection locked="1" hidden="1"/>
    </dxf>
    <dxf>
      <border outline="0">
        <bottom style="medium">
          <color theme="5"/>
        </bottom>
      </border>
    </dxf>
    <dxf>
      <font>
        <b/>
        <i val="0"/>
        <strike val="0"/>
        <condense val="0"/>
        <extend val="0"/>
        <outline val="0"/>
        <shadow val="0"/>
        <u val="none"/>
        <vertAlign val="baseline"/>
        <sz val="10"/>
        <color auto="1"/>
        <name val="Noto Sans"/>
        <scheme val="none"/>
      </font>
      <fill>
        <patternFill patternType="solid">
          <fgColor indexed="64"/>
          <bgColor theme="6"/>
        </patternFill>
      </fill>
      <alignment horizontal="center" vertical="center" textRotation="0" wrapText="1" indent="0" justifyLastLine="0" shrinkToFit="0" readingOrder="0"/>
      <protection locked="1" hidden="1"/>
    </dxf>
    <dxf>
      <alignment horizontal="center" vertical="center" textRotation="0" wrapText="0" indent="0" justifyLastLine="0" shrinkToFit="0" readingOrder="0"/>
      <protection locked="1" hidden="1"/>
    </dxf>
    <dxf>
      <alignment horizontal="center" vertical="center" textRotation="0" wrapText="0" indent="0" justifyLastLine="0" shrinkToFit="0" readingOrder="0"/>
      <border diagonalUp="0" diagonalDown="0">
        <left style="thin">
          <color theme="0" tint="-0.499984740745262"/>
        </left>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alignment horizontal="center" vertical="center" textRotation="0" wrapText="0" indent="0" justifyLastLine="0" shrinkToFit="0" readingOrder="0"/>
      <protection locked="1" hidden="1"/>
    </dxf>
    <dxf>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alignment horizontal="center" vertical="center" textRotation="0" wrapText="0" indent="0" justifyLastLine="0" shrinkToFit="0" readingOrder="0"/>
      <protection locked="1" hidden="1"/>
    </dxf>
    <dxf>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alignment horizontal="center" vertical="center" textRotation="0" wrapText="0" indent="0" justifyLastLine="0" shrinkToFit="0" readingOrder="0"/>
      <protection locked="1" hidden="1"/>
    </dxf>
    <dxf>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alignment horizontal="center" vertical="center" textRotation="0" wrapText="0" indent="0" justifyLastLine="0" shrinkToFit="0" readingOrder="0"/>
      <protection locked="1" hidden="1"/>
    </dxf>
    <dxf>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alignment horizontal="center" vertical="center" textRotation="0" wrapText="0" indent="0" justifyLastLine="0" shrinkToFit="0" readingOrder="0"/>
      <protection locked="1" hidden="1"/>
    </dxf>
    <dxf>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alignment horizontal="center" vertical="center" textRotation="0" wrapText="0" indent="0" justifyLastLine="0" shrinkToFit="0" readingOrder="0"/>
      <protection locked="1" hidden="1"/>
    </dxf>
    <dxf>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alignment horizontal="center" vertical="center" textRotation="0" wrapText="0" indent="0" justifyLastLine="0" shrinkToFit="0" readingOrder="0"/>
      <protection locked="1" hidden="1"/>
    </dxf>
    <dxf>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alignment horizontal="center" vertical="center" textRotation="0" wrapText="0" indent="0" justifyLastLine="0" shrinkToFit="0" readingOrder="0"/>
      <protection locked="1" hidden="1"/>
    </dxf>
    <dxf>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alignment horizontal="center" vertical="center" textRotation="0" wrapText="0" indent="0" justifyLastLine="0" shrinkToFit="0" readingOrder="0"/>
      <protection locked="1" hidden="1"/>
    </dxf>
    <dxf>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alignment horizontal="center" vertical="center" textRotation="0" wrapText="0" indent="0" justifyLastLine="0" shrinkToFit="0" readingOrder="0"/>
      <protection locked="1" hidden="1"/>
    </dxf>
    <dxf>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alignment horizontal="center" vertical="center" textRotation="0" wrapText="0" indent="0" justifyLastLine="0" shrinkToFit="0" readingOrder="0"/>
      <protection locked="1" hidden="1"/>
    </dxf>
    <dxf>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alignment horizontal="center" vertical="center" textRotation="0" wrapText="0" indent="0" justifyLastLine="0" shrinkToFit="0" readingOrder="0"/>
      <protection locked="1" hidden="1"/>
    </dxf>
    <dxf>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alignment horizontal="left" vertical="center" textRotation="0" wrapText="0" indent="0" justifyLastLine="0" shrinkToFit="0" readingOrder="0"/>
      <protection locked="1" hidden="1"/>
    </dxf>
    <dxf>
      <alignment horizontal="left" vertical="center" textRotation="0" wrapText="0" indent="0" justifyLastLine="0" shrinkToFit="0" readingOrder="0"/>
      <border diagonalUp="0" diagonalDown="0">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protection locked="1" hidden="1"/>
    </dxf>
    <dxf>
      <border diagonalUp="0" diagonalDown="0">
        <left style="medium">
          <color theme="5"/>
        </left>
        <right style="medium">
          <color theme="5"/>
        </right>
        <top style="medium">
          <color theme="5"/>
        </top>
        <bottom style="medium">
          <color theme="5"/>
        </bottom>
      </border>
    </dxf>
    <dxf>
      <alignment horizontal="center" vertical="center" textRotation="0" wrapText="0" indent="0" justifyLastLine="0" shrinkToFit="0" readingOrder="0"/>
      <protection locked="1" hidden="1"/>
    </dxf>
    <dxf>
      <border outline="0">
        <bottom style="medium">
          <color theme="5"/>
        </bottom>
      </border>
    </dxf>
    <dxf>
      <font>
        <b/>
        <i val="0"/>
        <strike val="0"/>
        <condense val="0"/>
        <extend val="0"/>
        <outline val="0"/>
        <shadow val="0"/>
        <u val="none"/>
        <vertAlign val="baseline"/>
        <sz val="10"/>
        <color auto="1"/>
        <name val="Noto Sans"/>
        <scheme val="none"/>
      </font>
      <fill>
        <patternFill patternType="solid">
          <fgColor indexed="64"/>
          <bgColor theme="6"/>
        </patternFill>
      </fill>
      <alignment horizontal="center" vertical="center" textRotation="0" wrapText="1" indent="0" justifyLastLine="0" shrinkToFit="0" readingOrder="0"/>
      <protection locked="1" hidden="1"/>
    </dxf>
    <dxf>
      <alignment horizontal="center" vertical="center" textRotation="0" wrapText="0" indent="0" justifyLastLine="0" shrinkToFit="0" readingOrder="0"/>
      <protection locked="1" hidden="1"/>
    </dxf>
    <dxf>
      <alignment horizontal="center" vertical="center" textRotation="0" wrapText="0" indent="0" justifyLastLine="0" shrinkToFit="0" readingOrder="0"/>
      <border diagonalUp="0" diagonalDown="0">
        <left style="thin">
          <color theme="0" tint="-0.499984740745262"/>
        </left>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alignment horizontal="center" vertical="center" textRotation="0" wrapText="0" indent="0" justifyLastLine="0" shrinkToFit="0" readingOrder="0"/>
      <protection locked="1" hidden="1"/>
    </dxf>
    <dxf>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alignment horizontal="center" vertical="center" textRotation="0" wrapText="0" indent="0" justifyLastLine="0" shrinkToFit="0" readingOrder="0"/>
      <protection locked="1" hidden="1"/>
    </dxf>
    <dxf>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alignment horizontal="center" vertical="center" textRotation="0" wrapText="0" indent="0" justifyLastLine="0" shrinkToFit="0" readingOrder="0"/>
      <protection locked="1" hidden="1"/>
    </dxf>
    <dxf>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alignment horizontal="center" vertical="center" textRotation="0" wrapText="0" indent="0" justifyLastLine="0" shrinkToFit="0" readingOrder="0"/>
      <protection locked="1" hidden="1"/>
    </dxf>
    <dxf>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alignment horizontal="center" vertical="center" textRotation="0" wrapText="0" indent="0" justifyLastLine="0" shrinkToFit="0" readingOrder="0"/>
      <protection locked="1" hidden="1"/>
    </dxf>
    <dxf>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alignment horizontal="center" vertical="center" textRotation="0" wrapText="0" indent="0" justifyLastLine="0" shrinkToFit="0" readingOrder="0"/>
      <protection locked="1" hidden="1"/>
    </dxf>
    <dxf>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alignment horizontal="center" vertical="center" textRotation="0" wrapText="0" indent="0" justifyLastLine="0" shrinkToFit="0" readingOrder="0"/>
      <protection locked="1" hidden="1"/>
    </dxf>
    <dxf>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alignment horizontal="center" vertical="center" textRotation="0" wrapText="0" indent="0" justifyLastLine="0" shrinkToFit="0" readingOrder="0"/>
      <protection locked="1" hidden="1"/>
    </dxf>
    <dxf>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alignment horizontal="center" vertical="center" textRotation="0" wrapText="0" indent="0" justifyLastLine="0" shrinkToFit="0" readingOrder="0"/>
      <protection locked="1" hidden="1"/>
    </dxf>
    <dxf>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alignment horizontal="center" vertical="center" textRotation="0" wrapText="0" indent="0" justifyLastLine="0" shrinkToFit="0" readingOrder="0"/>
      <protection locked="1" hidden="1"/>
    </dxf>
    <dxf>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alignment horizontal="center" vertical="center" textRotation="0" wrapText="0" indent="0" justifyLastLine="0" shrinkToFit="0" readingOrder="0"/>
      <protection locked="1" hidden="1"/>
    </dxf>
    <dxf>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alignment horizontal="center" vertical="center" textRotation="0" wrapText="0" indent="0" justifyLastLine="0" shrinkToFit="0" readingOrder="0"/>
      <protection locked="1" hidden="1"/>
    </dxf>
    <dxf>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alignment horizontal="left" vertical="center" textRotation="0" wrapText="0" indent="0" justifyLastLine="0" shrinkToFit="0" readingOrder="0"/>
      <protection locked="1" hidden="1"/>
    </dxf>
    <dxf>
      <alignment horizontal="left" vertical="center" textRotation="0" wrapText="0" indent="0" justifyLastLine="0" shrinkToFit="0" readingOrder="0"/>
      <border diagonalUp="0" diagonalDown="0">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protection locked="1" hidden="1"/>
    </dxf>
    <dxf>
      <protection locked="1" hidden="1"/>
    </dxf>
    <dxf>
      <border diagonalUp="0" diagonalDown="0">
        <left style="medium">
          <color theme="5"/>
        </left>
        <right style="medium">
          <color theme="5"/>
        </right>
        <top style="medium">
          <color theme="5"/>
        </top>
        <bottom style="medium">
          <color theme="5"/>
        </bottom>
      </border>
    </dxf>
    <dxf>
      <alignment horizontal="center" vertical="center" textRotation="0" wrapText="0" indent="0" justifyLastLine="0" shrinkToFit="0" readingOrder="0"/>
      <protection locked="1" hidden="1"/>
    </dxf>
    <dxf>
      <border>
        <bottom style="medium">
          <color theme="5"/>
        </bottom>
      </border>
    </dxf>
    <dxf>
      <font>
        <b/>
        <i val="0"/>
        <strike val="0"/>
        <condense val="0"/>
        <extend val="0"/>
        <outline val="0"/>
        <shadow val="0"/>
        <u val="none"/>
        <vertAlign val="baseline"/>
        <sz val="10"/>
        <color theme="0"/>
        <name val="Noto Sans"/>
        <scheme val="none"/>
      </font>
      <fill>
        <patternFill patternType="solid">
          <fgColor indexed="64"/>
          <bgColor theme="5"/>
        </patternFill>
      </fill>
      <alignment horizontal="center" vertical="center" textRotation="0" wrapText="1" indent="0" justifyLastLine="0" shrinkToFit="0" readingOrder="0"/>
      <border diagonalUp="0" diagonalDown="0">
        <left/>
        <right/>
        <top/>
        <bottom/>
      </border>
      <protection locked="1" hidden="1"/>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Dark1 2" pivot="0" table="0" count="10" xr9:uid="{00000000-0011-0000-FFFF-FFFF00000000}">
      <tableStyleElement type="wholeTable" dxfId="130"/>
      <tableStyleElement type="headerRow" dxfId="129"/>
    </tableStyle>
  </tableStyles>
  <colors>
    <mruColors>
      <color rgb="FFF0AD6A"/>
      <color rgb="FFFF99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300" b="1"/>
              <a:t>Theo dõi</a:t>
            </a:r>
            <a:r>
              <a:rPr lang="en-US" sz="1300" b="1" baseline="0"/>
              <a:t> mục tiêu tài chính</a:t>
            </a:r>
            <a:endParaRPr lang="en-US" sz="1300" b="1"/>
          </a:p>
        </c:rich>
      </c:tx>
      <c:overlay val="0"/>
      <c:spPr>
        <a:noFill/>
        <a:ln>
          <a:noFill/>
        </a:ln>
        <a:effectLst/>
      </c:spPr>
    </c:title>
    <c:autoTitleDeleted val="0"/>
    <c:plotArea>
      <c:layout>
        <c:manualLayout>
          <c:layoutTarget val="inner"/>
          <c:xMode val="edge"/>
          <c:yMode val="edge"/>
          <c:x val="8.0984520803848783E-2"/>
          <c:y val="0.13828703703703704"/>
          <c:w val="0.81219153875143313"/>
          <c:h val="0.5924835958005249"/>
        </c:manualLayout>
      </c:layout>
      <c:lineChart>
        <c:grouping val="standard"/>
        <c:varyColors val="0"/>
        <c:ser>
          <c:idx val="0"/>
          <c:order val="0"/>
          <c:tx>
            <c:v>Tiết kiệm cần có</c:v>
          </c:tx>
          <c:spPr>
            <a:ln w="31750" cap="rnd">
              <a:solidFill>
                <a:schemeClr val="accent3"/>
              </a:solidFill>
              <a:round/>
            </a:ln>
            <a:effectLst/>
          </c:spPr>
          <c:marker>
            <c:symbol val="none"/>
          </c:marker>
          <c:cat>
            <c:numRef>
              <c:extLst>
                <c:ext xmlns:c15="http://schemas.microsoft.com/office/drawing/2012/chart" uri="{02D57815-91ED-43cb-92C2-25804820EDAC}">
                  <c15:fullRef>
                    <c15:sqref>'Mục tiêu tài chính'!$F$107:$F$145</c15:sqref>
                  </c15:fullRef>
                </c:ext>
              </c:extLst>
              <c:f>'Mục tiêu tài chính'!$F$107:$F$124</c:f>
              <c:numCache>
                <c:formatCode>General</c:formatCode>
                <c:ptCount val="18"/>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numCache>
            </c:numRef>
          </c:cat>
          <c:val>
            <c:numRef>
              <c:extLst>
                <c:ext xmlns:c15="http://schemas.microsoft.com/office/drawing/2012/chart" uri="{02D57815-91ED-43cb-92C2-25804820EDAC}">
                  <c15:fullRef>
                    <c15:sqref>'Mục tiêu tài chính'!$AA$107:$AA$145</c15:sqref>
                  </c15:fullRef>
                </c:ext>
              </c:extLst>
              <c:f>'Mục tiêu tài chính'!$AA$107:$AA$124</c:f>
              <c:numCache>
                <c:formatCode>_(* #,##0.0_);_(* \(#,##0.0\);_(* "-"??_);_(@_)</c:formatCode>
                <c:ptCount val="18"/>
                <c:pt idx="0">
                  <c:v>2.5608804382859343</c:v>
                </c:pt>
                <c:pt idx="1">
                  <c:v>4.1674680370874206</c:v>
                </c:pt>
                <c:pt idx="2">
                  <c:v>7.0680352428476141</c:v>
                </c:pt>
                <c:pt idx="3">
                  <c:v>7.0680352428476141</c:v>
                </c:pt>
                <c:pt idx="4">
                  <c:v>4.5071548045616794</c:v>
                </c:pt>
                <c:pt idx="5">
                  <c:v>11.401129102373563</c:v>
                </c:pt>
                <c:pt idx="6">
                  <c:v>11.401129102373563</c:v>
                </c:pt>
                <c:pt idx="7">
                  <c:v>12.006236826141029</c:v>
                </c:pt>
                <c:pt idx="8">
                  <c:v>13.057267004398431</c:v>
                </c:pt>
                <c:pt idx="9">
                  <c:v>13.057267004398431</c:v>
                </c:pt>
                <c:pt idx="10">
                  <c:v>6.1632927065865486</c:v>
                </c:pt>
                <c:pt idx="11">
                  <c:v>6.1632927065865486</c:v>
                </c:pt>
                <c:pt idx="12">
                  <c:v>6.1632927065865486</c:v>
                </c:pt>
                <c:pt idx="13">
                  <c:v>6.1632927065865486</c:v>
                </c:pt>
                <c:pt idx="14">
                  <c:v>7.0882177335335106</c:v>
                </c:pt>
                <c:pt idx="15">
                  <c:v>4.187650527773318</c:v>
                </c:pt>
                <c:pt idx="16">
                  <c:v>4.187650527773318</c:v>
                </c:pt>
                <c:pt idx="17">
                  <c:v>4.187650527773318</c:v>
                </c:pt>
              </c:numCache>
            </c:numRef>
          </c:val>
          <c:smooth val="1"/>
          <c:extLst>
            <c:ext xmlns:c16="http://schemas.microsoft.com/office/drawing/2014/chart" uri="{C3380CC4-5D6E-409C-BE32-E72D297353CC}">
              <c16:uniqueId val="{00000000-A9E8-48AE-A70D-D69377DA970C}"/>
            </c:ext>
          </c:extLst>
        </c:ser>
        <c:ser>
          <c:idx val="1"/>
          <c:order val="1"/>
          <c:tx>
            <c:v>Thu nhập cần có</c:v>
          </c:tx>
          <c:spPr>
            <a:ln w="31750" cap="rnd">
              <a:solidFill>
                <a:srgbClr val="C00000"/>
              </a:solidFill>
              <a:round/>
            </a:ln>
            <a:effectLst/>
          </c:spPr>
          <c:marker>
            <c:symbol val="none"/>
          </c:marker>
          <c:cat>
            <c:numRef>
              <c:extLst>
                <c:ext xmlns:c15="http://schemas.microsoft.com/office/drawing/2012/chart" uri="{02D57815-91ED-43cb-92C2-25804820EDAC}">
                  <c15:fullRef>
                    <c15:sqref>'Mục tiêu tài chính'!$F$107:$F$145</c15:sqref>
                  </c15:fullRef>
                </c:ext>
              </c:extLst>
              <c:f>'Mục tiêu tài chính'!$F$107:$F$124</c:f>
              <c:numCache>
                <c:formatCode>General</c:formatCode>
                <c:ptCount val="18"/>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numCache>
            </c:numRef>
          </c:cat>
          <c:val>
            <c:numRef>
              <c:extLst>
                <c:ext xmlns:c15="http://schemas.microsoft.com/office/drawing/2012/chart" uri="{02D57815-91ED-43cb-92C2-25804820EDAC}">
                  <c15:fullRef>
                    <c15:sqref>'Mục tiêu tài chính'!$AB$107:$AB$145</c15:sqref>
                  </c15:fullRef>
                </c:ext>
              </c:extLst>
              <c:f>'Mục tiêu tài chính'!$AB$107:$AB$124</c:f>
              <c:numCache>
                <c:formatCode>_(* #,##0.0_);_(* \(#,##0.0\);_(* "-"??_);_(@_)</c:formatCode>
                <c:ptCount val="18"/>
                <c:pt idx="0">
                  <c:v>6.402201095714835</c:v>
                </c:pt>
                <c:pt idx="1">
                  <c:v>10.418670092718552</c:v>
                </c:pt>
                <c:pt idx="2">
                  <c:v>17.670088107119035</c:v>
                </c:pt>
                <c:pt idx="3">
                  <c:v>17.670088107119035</c:v>
                </c:pt>
                <c:pt idx="4">
                  <c:v>11.267887011404198</c:v>
                </c:pt>
                <c:pt idx="5">
                  <c:v>28.502822755933906</c:v>
                </c:pt>
                <c:pt idx="6">
                  <c:v>28.502822755933906</c:v>
                </c:pt>
                <c:pt idx="7">
                  <c:v>30.015592065352571</c:v>
                </c:pt>
                <c:pt idx="8">
                  <c:v>32.643167510996079</c:v>
                </c:pt>
                <c:pt idx="9">
                  <c:v>32.643167510996079</c:v>
                </c:pt>
                <c:pt idx="10">
                  <c:v>15.40823176646637</c:v>
                </c:pt>
                <c:pt idx="11">
                  <c:v>15.40823176646637</c:v>
                </c:pt>
                <c:pt idx="12">
                  <c:v>15.40823176646637</c:v>
                </c:pt>
                <c:pt idx="13">
                  <c:v>15.40823176646637</c:v>
                </c:pt>
                <c:pt idx="14">
                  <c:v>17.720544333833775</c:v>
                </c:pt>
                <c:pt idx="15">
                  <c:v>10.469126319433295</c:v>
                </c:pt>
                <c:pt idx="16">
                  <c:v>10.469126319433295</c:v>
                </c:pt>
                <c:pt idx="17">
                  <c:v>10.469126319433295</c:v>
                </c:pt>
              </c:numCache>
            </c:numRef>
          </c:val>
          <c:smooth val="1"/>
          <c:extLst>
            <c:ext xmlns:c16="http://schemas.microsoft.com/office/drawing/2014/chart" uri="{C3380CC4-5D6E-409C-BE32-E72D297353CC}">
              <c16:uniqueId val="{00000001-A9E8-48AE-A70D-D69377DA970C}"/>
            </c:ext>
          </c:extLst>
        </c:ser>
        <c:dLbls>
          <c:showLegendKey val="0"/>
          <c:showVal val="0"/>
          <c:showCatName val="0"/>
          <c:showSerName val="0"/>
          <c:showPercent val="0"/>
          <c:showBubbleSize val="0"/>
        </c:dLbls>
        <c:marker val="1"/>
        <c:smooth val="0"/>
        <c:axId val="202185344"/>
        <c:axId val="202192000"/>
      </c:lineChart>
      <c:lineChart>
        <c:grouping val="stacked"/>
        <c:varyColors val="0"/>
        <c:ser>
          <c:idx val="2"/>
          <c:order val="2"/>
          <c:tx>
            <c:v>Mức sinh lời trung bình ước tính</c:v>
          </c:tx>
          <c:spPr>
            <a:ln w="57150">
              <a:noFill/>
            </a:ln>
          </c:spPr>
          <c:marker>
            <c:symbol val="circle"/>
            <c:size val="6"/>
            <c:spPr>
              <a:solidFill>
                <a:schemeClr val="accent1"/>
              </a:solidFill>
              <a:ln w="28575">
                <a:noFill/>
              </a:ln>
              <a:effectLst/>
            </c:spPr>
          </c:marker>
          <c:cat>
            <c:numRef>
              <c:extLst>
                <c:ext xmlns:c15="http://schemas.microsoft.com/office/drawing/2012/chart" uri="{02D57815-91ED-43cb-92C2-25804820EDAC}">
                  <c15:fullRef>
                    <c15:sqref>'Mục tiêu tài chính'!$F$107:$F$145</c15:sqref>
                  </c15:fullRef>
                </c:ext>
              </c:extLst>
              <c:f>'Mục tiêu tài chính'!$F$107:$F$124</c:f>
              <c:numCache>
                <c:formatCode>General</c:formatCode>
                <c:ptCount val="18"/>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51</c:v>
                </c:pt>
                <c:pt idx="19">
                  <c:v>52</c:v>
                </c:pt>
                <c:pt idx="20">
                  <c:v>53</c:v>
                </c:pt>
                <c:pt idx="21">
                  <c:v>54</c:v>
                </c:pt>
                <c:pt idx="22">
                  <c:v>55</c:v>
                </c:pt>
                <c:pt idx="23">
                  <c:v>56</c:v>
                </c:pt>
                <c:pt idx="24">
                  <c:v>57</c:v>
                </c:pt>
                <c:pt idx="25">
                  <c:v>58</c:v>
                </c:pt>
                <c:pt idx="26">
                  <c:v>59</c:v>
                </c:pt>
              </c:numCache>
            </c:numRef>
          </c:cat>
          <c:val>
            <c:numRef>
              <c:extLst>
                <c:ext xmlns:c15="http://schemas.microsoft.com/office/drawing/2012/chart" uri="{02D57815-91ED-43cb-92C2-25804820EDAC}">
                  <c15:fullRef>
                    <c15:sqref>'Mục tiêu tài chính'!$V$221:$V$250</c15:sqref>
                  </c15:fullRef>
                </c:ext>
              </c:extLst>
              <c:f>'Mục tiêu tài chính'!$V$221:$V$238</c:f>
              <c:numCache>
                <c:formatCode>0.00%</c:formatCode>
                <c:ptCount val="18"/>
                <c:pt idx="0">
                  <c:v>8.9433416689392836E-2</c:v>
                </c:pt>
                <c:pt idx="1">
                  <c:v>9.232706686149586E-2</c:v>
                </c:pt>
                <c:pt idx="2">
                  <c:v>0.10117646304053018</c:v>
                </c:pt>
                <c:pt idx="3">
                  <c:v>0.10517352201297468</c:v>
                </c:pt>
                <c:pt idx="4">
                  <c:v>0.11591821394963578</c:v>
                </c:pt>
                <c:pt idx="5">
                  <c:v>0.11061135567806017</c:v>
                </c:pt>
                <c:pt idx="6">
                  <c:v>0.10840716879169857</c:v>
                </c:pt>
                <c:pt idx="7">
                  <c:v>0.10742577620541451</c:v>
                </c:pt>
                <c:pt idx="8">
                  <c:v>0.10616250414806749</c:v>
                </c:pt>
                <c:pt idx="9">
                  <c:v>0.10513459556565811</c:v>
                </c:pt>
                <c:pt idx="10">
                  <c:v>0.12276681663446692</c:v>
                </c:pt>
                <c:pt idx="11">
                  <c:v>0.12228731207191701</c:v>
                </c:pt>
                <c:pt idx="12">
                  <c:v>0.12204940512601828</c:v>
                </c:pt>
                <c:pt idx="13">
                  <c:v>0.12198167227277902</c:v>
                </c:pt>
                <c:pt idx="14">
                  <c:v>0.12203683109021367</c:v>
                </c:pt>
                <c:pt idx="15">
                  <c:v>9.9512302495158633E-2</c:v>
                </c:pt>
                <c:pt idx="16">
                  <c:v>9.9712859592053393E-2</c:v>
                </c:pt>
                <c:pt idx="17">
                  <c:v>0.10001235998959111</c:v>
                </c:pt>
              </c:numCache>
            </c:numRef>
          </c:val>
          <c:smooth val="1"/>
          <c:extLst>
            <c:ext xmlns:c16="http://schemas.microsoft.com/office/drawing/2014/chart" uri="{C3380CC4-5D6E-409C-BE32-E72D297353CC}">
              <c16:uniqueId val="{00000002-A9E8-48AE-A70D-D69377DA970C}"/>
            </c:ext>
          </c:extLst>
        </c:ser>
        <c:dLbls>
          <c:showLegendKey val="0"/>
          <c:showVal val="0"/>
          <c:showCatName val="0"/>
          <c:showSerName val="0"/>
          <c:showPercent val="0"/>
          <c:showBubbleSize val="0"/>
        </c:dLbls>
        <c:marker val="1"/>
        <c:smooth val="0"/>
        <c:axId val="202200192"/>
        <c:axId val="202193920"/>
      </c:lineChart>
      <c:catAx>
        <c:axId val="202185344"/>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Tuổi</a:t>
                </a:r>
              </a:p>
            </c:rich>
          </c:tx>
          <c:overlay val="0"/>
          <c:spPr>
            <a:noFill/>
            <a:ln>
              <a:noFill/>
            </a:ln>
            <a:effectLst/>
          </c:spPr>
        </c:title>
        <c:numFmt formatCode="General" sourceLinked="1"/>
        <c:majorTickMark val="in"/>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02192000"/>
        <c:crosses val="autoZero"/>
        <c:auto val="1"/>
        <c:lblAlgn val="ctr"/>
        <c:lblOffset val="100"/>
        <c:tickLblSkip val="2"/>
        <c:noMultiLvlLbl val="0"/>
      </c:catAx>
      <c:valAx>
        <c:axId val="202192000"/>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Số tiền</a:t>
                </a:r>
              </a:p>
            </c:rich>
          </c:tx>
          <c:overlay val="0"/>
          <c:spPr>
            <a:noFill/>
            <a:ln>
              <a:noFill/>
            </a:ln>
            <a:effectLst/>
          </c:spPr>
        </c:title>
        <c:numFmt formatCode="#,##0" sourceLinked="0"/>
        <c:majorTickMark val="in"/>
        <c:minorTickMark val="none"/>
        <c:tickLblPos val="nextTo"/>
        <c:spPr>
          <a:noFill/>
          <a:ln>
            <a:solidFill>
              <a:schemeClr val="accent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02185344"/>
        <c:crosses val="autoZero"/>
        <c:crossBetween val="between"/>
      </c:valAx>
      <c:valAx>
        <c:axId val="202193920"/>
        <c:scaling>
          <c:orientation val="minMax"/>
        </c:scaling>
        <c:delete val="0"/>
        <c:axPos val="r"/>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Mức sinh lời ước tính</a:t>
                </a:r>
              </a:p>
            </c:rich>
          </c:tx>
          <c:layout>
            <c:manualLayout>
              <c:xMode val="edge"/>
              <c:yMode val="edge"/>
              <c:x val="0.94548016056816431"/>
              <c:y val="0.22823235637212017"/>
            </c:manualLayout>
          </c:layout>
          <c:overlay val="0"/>
          <c:spPr>
            <a:noFill/>
            <a:ln>
              <a:noFill/>
            </a:ln>
            <a:effectLst/>
          </c:spPr>
        </c:title>
        <c:numFmt formatCode="0.0%" sourceLinked="0"/>
        <c:majorTickMark val="in"/>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200192"/>
        <c:crosses val="max"/>
        <c:crossBetween val="between"/>
      </c:valAx>
      <c:catAx>
        <c:axId val="202200192"/>
        <c:scaling>
          <c:orientation val="minMax"/>
        </c:scaling>
        <c:delete val="1"/>
        <c:axPos val="b"/>
        <c:numFmt formatCode="General" sourceLinked="1"/>
        <c:majorTickMark val="out"/>
        <c:minorTickMark val="none"/>
        <c:tickLblPos val="nextTo"/>
        <c:crossAx val="202193920"/>
        <c:crosses val="autoZero"/>
        <c:auto val="1"/>
        <c:lblAlgn val="ctr"/>
        <c:lblOffset val="100"/>
        <c:noMultiLvlLbl val="0"/>
      </c:catAx>
      <c:spPr>
        <a:noFill/>
        <a:ln>
          <a:noFill/>
        </a:ln>
        <a:effectLst/>
      </c:spPr>
    </c:plotArea>
    <c:legend>
      <c:legendPos val="b"/>
      <c:layout>
        <c:manualLayout>
          <c:xMode val="edge"/>
          <c:yMode val="edge"/>
          <c:x val="0.1480411811155444"/>
          <c:y val="0.89004520268299792"/>
          <c:w val="0.70536824033168055"/>
          <c:h val="8.2177019539224266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pieChart>
        <c:varyColors val="1"/>
        <c:ser>
          <c:idx val="0"/>
          <c:order val="0"/>
          <c:dPt>
            <c:idx val="0"/>
            <c:bubble3D val="0"/>
            <c:spPr>
              <a:solidFill>
                <a:schemeClr val="accent1">
                  <a:tint val="46000"/>
                </a:schemeClr>
              </a:solidFill>
              <a:ln w="19050">
                <a:solidFill>
                  <a:schemeClr val="lt1"/>
                </a:solidFill>
              </a:ln>
              <a:effectLst/>
            </c:spPr>
            <c:extLst>
              <c:ext xmlns:c16="http://schemas.microsoft.com/office/drawing/2014/chart" uri="{C3380CC4-5D6E-409C-BE32-E72D297353CC}">
                <c16:uniqueId val="{00000001-BD4A-4BB7-99F6-4A9DFC19AC21}"/>
              </c:ext>
            </c:extLst>
          </c:dPt>
          <c:dPt>
            <c:idx val="1"/>
            <c:bubble3D val="0"/>
            <c:spPr>
              <a:solidFill>
                <a:schemeClr val="accent1">
                  <a:tint val="62000"/>
                </a:schemeClr>
              </a:solidFill>
              <a:ln w="19050">
                <a:solidFill>
                  <a:schemeClr val="lt1"/>
                </a:solidFill>
              </a:ln>
              <a:effectLst/>
            </c:spPr>
            <c:extLst>
              <c:ext xmlns:c16="http://schemas.microsoft.com/office/drawing/2014/chart" uri="{C3380CC4-5D6E-409C-BE32-E72D297353CC}">
                <c16:uniqueId val="{0000000B-BD4A-4BB7-99F6-4A9DFC19AC21}"/>
              </c:ext>
            </c:extLst>
          </c:dPt>
          <c:dPt>
            <c:idx val="2"/>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D-BD4A-4BB7-99F6-4A9DFC19AC21}"/>
              </c:ext>
            </c:extLst>
          </c:dPt>
          <c:dPt>
            <c:idx val="3"/>
            <c:bubble3D val="0"/>
            <c:spPr>
              <a:solidFill>
                <a:schemeClr val="accent1">
                  <a:tint val="93000"/>
                </a:schemeClr>
              </a:solidFill>
              <a:ln w="19050">
                <a:solidFill>
                  <a:schemeClr val="lt1"/>
                </a:solidFill>
              </a:ln>
              <a:effectLst/>
            </c:spPr>
            <c:extLst>
              <c:ext xmlns:c16="http://schemas.microsoft.com/office/drawing/2014/chart" uri="{C3380CC4-5D6E-409C-BE32-E72D297353CC}">
                <c16:uniqueId val="{0000000F-BD4A-4BB7-99F6-4A9DFC19AC21}"/>
              </c:ext>
            </c:extLst>
          </c:dPt>
          <c:dPt>
            <c:idx val="4"/>
            <c:bubble3D val="0"/>
            <c:spPr>
              <a:solidFill>
                <a:schemeClr val="accent1">
                  <a:shade val="92000"/>
                </a:schemeClr>
              </a:solidFill>
              <a:ln w="19050">
                <a:solidFill>
                  <a:schemeClr val="lt1"/>
                </a:solidFill>
              </a:ln>
              <a:effectLst/>
            </c:spPr>
            <c:extLst>
              <c:ext xmlns:c16="http://schemas.microsoft.com/office/drawing/2014/chart" uri="{C3380CC4-5D6E-409C-BE32-E72D297353CC}">
                <c16:uniqueId val="{00000011-BD4A-4BB7-99F6-4A9DFC19AC21}"/>
              </c:ext>
            </c:extLst>
          </c:dPt>
          <c:dPt>
            <c:idx val="5"/>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F-7339-45B1-A93B-CFB80434D36B}"/>
              </c:ext>
            </c:extLst>
          </c:dPt>
          <c:dPt>
            <c:idx val="6"/>
            <c:bubble3D val="0"/>
            <c:spPr>
              <a:solidFill>
                <a:schemeClr val="accent1">
                  <a:shade val="61000"/>
                </a:schemeClr>
              </a:solidFill>
              <a:ln w="19050">
                <a:solidFill>
                  <a:schemeClr val="lt1"/>
                </a:solidFill>
              </a:ln>
              <a:effectLst/>
            </c:spPr>
            <c:extLst>
              <c:ext xmlns:c16="http://schemas.microsoft.com/office/drawing/2014/chart" uri="{C3380CC4-5D6E-409C-BE32-E72D297353CC}">
                <c16:uniqueId val="{0000000D-D14C-4539-ABE3-5C73A8BB1A4E}"/>
              </c:ext>
            </c:extLst>
          </c:dPt>
          <c:dPt>
            <c:idx val="7"/>
            <c:bubble3D val="0"/>
            <c:spPr>
              <a:solidFill>
                <a:schemeClr val="accent1">
                  <a:shade val="45000"/>
                </a:schemeClr>
              </a:solidFill>
              <a:ln w="19050">
                <a:solidFill>
                  <a:schemeClr val="lt1"/>
                </a:solidFill>
              </a:ln>
              <a:effectLst/>
            </c:spPr>
            <c:extLst>
              <c:ext xmlns:c16="http://schemas.microsoft.com/office/drawing/2014/chart" uri="{C3380CC4-5D6E-409C-BE32-E72D297353CC}">
                <c16:uniqueId val="{0000000F-D14C-4539-ABE3-5C73A8BB1A4E}"/>
              </c:ext>
            </c:extLst>
          </c:dPt>
          <c:dLbls>
            <c:dLbl>
              <c:idx val="0"/>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D4A-4BB7-99F6-4A9DFC19AC2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showLeaderLines val="0"/>
            <c:extLst>
              <c:ext xmlns:c15="http://schemas.microsoft.com/office/drawing/2012/chart" uri="{CE6537A1-D6FC-4f65-9D91-7224C49458BB}"/>
            </c:extLst>
          </c:dLbls>
          <c:cat>
            <c:strRef>
              <c:f>('Mục tiêu bản thân'!$M$9,'Mục tiêu bản thân'!$M$14:$M$20)</c:f>
              <c:strCache>
                <c:ptCount val="8"/>
                <c:pt idx="0">
                  <c:v>Vay mua chung cư</c:v>
                </c:pt>
                <c:pt idx="1">
                  <c:v>Du lịch xuyên Thái Lan</c:v>
                </c:pt>
                <c:pt idx="2">
                  <c:v>Quỹ dự phòng tài chính</c:v>
                </c:pt>
                <c:pt idx="3">
                  <c:v>Đám cưới</c:v>
                </c:pt>
                <c:pt idx="4">
                  <c:v>Khởi nghiệp</c:v>
                </c:pt>
                <c:pt idx="5">
                  <c:v>Mua chung cư </c:v>
                </c:pt>
                <c:pt idx="6">
                  <c:v>Cho con đi học đại học</c:v>
                </c:pt>
                <c:pt idx="7">
                  <c:v>Hưu trí</c:v>
                </c:pt>
              </c:strCache>
              <c:extLst/>
            </c:strRef>
          </c:cat>
          <c:val>
            <c:numRef>
              <c:f>('Mục tiêu bản thân'!$S$9,'Mục tiêu bản thân'!$S$14:$S$20)</c:f>
              <c:numCache>
                <c:formatCode>_(* #,##0_);_(* \(#,##0\);_(* "-"??_);_(@_)</c:formatCode>
                <c:ptCount val="8"/>
                <c:pt idx="0">
                  <c:v>500</c:v>
                </c:pt>
                <c:pt idx="1">
                  <c:v>50</c:v>
                </c:pt>
                <c:pt idx="2">
                  <c:v>100</c:v>
                </c:pt>
                <c:pt idx="3">
                  <c:v>200</c:v>
                </c:pt>
                <c:pt idx="4">
                  <c:v>500</c:v>
                </c:pt>
                <c:pt idx="5">
                  <c:v>1500</c:v>
                </c:pt>
                <c:pt idx="6">
                  <c:v>500</c:v>
                </c:pt>
                <c:pt idx="7">
                  <c:v>500</c:v>
                </c:pt>
              </c:numCache>
              <c:extLst/>
            </c:numRef>
          </c:val>
          <c:extLst>
            <c:ext xmlns:c16="http://schemas.microsoft.com/office/drawing/2014/chart" uri="{C3380CC4-5D6E-409C-BE32-E72D297353CC}">
              <c16:uniqueId val="{00000012-BD4A-4BB7-99F6-4A9DFC19AC21}"/>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9935993050581904E-2"/>
          <c:y val="0"/>
          <c:w val="0.95273264255171286"/>
          <c:h val="0.96424065553631444"/>
        </c:manualLayout>
      </c:layout>
      <c:barChart>
        <c:barDir val="col"/>
        <c:grouping val="clustered"/>
        <c:varyColors val="0"/>
        <c:ser>
          <c:idx val="0"/>
          <c:order val="0"/>
          <c:tx>
            <c:v>Thu nhập</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Dashboard!$F$64:$Q$64</c:f>
              <c:strCache>
                <c:ptCount val="12"/>
                <c:pt idx="0">
                  <c:v>Tháng 1</c:v>
                </c:pt>
                <c:pt idx="1">
                  <c:v>Tháng 2</c:v>
                </c:pt>
                <c:pt idx="2">
                  <c:v>Tháng 3</c:v>
                </c:pt>
                <c:pt idx="3">
                  <c:v>Tháng 4</c:v>
                </c:pt>
                <c:pt idx="4">
                  <c:v>Tháng 5</c:v>
                </c:pt>
                <c:pt idx="5">
                  <c:v>Tháng 6</c:v>
                </c:pt>
                <c:pt idx="6">
                  <c:v>Tháng 7</c:v>
                </c:pt>
                <c:pt idx="7">
                  <c:v>Tháng 8</c:v>
                </c:pt>
                <c:pt idx="8">
                  <c:v>Tháng 9</c:v>
                </c:pt>
                <c:pt idx="9">
                  <c:v>Tháng 10</c:v>
                </c:pt>
                <c:pt idx="10">
                  <c:v>Tháng 11</c:v>
                </c:pt>
                <c:pt idx="11">
                  <c:v>Tháng 12</c:v>
                </c:pt>
              </c:strCache>
            </c:strRef>
          </c:cat>
          <c:val>
            <c:numRef>
              <c:f>Dashboard!$F$73:$Q$73</c:f>
              <c:numCache>
                <c:formatCode>General</c:formatCode>
                <c:ptCount val="12"/>
                <c:pt idx="0">
                  <c:v>24</c:v>
                </c:pt>
                <c:pt idx="1">
                  <c:v>29.5</c:v>
                </c:pt>
                <c:pt idx="2">
                  <c:v>23.7</c:v>
                </c:pt>
                <c:pt idx="3">
                  <c:v>23.9</c:v>
                </c:pt>
                <c:pt idx="4">
                  <c:v>32.799999999999997</c:v>
                </c:pt>
                <c:pt idx="5">
                  <c:v>27.5</c:v>
                </c:pt>
                <c:pt idx="6">
                  <c:v>29</c:v>
                </c:pt>
                <c:pt idx="7">
                  <c:v>25</c:v>
                </c:pt>
                <c:pt idx="8">
                  <c:v>27</c:v>
                </c:pt>
                <c:pt idx="9">
                  <c:v>28</c:v>
                </c:pt>
                <c:pt idx="10">
                  <c:v>24</c:v>
                </c:pt>
                <c:pt idx="11">
                  <c:v>35</c:v>
                </c:pt>
              </c:numCache>
            </c:numRef>
          </c:val>
          <c:extLst>
            <c:ext xmlns:c16="http://schemas.microsoft.com/office/drawing/2014/chart" uri="{C3380CC4-5D6E-409C-BE32-E72D297353CC}">
              <c16:uniqueId val="{00000025-523A-4862-970F-CCAE43297E45}"/>
            </c:ext>
          </c:extLst>
        </c:ser>
        <c:ser>
          <c:idx val="1"/>
          <c:order val="1"/>
          <c:tx>
            <c:v>Chi phí</c:v>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Dashboard!$F$64:$Q$64</c:f>
              <c:strCache>
                <c:ptCount val="12"/>
                <c:pt idx="0">
                  <c:v>Tháng 1</c:v>
                </c:pt>
                <c:pt idx="1">
                  <c:v>Tháng 2</c:v>
                </c:pt>
                <c:pt idx="2">
                  <c:v>Tháng 3</c:v>
                </c:pt>
                <c:pt idx="3">
                  <c:v>Tháng 4</c:v>
                </c:pt>
                <c:pt idx="4">
                  <c:v>Tháng 5</c:v>
                </c:pt>
                <c:pt idx="5">
                  <c:v>Tháng 6</c:v>
                </c:pt>
                <c:pt idx="6">
                  <c:v>Tháng 7</c:v>
                </c:pt>
                <c:pt idx="7">
                  <c:v>Tháng 8</c:v>
                </c:pt>
                <c:pt idx="8">
                  <c:v>Tháng 9</c:v>
                </c:pt>
                <c:pt idx="9">
                  <c:v>Tháng 10</c:v>
                </c:pt>
                <c:pt idx="10">
                  <c:v>Tháng 11</c:v>
                </c:pt>
                <c:pt idx="11">
                  <c:v>Tháng 12</c:v>
                </c:pt>
              </c:strCache>
            </c:strRef>
          </c:cat>
          <c:val>
            <c:numRef>
              <c:f>Dashboard!$F$91:$Q$91</c:f>
              <c:numCache>
                <c:formatCode>General</c:formatCode>
                <c:ptCount val="12"/>
                <c:pt idx="0">
                  <c:v>17.5</c:v>
                </c:pt>
                <c:pt idx="1">
                  <c:v>19.2</c:v>
                </c:pt>
                <c:pt idx="2">
                  <c:v>19.25</c:v>
                </c:pt>
                <c:pt idx="3">
                  <c:v>17.25</c:v>
                </c:pt>
                <c:pt idx="4">
                  <c:v>16.600000000000001</c:v>
                </c:pt>
                <c:pt idx="5">
                  <c:v>14.95</c:v>
                </c:pt>
                <c:pt idx="6">
                  <c:v>18.25</c:v>
                </c:pt>
                <c:pt idx="7">
                  <c:v>22.55</c:v>
                </c:pt>
                <c:pt idx="8">
                  <c:v>17.450000000000003</c:v>
                </c:pt>
                <c:pt idx="9">
                  <c:v>17.95</c:v>
                </c:pt>
                <c:pt idx="10">
                  <c:v>17.75</c:v>
                </c:pt>
                <c:pt idx="11">
                  <c:v>25.05</c:v>
                </c:pt>
              </c:numCache>
            </c:numRef>
          </c:val>
          <c:extLst>
            <c:ext xmlns:c16="http://schemas.microsoft.com/office/drawing/2014/chart" uri="{C3380CC4-5D6E-409C-BE32-E72D297353CC}">
              <c16:uniqueId val="{00000026-523A-4862-970F-CCAE43297E45}"/>
            </c:ext>
          </c:extLst>
        </c:ser>
        <c:dLbls>
          <c:showLegendKey val="0"/>
          <c:showVal val="0"/>
          <c:showCatName val="0"/>
          <c:showSerName val="0"/>
          <c:showPercent val="0"/>
          <c:showBubbleSize val="0"/>
        </c:dLbls>
        <c:gapWidth val="50"/>
        <c:axId val="201998720"/>
        <c:axId val="202000256"/>
      </c:barChart>
      <c:lineChart>
        <c:grouping val="standard"/>
        <c:varyColors val="0"/>
        <c:ser>
          <c:idx val="2"/>
          <c:order val="2"/>
          <c:tx>
            <c:v>Tiết kiệm</c:v>
          </c:tx>
          <c:spPr>
            <a:ln w="28575" cap="rnd">
              <a:solidFill>
                <a:srgbClr val="C00000"/>
              </a:solidFill>
              <a:round/>
            </a:ln>
            <a:effectLst/>
          </c:spPr>
          <c:marker>
            <c:symbol val="none"/>
          </c:marker>
          <c:cat>
            <c:strRef>
              <c:f>Dashboard!$F$64:$Q$64</c:f>
              <c:strCache>
                <c:ptCount val="12"/>
                <c:pt idx="0">
                  <c:v>Tháng 1</c:v>
                </c:pt>
                <c:pt idx="1">
                  <c:v>Tháng 2</c:v>
                </c:pt>
                <c:pt idx="2">
                  <c:v>Tháng 3</c:v>
                </c:pt>
                <c:pt idx="3">
                  <c:v>Tháng 4</c:v>
                </c:pt>
                <c:pt idx="4">
                  <c:v>Tháng 5</c:v>
                </c:pt>
                <c:pt idx="5">
                  <c:v>Tháng 6</c:v>
                </c:pt>
                <c:pt idx="6">
                  <c:v>Tháng 7</c:v>
                </c:pt>
                <c:pt idx="7">
                  <c:v>Tháng 8</c:v>
                </c:pt>
                <c:pt idx="8">
                  <c:v>Tháng 9</c:v>
                </c:pt>
                <c:pt idx="9">
                  <c:v>Tháng 10</c:v>
                </c:pt>
                <c:pt idx="10">
                  <c:v>Tháng 11</c:v>
                </c:pt>
                <c:pt idx="11">
                  <c:v>Tháng 12</c:v>
                </c:pt>
              </c:strCache>
            </c:strRef>
          </c:cat>
          <c:val>
            <c:numRef>
              <c:f>Dashboard!$F$96:$Q$96</c:f>
              <c:numCache>
                <c:formatCode>General</c:formatCode>
                <c:ptCount val="12"/>
                <c:pt idx="0">
                  <c:v>6.5</c:v>
                </c:pt>
                <c:pt idx="1">
                  <c:v>10.3</c:v>
                </c:pt>
                <c:pt idx="2">
                  <c:v>4.4499999999999993</c:v>
                </c:pt>
                <c:pt idx="3">
                  <c:v>6.6499999999999986</c:v>
                </c:pt>
                <c:pt idx="4">
                  <c:v>16.199999999999996</c:v>
                </c:pt>
                <c:pt idx="5">
                  <c:v>12.55</c:v>
                </c:pt>
                <c:pt idx="6">
                  <c:v>10.75</c:v>
                </c:pt>
                <c:pt idx="7">
                  <c:v>2.4499999999999993</c:v>
                </c:pt>
                <c:pt idx="8">
                  <c:v>9.5499999999999972</c:v>
                </c:pt>
                <c:pt idx="9">
                  <c:v>10.050000000000001</c:v>
                </c:pt>
                <c:pt idx="10">
                  <c:v>6.25</c:v>
                </c:pt>
                <c:pt idx="11">
                  <c:v>9.9499999999999993</c:v>
                </c:pt>
              </c:numCache>
            </c:numRef>
          </c:val>
          <c:smooth val="1"/>
          <c:extLst>
            <c:ext xmlns:c16="http://schemas.microsoft.com/office/drawing/2014/chart" uri="{C3380CC4-5D6E-409C-BE32-E72D297353CC}">
              <c16:uniqueId val="{00000027-523A-4862-970F-CCAE43297E45}"/>
            </c:ext>
          </c:extLst>
        </c:ser>
        <c:dLbls>
          <c:showLegendKey val="0"/>
          <c:showVal val="0"/>
          <c:showCatName val="0"/>
          <c:showSerName val="0"/>
          <c:showPercent val="0"/>
          <c:showBubbleSize val="0"/>
        </c:dLbls>
        <c:marker val="1"/>
        <c:smooth val="0"/>
        <c:axId val="201998720"/>
        <c:axId val="202000256"/>
      </c:lineChart>
      <c:catAx>
        <c:axId val="20199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000256"/>
        <c:crosses val="autoZero"/>
        <c:auto val="1"/>
        <c:lblAlgn val="ctr"/>
        <c:lblOffset val="100"/>
        <c:tickLblSkip val="2"/>
        <c:noMultiLvlLbl val="0"/>
      </c:catAx>
      <c:valAx>
        <c:axId val="202000256"/>
        <c:scaling>
          <c:orientation val="minMax"/>
        </c:scaling>
        <c:delete val="1"/>
        <c:axPos val="l"/>
        <c:numFmt formatCode="General" sourceLinked="1"/>
        <c:majorTickMark val="out"/>
        <c:minorTickMark val="none"/>
        <c:tickLblPos val="nextTo"/>
        <c:crossAx val="201998720"/>
        <c:crosses val="autoZero"/>
        <c:crossBetween val="between"/>
      </c:valAx>
      <c:spPr>
        <a:noFill/>
        <a:ln>
          <a:noFill/>
        </a:ln>
        <a:effectLst/>
      </c:spPr>
    </c:plotArea>
    <c:legend>
      <c:legendPos val="t"/>
      <c:layout>
        <c:manualLayout>
          <c:xMode val="edge"/>
          <c:yMode val="edge"/>
          <c:x val="0.34108224383728564"/>
          <c:y val="4.3413371181588903E-2"/>
          <c:w val="0.33220478898970801"/>
          <c:h val="8.2783015807330232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300" b="1"/>
              <a:t>Chi đầu tư phát triển bản thân</a:t>
            </a:r>
          </a:p>
        </c:rich>
      </c:tx>
      <c:layout>
        <c:manualLayout>
          <c:xMode val="edge"/>
          <c:yMode val="edge"/>
          <c:x val="0.31463357664841574"/>
          <c:y val="4.7120746871525551E-2"/>
        </c:manualLayout>
      </c:layout>
      <c:overlay val="0"/>
      <c:spPr>
        <a:noFill/>
        <a:ln>
          <a:noFill/>
        </a:ln>
        <a:effectLst/>
      </c:spPr>
    </c:title>
    <c:autoTitleDeleted val="0"/>
    <c:plotArea>
      <c:layout>
        <c:manualLayout>
          <c:layoutTarget val="inner"/>
          <c:xMode val="edge"/>
          <c:yMode val="edge"/>
          <c:x val="1.7460319642584633E-2"/>
          <c:y val="0.13364548934450965"/>
          <c:w val="0.96507936071483069"/>
          <c:h val="0.66850481086237901"/>
        </c:manualLayout>
      </c:layout>
      <c:barChart>
        <c:barDir val="col"/>
        <c:grouping val="stacked"/>
        <c:varyColors val="0"/>
        <c:ser>
          <c:idx val="0"/>
          <c:order val="0"/>
          <c:tx>
            <c:strRef>
              <c:f>Dashboard!$E$99</c:f>
              <c:strCache>
                <c:ptCount val="1"/>
                <c:pt idx="0">
                  <c:v>Mua sách</c:v>
                </c:pt>
              </c:strCache>
            </c:strRef>
          </c:tx>
          <c:spPr>
            <a:solidFill>
              <a:schemeClr val="accent1"/>
            </a:solidFill>
            <a:ln>
              <a:noFill/>
            </a:ln>
            <a:effectLst/>
          </c:spPr>
          <c:invertIfNegative val="0"/>
          <c:cat>
            <c:strRef>
              <c:f>Dashboard!$F$98:$Q$98</c:f>
              <c:strCache>
                <c:ptCount val="12"/>
                <c:pt idx="0">
                  <c:v>Tháng 1</c:v>
                </c:pt>
                <c:pt idx="1">
                  <c:v>Tháng 2</c:v>
                </c:pt>
                <c:pt idx="2">
                  <c:v>Tháng 3</c:v>
                </c:pt>
                <c:pt idx="3">
                  <c:v>Tháng 4</c:v>
                </c:pt>
                <c:pt idx="4">
                  <c:v>Tháng 5</c:v>
                </c:pt>
                <c:pt idx="5">
                  <c:v>Tháng 6</c:v>
                </c:pt>
                <c:pt idx="6">
                  <c:v>Tháng 7</c:v>
                </c:pt>
                <c:pt idx="7">
                  <c:v>Tháng 8</c:v>
                </c:pt>
                <c:pt idx="8">
                  <c:v>Tháng 9</c:v>
                </c:pt>
                <c:pt idx="9">
                  <c:v>Tháng 10</c:v>
                </c:pt>
                <c:pt idx="10">
                  <c:v>Tháng 11</c:v>
                </c:pt>
                <c:pt idx="11">
                  <c:v>Tháng 12</c:v>
                </c:pt>
              </c:strCache>
            </c:strRef>
          </c:cat>
          <c:val>
            <c:numRef>
              <c:f>Dashboard!$F$99:$Q$99</c:f>
              <c:numCache>
                <c:formatCode>#,##0.00</c:formatCode>
                <c:ptCount val="12"/>
                <c:pt idx="0">
                  <c:v>0.1</c:v>
                </c:pt>
                <c:pt idx="1">
                  <c:v>0.5</c:v>
                </c:pt>
                <c:pt idx="2">
                  <c:v>0.3</c:v>
                </c:pt>
                <c:pt idx="3">
                  <c:v>0.1</c:v>
                </c:pt>
                <c:pt idx="4">
                  <c:v>0.3</c:v>
                </c:pt>
                <c:pt idx="5">
                  <c:v>0.1</c:v>
                </c:pt>
                <c:pt idx="6">
                  <c:v>0.5</c:v>
                </c:pt>
                <c:pt idx="7">
                  <c:v>0.5</c:v>
                </c:pt>
                <c:pt idx="8">
                  <c:v>0.5</c:v>
                </c:pt>
                <c:pt idx="9">
                  <c:v>1</c:v>
                </c:pt>
                <c:pt idx="10">
                  <c:v>0.5</c:v>
                </c:pt>
                <c:pt idx="11">
                  <c:v>0.5</c:v>
                </c:pt>
              </c:numCache>
            </c:numRef>
          </c:val>
          <c:extLst>
            <c:ext xmlns:c16="http://schemas.microsoft.com/office/drawing/2014/chart" uri="{C3380CC4-5D6E-409C-BE32-E72D297353CC}">
              <c16:uniqueId val="{00000000-D6FA-41BF-8815-1D071BBF8029}"/>
            </c:ext>
          </c:extLst>
        </c:ser>
        <c:ser>
          <c:idx val="1"/>
          <c:order val="1"/>
          <c:tx>
            <c:strRef>
              <c:f>Dashboard!$E$100</c:f>
              <c:strCache>
                <c:ptCount val="1"/>
                <c:pt idx="0">
                  <c:v>Khóa học ngắn hạn</c:v>
                </c:pt>
              </c:strCache>
            </c:strRef>
          </c:tx>
          <c:spPr>
            <a:solidFill>
              <a:schemeClr val="accent2"/>
            </a:solidFill>
            <a:ln>
              <a:noFill/>
            </a:ln>
            <a:effectLst/>
          </c:spPr>
          <c:invertIfNegative val="0"/>
          <c:cat>
            <c:strRef>
              <c:f>Dashboard!$F$98:$Q$98</c:f>
              <c:strCache>
                <c:ptCount val="12"/>
                <c:pt idx="0">
                  <c:v>Tháng 1</c:v>
                </c:pt>
                <c:pt idx="1">
                  <c:v>Tháng 2</c:v>
                </c:pt>
                <c:pt idx="2">
                  <c:v>Tháng 3</c:v>
                </c:pt>
                <c:pt idx="3">
                  <c:v>Tháng 4</c:v>
                </c:pt>
                <c:pt idx="4">
                  <c:v>Tháng 5</c:v>
                </c:pt>
                <c:pt idx="5">
                  <c:v>Tháng 6</c:v>
                </c:pt>
                <c:pt idx="6">
                  <c:v>Tháng 7</c:v>
                </c:pt>
                <c:pt idx="7">
                  <c:v>Tháng 8</c:v>
                </c:pt>
                <c:pt idx="8">
                  <c:v>Tháng 9</c:v>
                </c:pt>
                <c:pt idx="9">
                  <c:v>Tháng 10</c:v>
                </c:pt>
                <c:pt idx="10">
                  <c:v>Tháng 11</c:v>
                </c:pt>
                <c:pt idx="11">
                  <c:v>Tháng 12</c:v>
                </c:pt>
              </c:strCache>
            </c:strRef>
          </c:cat>
          <c:val>
            <c:numRef>
              <c:f>Dashboard!$F$100:$Q$100</c:f>
              <c:numCache>
                <c:formatCode>#,##0.00</c:formatCode>
                <c:ptCount val="12"/>
                <c:pt idx="0">
                  <c:v>1</c:v>
                </c:pt>
                <c:pt idx="1">
                  <c:v>1</c:v>
                </c:pt>
                <c:pt idx="2">
                  <c:v>1.2</c:v>
                </c:pt>
                <c:pt idx="3">
                  <c:v>1.2</c:v>
                </c:pt>
                <c:pt idx="4">
                  <c:v>1.7</c:v>
                </c:pt>
                <c:pt idx="5">
                  <c:v>1</c:v>
                </c:pt>
                <c:pt idx="6">
                  <c:v>0.6</c:v>
                </c:pt>
                <c:pt idx="7">
                  <c:v>2.6</c:v>
                </c:pt>
                <c:pt idx="8">
                  <c:v>0.3</c:v>
                </c:pt>
                <c:pt idx="9">
                  <c:v>1.1000000000000001</c:v>
                </c:pt>
                <c:pt idx="10">
                  <c:v>1</c:v>
                </c:pt>
                <c:pt idx="11">
                  <c:v>1</c:v>
                </c:pt>
              </c:numCache>
            </c:numRef>
          </c:val>
          <c:extLst>
            <c:ext xmlns:c16="http://schemas.microsoft.com/office/drawing/2014/chart" uri="{C3380CC4-5D6E-409C-BE32-E72D297353CC}">
              <c16:uniqueId val="{00000001-D6FA-41BF-8815-1D071BBF8029}"/>
            </c:ext>
          </c:extLst>
        </c:ser>
        <c:dLbls>
          <c:showLegendKey val="0"/>
          <c:showVal val="0"/>
          <c:showCatName val="0"/>
          <c:showSerName val="0"/>
          <c:showPercent val="0"/>
          <c:showBubbleSize val="0"/>
        </c:dLbls>
        <c:gapWidth val="70"/>
        <c:overlap val="100"/>
        <c:axId val="202120192"/>
        <c:axId val="202134272"/>
        <c:extLst>
          <c:ext xmlns:c15="http://schemas.microsoft.com/office/drawing/2012/chart" uri="{02D57815-91ED-43cb-92C2-25804820EDAC}">
            <c15:filteredBarSeries>
              <c15:ser>
                <c:idx val="2"/>
                <c:order val="2"/>
                <c:tx>
                  <c:strRef>
                    <c:extLst>
                      <c:ext uri="{02D57815-91ED-43cb-92C2-25804820EDAC}">
                        <c15:formulaRef>
                          <c15:sqref>Dashboard!$E$101</c15:sqref>
                        </c15:formulaRef>
                      </c:ext>
                    </c:extLst>
                    <c:strCache>
                      <c:ptCount val="1"/>
                      <c:pt idx="0">
                        <c:v>Khóa học dài hạn</c:v>
                      </c:pt>
                    </c:strCache>
                  </c:strRef>
                </c:tx>
                <c:spPr>
                  <a:solidFill>
                    <a:schemeClr val="accent3"/>
                  </a:solidFill>
                  <a:ln>
                    <a:noFill/>
                  </a:ln>
                  <a:effectLst/>
                </c:spPr>
                <c:invertIfNegative val="0"/>
                <c:cat>
                  <c:strRef>
                    <c:extLst>
                      <c:ext uri="{02D57815-91ED-43cb-92C2-25804820EDAC}">
                        <c15:formulaRef>
                          <c15:sqref>Dashboard!$F$98:$Q$98</c15:sqref>
                        </c15:formulaRef>
                      </c:ext>
                    </c:extLst>
                    <c:strCache>
                      <c:ptCount val="12"/>
                      <c:pt idx="0">
                        <c:v>Tháng 1</c:v>
                      </c:pt>
                      <c:pt idx="1">
                        <c:v>Tháng 2</c:v>
                      </c:pt>
                      <c:pt idx="2">
                        <c:v>Tháng 3</c:v>
                      </c:pt>
                      <c:pt idx="3">
                        <c:v>Tháng 4</c:v>
                      </c:pt>
                      <c:pt idx="4">
                        <c:v>Tháng 5</c:v>
                      </c:pt>
                      <c:pt idx="5">
                        <c:v>Tháng 6</c:v>
                      </c:pt>
                      <c:pt idx="6">
                        <c:v>Tháng 7</c:v>
                      </c:pt>
                      <c:pt idx="7">
                        <c:v>Tháng 8</c:v>
                      </c:pt>
                      <c:pt idx="8">
                        <c:v>Tháng 9</c:v>
                      </c:pt>
                      <c:pt idx="9">
                        <c:v>Tháng 10</c:v>
                      </c:pt>
                      <c:pt idx="10">
                        <c:v>Tháng 11</c:v>
                      </c:pt>
                      <c:pt idx="11">
                        <c:v>Tháng 12</c:v>
                      </c:pt>
                    </c:strCache>
                  </c:strRef>
                </c:cat>
                <c:val>
                  <c:numRef>
                    <c:extLst>
                      <c:ext uri="{02D57815-91ED-43cb-92C2-25804820EDAC}">
                        <c15:formulaRef>
                          <c15:sqref>Dashboard!$F$101:$Q$101</c15:sqref>
                        </c15:formulaRef>
                      </c:ext>
                    </c:extLst>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D6FA-41BF-8815-1D071BBF8029}"/>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Dashboard!$E$102</c15:sqref>
                        </c15:formulaRef>
                      </c:ext>
                    </c:extLst>
                    <c:strCache>
                      <c:ptCount val="1"/>
                      <c:pt idx="0">
                        <c:v>#REF!</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Dashboard!$F$98:$Q$98</c15:sqref>
                        </c15:formulaRef>
                      </c:ext>
                    </c:extLst>
                    <c:strCache>
                      <c:ptCount val="12"/>
                      <c:pt idx="0">
                        <c:v>Tháng 1</c:v>
                      </c:pt>
                      <c:pt idx="1">
                        <c:v>Tháng 2</c:v>
                      </c:pt>
                      <c:pt idx="2">
                        <c:v>Tháng 3</c:v>
                      </c:pt>
                      <c:pt idx="3">
                        <c:v>Tháng 4</c:v>
                      </c:pt>
                      <c:pt idx="4">
                        <c:v>Tháng 5</c:v>
                      </c:pt>
                      <c:pt idx="5">
                        <c:v>Tháng 6</c:v>
                      </c:pt>
                      <c:pt idx="6">
                        <c:v>Tháng 7</c:v>
                      </c:pt>
                      <c:pt idx="7">
                        <c:v>Tháng 8</c:v>
                      </c:pt>
                      <c:pt idx="8">
                        <c:v>Tháng 9</c:v>
                      </c:pt>
                      <c:pt idx="9">
                        <c:v>Tháng 10</c:v>
                      </c:pt>
                      <c:pt idx="10">
                        <c:v>Tháng 11</c:v>
                      </c:pt>
                      <c:pt idx="11">
                        <c:v>Tháng 12</c:v>
                      </c:pt>
                    </c:strCache>
                  </c:strRef>
                </c:cat>
                <c:val>
                  <c:numRef>
                    <c:extLst xmlns:c15="http://schemas.microsoft.com/office/drawing/2012/chart">
                      <c:ext xmlns:c15="http://schemas.microsoft.com/office/drawing/2012/chart" uri="{02D57815-91ED-43cb-92C2-25804820EDAC}">
                        <c15:formulaRef>
                          <c15:sqref>Dashboard!$F$102:$Q$102</c15:sqref>
                        </c15:formulaRef>
                      </c:ext>
                    </c:extLst>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3-D6FA-41BF-8815-1D071BBF8029}"/>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Dashboard!$E$103</c15:sqref>
                        </c15:formulaRef>
                      </c:ext>
                    </c:extLst>
                    <c:strCache>
                      <c:ptCount val="1"/>
                      <c:pt idx="0">
                        <c:v>Tham gia các buổi diễn thuyết</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Dashboard!$F$98:$Q$98</c15:sqref>
                        </c15:formulaRef>
                      </c:ext>
                    </c:extLst>
                    <c:strCache>
                      <c:ptCount val="12"/>
                      <c:pt idx="0">
                        <c:v>Tháng 1</c:v>
                      </c:pt>
                      <c:pt idx="1">
                        <c:v>Tháng 2</c:v>
                      </c:pt>
                      <c:pt idx="2">
                        <c:v>Tháng 3</c:v>
                      </c:pt>
                      <c:pt idx="3">
                        <c:v>Tháng 4</c:v>
                      </c:pt>
                      <c:pt idx="4">
                        <c:v>Tháng 5</c:v>
                      </c:pt>
                      <c:pt idx="5">
                        <c:v>Tháng 6</c:v>
                      </c:pt>
                      <c:pt idx="6">
                        <c:v>Tháng 7</c:v>
                      </c:pt>
                      <c:pt idx="7">
                        <c:v>Tháng 8</c:v>
                      </c:pt>
                      <c:pt idx="8">
                        <c:v>Tháng 9</c:v>
                      </c:pt>
                      <c:pt idx="9">
                        <c:v>Tháng 10</c:v>
                      </c:pt>
                      <c:pt idx="10">
                        <c:v>Tháng 11</c:v>
                      </c:pt>
                      <c:pt idx="11">
                        <c:v>Tháng 12</c:v>
                      </c:pt>
                    </c:strCache>
                  </c:strRef>
                </c:cat>
                <c:val>
                  <c:numRef>
                    <c:extLst xmlns:c15="http://schemas.microsoft.com/office/drawing/2012/chart">
                      <c:ext xmlns:c15="http://schemas.microsoft.com/office/drawing/2012/chart" uri="{02D57815-91ED-43cb-92C2-25804820EDAC}">
                        <c15:formulaRef>
                          <c15:sqref>Dashboard!$F$103:$Q$103</c15:sqref>
                        </c15:formulaRef>
                      </c:ext>
                    </c:extLst>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4-D6FA-41BF-8815-1D071BBF8029}"/>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Dashboard!$E$104</c15:sqref>
                        </c15:formulaRef>
                      </c:ext>
                    </c:extLst>
                    <c:strCache>
                      <c:ptCount val="1"/>
                      <c:pt idx="0">
                        <c:v>Chi phát triển bản thân khác</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Dashboard!$F$98:$Q$98</c15:sqref>
                        </c15:formulaRef>
                      </c:ext>
                    </c:extLst>
                    <c:strCache>
                      <c:ptCount val="12"/>
                      <c:pt idx="0">
                        <c:v>Tháng 1</c:v>
                      </c:pt>
                      <c:pt idx="1">
                        <c:v>Tháng 2</c:v>
                      </c:pt>
                      <c:pt idx="2">
                        <c:v>Tháng 3</c:v>
                      </c:pt>
                      <c:pt idx="3">
                        <c:v>Tháng 4</c:v>
                      </c:pt>
                      <c:pt idx="4">
                        <c:v>Tháng 5</c:v>
                      </c:pt>
                      <c:pt idx="5">
                        <c:v>Tháng 6</c:v>
                      </c:pt>
                      <c:pt idx="6">
                        <c:v>Tháng 7</c:v>
                      </c:pt>
                      <c:pt idx="7">
                        <c:v>Tháng 8</c:v>
                      </c:pt>
                      <c:pt idx="8">
                        <c:v>Tháng 9</c:v>
                      </c:pt>
                      <c:pt idx="9">
                        <c:v>Tháng 10</c:v>
                      </c:pt>
                      <c:pt idx="10">
                        <c:v>Tháng 11</c:v>
                      </c:pt>
                      <c:pt idx="11">
                        <c:v>Tháng 12</c:v>
                      </c:pt>
                    </c:strCache>
                  </c:strRef>
                </c:cat>
                <c:val>
                  <c:numRef>
                    <c:extLst xmlns:c15="http://schemas.microsoft.com/office/drawing/2012/chart">
                      <c:ext xmlns:c15="http://schemas.microsoft.com/office/drawing/2012/chart" uri="{02D57815-91ED-43cb-92C2-25804820EDAC}">
                        <c15:formulaRef>
                          <c15:sqref>Dashboard!$F$104:$Q$104</c15:sqref>
                        </c15:formulaRef>
                      </c:ext>
                    </c:extLst>
                    <c:numCache>
                      <c:formatCode>#,##0.00</c:formatCode>
                      <c:ptCount val="12"/>
                      <c:pt idx="0">
                        <c:v>0</c:v>
                      </c:pt>
                      <c:pt idx="1">
                        <c:v>0.8</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5-D6FA-41BF-8815-1D071BBF8029}"/>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Dashboard!$E$105</c15:sqref>
                        </c15:formulaRef>
                      </c:ext>
                    </c:extLst>
                    <c:strCache>
                      <c:ptCount val="1"/>
                      <c:pt idx="0">
                        <c:v>0</c:v>
                      </c:pt>
                    </c:strCache>
                  </c:strRef>
                </c:tx>
                <c:spPr>
                  <a:solidFill>
                    <a:schemeClr val="accent1">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Dashboard!$F$98:$Q$98</c15:sqref>
                        </c15:formulaRef>
                      </c:ext>
                    </c:extLst>
                    <c:strCache>
                      <c:ptCount val="12"/>
                      <c:pt idx="0">
                        <c:v>Tháng 1</c:v>
                      </c:pt>
                      <c:pt idx="1">
                        <c:v>Tháng 2</c:v>
                      </c:pt>
                      <c:pt idx="2">
                        <c:v>Tháng 3</c:v>
                      </c:pt>
                      <c:pt idx="3">
                        <c:v>Tháng 4</c:v>
                      </c:pt>
                      <c:pt idx="4">
                        <c:v>Tháng 5</c:v>
                      </c:pt>
                      <c:pt idx="5">
                        <c:v>Tháng 6</c:v>
                      </c:pt>
                      <c:pt idx="6">
                        <c:v>Tháng 7</c:v>
                      </c:pt>
                      <c:pt idx="7">
                        <c:v>Tháng 8</c:v>
                      </c:pt>
                      <c:pt idx="8">
                        <c:v>Tháng 9</c:v>
                      </c:pt>
                      <c:pt idx="9">
                        <c:v>Tháng 10</c:v>
                      </c:pt>
                      <c:pt idx="10">
                        <c:v>Tháng 11</c:v>
                      </c:pt>
                      <c:pt idx="11">
                        <c:v>Tháng 12</c:v>
                      </c:pt>
                    </c:strCache>
                  </c:strRef>
                </c:cat>
                <c:val>
                  <c:numRef>
                    <c:extLst xmlns:c15="http://schemas.microsoft.com/office/drawing/2012/chart">
                      <c:ext xmlns:c15="http://schemas.microsoft.com/office/drawing/2012/chart" uri="{02D57815-91ED-43cb-92C2-25804820EDAC}">
                        <c15:formulaRef>
                          <c15:sqref>Dashboard!$F$105:$Q$105</c15:sqref>
                        </c15:formulaRef>
                      </c:ext>
                    </c:extLst>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6-D6FA-41BF-8815-1D071BBF8029}"/>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Dashboard!$E$106</c15:sqref>
                        </c15:formulaRef>
                      </c:ext>
                    </c:extLst>
                    <c:strCache>
                      <c:ptCount val="1"/>
                      <c:pt idx="0">
                        <c:v>0</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Dashboard!$F$98:$Q$98</c15:sqref>
                        </c15:formulaRef>
                      </c:ext>
                    </c:extLst>
                    <c:strCache>
                      <c:ptCount val="12"/>
                      <c:pt idx="0">
                        <c:v>Tháng 1</c:v>
                      </c:pt>
                      <c:pt idx="1">
                        <c:v>Tháng 2</c:v>
                      </c:pt>
                      <c:pt idx="2">
                        <c:v>Tháng 3</c:v>
                      </c:pt>
                      <c:pt idx="3">
                        <c:v>Tháng 4</c:v>
                      </c:pt>
                      <c:pt idx="4">
                        <c:v>Tháng 5</c:v>
                      </c:pt>
                      <c:pt idx="5">
                        <c:v>Tháng 6</c:v>
                      </c:pt>
                      <c:pt idx="6">
                        <c:v>Tháng 7</c:v>
                      </c:pt>
                      <c:pt idx="7">
                        <c:v>Tháng 8</c:v>
                      </c:pt>
                      <c:pt idx="8">
                        <c:v>Tháng 9</c:v>
                      </c:pt>
                      <c:pt idx="9">
                        <c:v>Tháng 10</c:v>
                      </c:pt>
                      <c:pt idx="10">
                        <c:v>Tháng 11</c:v>
                      </c:pt>
                      <c:pt idx="11">
                        <c:v>Tháng 12</c:v>
                      </c:pt>
                    </c:strCache>
                  </c:strRef>
                </c:cat>
                <c:val>
                  <c:numRef>
                    <c:extLst xmlns:c15="http://schemas.microsoft.com/office/drawing/2012/chart">
                      <c:ext xmlns:c15="http://schemas.microsoft.com/office/drawing/2012/chart" uri="{02D57815-91ED-43cb-92C2-25804820EDAC}">
                        <c15:formulaRef>
                          <c15:sqref>Dashboard!$F$106:$Q$106</c15:sqref>
                        </c15:formulaRef>
                      </c:ext>
                    </c:extLst>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D6FA-41BF-8815-1D071BBF8029}"/>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Dashboard!$E$107</c15:sqref>
                        </c15:formulaRef>
                      </c:ext>
                    </c:extLst>
                    <c:strCache>
                      <c:ptCount val="1"/>
                      <c:pt idx="0">
                        <c:v>0</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Dashboard!$F$98:$Q$98</c15:sqref>
                        </c15:formulaRef>
                      </c:ext>
                    </c:extLst>
                    <c:strCache>
                      <c:ptCount val="12"/>
                      <c:pt idx="0">
                        <c:v>Tháng 1</c:v>
                      </c:pt>
                      <c:pt idx="1">
                        <c:v>Tháng 2</c:v>
                      </c:pt>
                      <c:pt idx="2">
                        <c:v>Tháng 3</c:v>
                      </c:pt>
                      <c:pt idx="3">
                        <c:v>Tháng 4</c:v>
                      </c:pt>
                      <c:pt idx="4">
                        <c:v>Tháng 5</c:v>
                      </c:pt>
                      <c:pt idx="5">
                        <c:v>Tháng 6</c:v>
                      </c:pt>
                      <c:pt idx="6">
                        <c:v>Tháng 7</c:v>
                      </c:pt>
                      <c:pt idx="7">
                        <c:v>Tháng 8</c:v>
                      </c:pt>
                      <c:pt idx="8">
                        <c:v>Tháng 9</c:v>
                      </c:pt>
                      <c:pt idx="9">
                        <c:v>Tháng 10</c:v>
                      </c:pt>
                      <c:pt idx="10">
                        <c:v>Tháng 11</c:v>
                      </c:pt>
                      <c:pt idx="11">
                        <c:v>Tháng 12</c:v>
                      </c:pt>
                    </c:strCache>
                  </c:strRef>
                </c:cat>
                <c:val>
                  <c:numRef>
                    <c:extLst xmlns:c15="http://schemas.microsoft.com/office/drawing/2012/chart">
                      <c:ext xmlns:c15="http://schemas.microsoft.com/office/drawing/2012/chart" uri="{02D57815-91ED-43cb-92C2-25804820EDAC}">
                        <c15:formulaRef>
                          <c15:sqref>Dashboard!$F$107:$Q$107</c15:sqref>
                        </c15:formulaRef>
                      </c:ext>
                    </c:extLst>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8-D6FA-41BF-8815-1D071BBF8029}"/>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Dashboard!$E$108</c15:sqref>
                        </c15:formulaRef>
                      </c:ext>
                    </c:extLst>
                    <c:strCache>
                      <c:ptCount val="1"/>
                      <c:pt idx="0">
                        <c:v>0</c:v>
                      </c:pt>
                    </c:strCache>
                  </c:strRef>
                </c:tx>
                <c:invertIfNegative val="0"/>
                <c:cat>
                  <c:strRef>
                    <c:extLst xmlns:c15="http://schemas.microsoft.com/office/drawing/2012/chart">
                      <c:ext xmlns:c15="http://schemas.microsoft.com/office/drawing/2012/chart" uri="{02D57815-91ED-43cb-92C2-25804820EDAC}">
                        <c15:formulaRef>
                          <c15:sqref>Dashboard!$F$98:$Q$98</c15:sqref>
                        </c15:formulaRef>
                      </c:ext>
                    </c:extLst>
                    <c:strCache>
                      <c:ptCount val="12"/>
                      <c:pt idx="0">
                        <c:v>Tháng 1</c:v>
                      </c:pt>
                      <c:pt idx="1">
                        <c:v>Tháng 2</c:v>
                      </c:pt>
                      <c:pt idx="2">
                        <c:v>Tháng 3</c:v>
                      </c:pt>
                      <c:pt idx="3">
                        <c:v>Tháng 4</c:v>
                      </c:pt>
                      <c:pt idx="4">
                        <c:v>Tháng 5</c:v>
                      </c:pt>
                      <c:pt idx="5">
                        <c:v>Tháng 6</c:v>
                      </c:pt>
                      <c:pt idx="6">
                        <c:v>Tháng 7</c:v>
                      </c:pt>
                      <c:pt idx="7">
                        <c:v>Tháng 8</c:v>
                      </c:pt>
                      <c:pt idx="8">
                        <c:v>Tháng 9</c:v>
                      </c:pt>
                      <c:pt idx="9">
                        <c:v>Tháng 10</c:v>
                      </c:pt>
                      <c:pt idx="10">
                        <c:v>Tháng 11</c:v>
                      </c:pt>
                      <c:pt idx="11">
                        <c:v>Tháng 12</c:v>
                      </c:pt>
                    </c:strCache>
                  </c:strRef>
                </c:cat>
                <c:val>
                  <c:numRef>
                    <c:extLst xmlns:c15="http://schemas.microsoft.com/office/drawing/2012/chart">
                      <c:ext xmlns:c15="http://schemas.microsoft.com/office/drawing/2012/chart" uri="{02D57815-91ED-43cb-92C2-25804820EDAC}">
                        <c15:formulaRef>
                          <c15:sqref>Dashboard!$F$108:$Q$108</c15:sqref>
                        </c15:formulaRef>
                      </c:ext>
                    </c:extLst>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9-D6FA-41BF-8815-1D071BBF8029}"/>
                  </c:ext>
                </c:extLst>
              </c15:ser>
            </c15:filteredBarSeries>
          </c:ext>
        </c:extLst>
      </c:barChart>
      <c:catAx>
        <c:axId val="202120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02134272"/>
        <c:crosses val="autoZero"/>
        <c:auto val="1"/>
        <c:lblAlgn val="ctr"/>
        <c:lblOffset val="100"/>
        <c:tickLblSkip val="2"/>
        <c:noMultiLvlLbl val="0"/>
      </c:catAx>
      <c:valAx>
        <c:axId val="202134272"/>
        <c:scaling>
          <c:orientation val="minMax"/>
        </c:scaling>
        <c:delete val="1"/>
        <c:axPos val="l"/>
        <c:numFmt formatCode="#,##0.00" sourceLinked="1"/>
        <c:majorTickMark val="out"/>
        <c:minorTickMark val="none"/>
        <c:tickLblPos val="nextTo"/>
        <c:crossAx val="202120192"/>
        <c:crosses val="autoZero"/>
        <c:crossBetween val="between"/>
      </c:valAx>
      <c:spPr>
        <a:noFill/>
        <a:ln>
          <a:noFill/>
        </a:ln>
        <a:effectLst/>
      </c:spPr>
    </c:plotArea>
    <c:legend>
      <c:legendPos val="b"/>
      <c:layout>
        <c:manualLayout>
          <c:xMode val="edge"/>
          <c:yMode val="edge"/>
          <c:x val="6.3217728590308862E-3"/>
          <c:y val="0.8986774807432153"/>
          <c:w val="0.89999989588076545"/>
          <c:h val="7.7774733583107811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6486083525390617E-2"/>
          <c:y val="4.921564064892494E-2"/>
          <c:w val="0.94702783294921877"/>
          <c:h val="0.92363119734397892"/>
        </c:manualLayout>
      </c:layout>
      <c:barChart>
        <c:barDir val="col"/>
        <c:grouping val="clustered"/>
        <c:varyColors val="0"/>
        <c:ser>
          <c:idx val="1"/>
          <c:order val="1"/>
          <c:tx>
            <c:v>Chi tiêu thực tế</c:v>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Dashboard!$F$75:$Q$75</c:f>
              <c:strCache>
                <c:ptCount val="12"/>
                <c:pt idx="0">
                  <c:v>Tháng 1</c:v>
                </c:pt>
                <c:pt idx="1">
                  <c:v>Tháng 2</c:v>
                </c:pt>
                <c:pt idx="2">
                  <c:v>Tháng 3</c:v>
                </c:pt>
                <c:pt idx="3">
                  <c:v>Tháng 4</c:v>
                </c:pt>
                <c:pt idx="4">
                  <c:v>Tháng 5</c:v>
                </c:pt>
                <c:pt idx="5">
                  <c:v>Tháng 6</c:v>
                </c:pt>
                <c:pt idx="6">
                  <c:v>Tháng 7</c:v>
                </c:pt>
                <c:pt idx="7">
                  <c:v>Tháng 8</c:v>
                </c:pt>
                <c:pt idx="8">
                  <c:v>Tháng 9</c:v>
                </c:pt>
                <c:pt idx="9">
                  <c:v>Tháng 10</c:v>
                </c:pt>
                <c:pt idx="10">
                  <c:v>Tháng 11</c:v>
                </c:pt>
                <c:pt idx="11">
                  <c:v>Tháng 12</c:v>
                </c:pt>
              </c:strCache>
            </c:strRef>
          </c:cat>
          <c:val>
            <c:numRef>
              <c:f>Dashboard!$F$91:$Q$91</c:f>
              <c:numCache>
                <c:formatCode>General</c:formatCode>
                <c:ptCount val="12"/>
                <c:pt idx="0">
                  <c:v>17.5</c:v>
                </c:pt>
                <c:pt idx="1">
                  <c:v>19.2</c:v>
                </c:pt>
                <c:pt idx="2">
                  <c:v>19.25</c:v>
                </c:pt>
                <c:pt idx="3">
                  <c:v>17.25</c:v>
                </c:pt>
                <c:pt idx="4">
                  <c:v>16.600000000000001</c:v>
                </c:pt>
                <c:pt idx="5">
                  <c:v>14.95</c:v>
                </c:pt>
                <c:pt idx="6">
                  <c:v>18.25</c:v>
                </c:pt>
                <c:pt idx="7">
                  <c:v>22.55</c:v>
                </c:pt>
                <c:pt idx="8">
                  <c:v>17.450000000000003</c:v>
                </c:pt>
                <c:pt idx="9">
                  <c:v>17.95</c:v>
                </c:pt>
                <c:pt idx="10">
                  <c:v>17.75</c:v>
                </c:pt>
                <c:pt idx="11">
                  <c:v>25.05</c:v>
                </c:pt>
              </c:numCache>
            </c:numRef>
          </c:val>
          <c:extLst>
            <c:ext xmlns:c16="http://schemas.microsoft.com/office/drawing/2014/chart" uri="{C3380CC4-5D6E-409C-BE32-E72D297353CC}">
              <c16:uniqueId val="{00000002-DF10-477F-83D5-4F5DA00B12DE}"/>
            </c:ext>
          </c:extLst>
        </c:ser>
        <c:dLbls>
          <c:showLegendKey val="0"/>
          <c:showVal val="0"/>
          <c:showCatName val="0"/>
          <c:showSerName val="0"/>
          <c:showPercent val="0"/>
          <c:showBubbleSize val="0"/>
        </c:dLbls>
        <c:gapWidth val="60"/>
        <c:axId val="202642176"/>
        <c:axId val="202643712"/>
      </c:barChart>
      <c:lineChart>
        <c:grouping val="standard"/>
        <c:varyColors val="0"/>
        <c:ser>
          <c:idx val="0"/>
          <c:order val="0"/>
          <c:tx>
            <c:v>Kế hoạch chi tiêu</c:v>
          </c:tx>
          <c:spPr>
            <a:ln w="28575" cap="rnd">
              <a:solidFill>
                <a:srgbClr val="C00000"/>
              </a:solidFill>
              <a:round/>
            </a:ln>
            <a:effectLst/>
          </c:spPr>
          <c:marker>
            <c:symbol val="none"/>
          </c:marker>
          <c:cat>
            <c:strRef>
              <c:f>Dashboard!$F$75:$Q$75</c:f>
              <c:strCache>
                <c:ptCount val="12"/>
                <c:pt idx="0">
                  <c:v>Tháng 1</c:v>
                </c:pt>
                <c:pt idx="1">
                  <c:v>Tháng 2</c:v>
                </c:pt>
                <c:pt idx="2">
                  <c:v>Tháng 3</c:v>
                </c:pt>
                <c:pt idx="3">
                  <c:v>Tháng 4</c:v>
                </c:pt>
                <c:pt idx="4">
                  <c:v>Tháng 5</c:v>
                </c:pt>
                <c:pt idx="5">
                  <c:v>Tháng 6</c:v>
                </c:pt>
                <c:pt idx="6">
                  <c:v>Tháng 7</c:v>
                </c:pt>
                <c:pt idx="7">
                  <c:v>Tháng 8</c:v>
                </c:pt>
                <c:pt idx="8">
                  <c:v>Tháng 9</c:v>
                </c:pt>
                <c:pt idx="9">
                  <c:v>Tháng 10</c:v>
                </c:pt>
                <c:pt idx="10">
                  <c:v>Tháng 11</c:v>
                </c:pt>
                <c:pt idx="11">
                  <c:v>Tháng 12</c:v>
                </c:pt>
              </c:strCache>
            </c:strRef>
          </c:cat>
          <c:val>
            <c:numRef>
              <c:f>Dashboard!$F$92:$Q$92</c:f>
              <c:numCache>
                <c:formatCode>General</c:formatCode>
                <c:ptCount val="12"/>
                <c:pt idx="0">
                  <c:v>18.5</c:v>
                </c:pt>
                <c:pt idx="1">
                  <c:v>18.5</c:v>
                </c:pt>
                <c:pt idx="2">
                  <c:v>18.5</c:v>
                </c:pt>
                <c:pt idx="3">
                  <c:v>18.5</c:v>
                </c:pt>
                <c:pt idx="4">
                  <c:v>18.5</c:v>
                </c:pt>
                <c:pt idx="5">
                  <c:v>18.5</c:v>
                </c:pt>
                <c:pt idx="6">
                  <c:v>18.5</c:v>
                </c:pt>
                <c:pt idx="7">
                  <c:v>18.5</c:v>
                </c:pt>
                <c:pt idx="8">
                  <c:v>18.5</c:v>
                </c:pt>
                <c:pt idx="9">
                  <c:v>18.5</c:v>
                </c:pt>
                <c:pt idx="10">
                  <c:v>18.5</c:v>
                </c:pt>
                <c:pt idx="11">
                  <c:v>18.5</c:v>
                </c:pt>
              </c:numCache>
            </c:numRef>
          </c:val>
          <c:smooth val="0"/>
          <c:extLst>
            <c:ext xmlns:c16="http://schemas.microsoft.com/office/drawing/2014/chart" uri="{C3380CC4-5D6E-409C-BE32-E72D297353CC}">
              <c16:uniqueId val="{00000000-DF10-477F-83D5-4F5DA00B12DE}"/>
            </c:ext>
          </c:extLst>
        </c:ser>
        <c:ser>
          <c:idx val="2"/>
          <c:order val="2"/>
          <c:tx>
            <c:v>Lũy kế chênh lệch</c:v>
          </c:tx>
          <c:spPr>
            <a:ln w="28575" cap="rnd">
              <a:solidFill>
                <a:schemeClr val="tx2"/>
              </a:solidFill>
              <a:round/>
            </a:ln>
            <a:effectLst/>
          </c:spPr>
          <c:marker>
            <c:symbol val="none"/>
          </c:marker>
          <c:cat>
            <c:strRef>
              <c:f>Dashboard!$F$75:$Q$75</c:f>
              <c:strCache>
                <c:ptCount val="12"/>
                <c:pt idx="0">
                  <c:v>Tháng 1</c:v>
                </c:pt>
                <c:pt idx="1">
                  <c:v>Tháng 2</c:v>
                </c:pt>
                <c:pt idx="2">
                  <c:v>Tháng 3</c:v>
                </c:pt>
                <c:pt idx="3">
                  <c:v>Tháng 4</c:v>
                </c:pt>
                <c:pt idx="4">
                  <c:v>Tháng 5</c:v>
                </c:pt>
                <c:pt idx="5">
                  <c:v>Tháng 6</c:v>
                </c:pt>
                <c:pt idx="6">
                  <c:v>Tháng 7</c:v>
                </c:pt>
                <c:pt idx="7">
                  <c:v>Tháng 8</c:v>
                </c:pt>
                <c:pt idx="8">
                  <c:v>Tháng 9</c:v>
                </c:pt>
                <c:pt idx="9">
                  <c:v>Tháng 10</c:v>
                </c:pt>
                <c:pt idx="10">
                  <c:v>Tháng 11</c:v>
                </c:pt>
                <c:pt idx="11">
                  <c:v>Tháng 12</c:v>
                </c:pt>
              </c:strCache>
            </c:strRef>
          </c:cat>
          <c:val>
            <c:numRef>
              <c:f>Dashboard!$F$93:$Q$93</c:f>
              <c:numCache>
                <c:formatCode>General</c:formatCode>
                <c:ptCount val="12"/>
                <c:pt idx="0">
                  <c:v>1</c:v>
                </c:pt>
                <c:pt idx="1">
                  <c:v>0.30000000000000071</c:v>
                </c:pt>
                <c:pt idx="2">
                  <c:v>-0.44999999999999929</c:v>
                </c:pt>
                <c:pt idx="3">
                  <c:v>0.80000000000000071</c:v>
                </c:pt>
                <c:pt idx="4">
                  <c:v>2.6999999999999993</c:v>
                </c:pt>
                <c:pt idx="5">
                  <c:v>6.25</c:v>
                </c:pt>
                <c:pt idx="6">
                  <c:v>6.5</c:v>
                </c:pt>
                <c:pt idx="7">
                  <c:v>2.4499999999999993</c:v>
                </c:pt>
                <c:pt idx="8">
                  <c:v>3.4999999999999964</c:v>
                </c:pt>
                <c:pt idx="9">
                  <c:v>4.0499999999999972</c:v>
                </c:pt>
                <c:pt idx="10">
                  <c:v>4.7999999999999972</c:v>
                </c:pt>
                <c:pt idx="11">
                  <c:v>-1.7500000000000036</c:v>
                </c:pt>
              </c:numCache>
            </c:numRef>
          </c:val>
          <c:smooth val="1"/>
          <c:extLst>
            <c:ext xmlns:c16="http://schemas.microsoft.com/office/drawing/2014/chart" uri="{C3380CC4-5D6E-409C-BE32-E72D297353CC}">
              <c16:uniqueId val="{00000003-DF10-477F-83D5-4F5DA00B12DE}"/>
            </c:ext>
          </c:extLst>
        </c:ser>
        <c:dLbls>
          <c:showLegendKey val="0"/>
          <c:showVal val="0"/>
          <c:showCatName val="0"/>
          <c:showSerName val="0"/>
          <c:showPercent val="0"/>
          <c:showBubbleSize val="0"/>
        </c:dLbls>
        <c:marker val="1"/>
        <c:smooth val="0"/>
        <c:axId val="202642176"/>
        <c:axId val="202643712"/>
      </c:lineChart>
      <c:catAx>
        <c:axId val="20264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643712"/>
        <c:crosses val="autoZero"/>
        <c:auto val="1"/>
        <c:lblAlgn val="ctr"/>
        <c:lblOffset val="100"/>
        <c:tickLblSkip val="2"/>
        <c:noMultiLvlLbl val="0"/>
      </c:catAx>
      <c:valAx>
        <c:axId val="202643712"/>
        <c:scaling>
          <c:orientation val="minMax"/>
        </c:scaling>
        <c:delete val="1"/>
        <c:axPos val="l"/>
        <c:numFmt formatCode="General" sourceLinked="1"/>
        <c:majorTickMark val="none"/>
        <c:minorTickMark val="none"/>
        <c:tickLblPos val="nextTo"/>
        <c:crossAx val="2026421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vi-VN" sz="1300" b="1">
                <a:latin typeface="Calibri" panose="020F0502020204030204" pitchFamily="34" charset="0"/>
                <a:cs typeface="Calibri" panose="020F0502020204030204" pitchFamily="34" charset="0"/>
              </a:rPr>
              <a:t>Sản phẩm đầu tư trong năm</a:t>
            </a:r>
          </a:p>
        </c:rich>
      </c:tx>
      <c:overlay val="0"/>
      <c:spPr>
        <a:noFill/>
        <a:ln>
          <a:noFill/>
        </a:ln>
        <a:effectLst/>
      </c:spPr>
    </c:title>
    <c:autoTitleDeleted val="0"/>
    <c:plotArea>
      <c:layout>
        <c:manualLayout>
          <c:layoutTarget val="inner"/>
          <c:xMode val="edge"/>
          <c:yMode val="edge"/>
          <c:x val="0.13374150171332749"/>
          <c:y val="0.15680555555555559"/>
          <c:w val="0.42710744598765432"/>
          <c:h val="0.82004629629629633"/>
        </c:manualLayout>
      </c:layout>
      <c:pieChart>
        <c:varyColors val="1"/>
        <c:ser>
          <c:idx val="0"/>
          <c:order val="0"/>
          <c:tx>
            <c:v>Sản phẩm đầu tư trong năm</c:v>
          </c:tx>
          <c:dPt>
            <c:idx val="0"/>
            <c:bubble3D val="0"/>
            <c:spPr>
              <a:solidFill>
                <a:schemeClr val="tx2"/>
              </a:solidFill>
              <a:ln w="19050">
                <a:solidFill>
                  <a:schemeClr val="lt1"/>
                </a:solidFill>
              </a:ln>
              <a:effectLst/>
            </c:spPr>
            <c:extLst>
              <c:ext xmlns:c16="http://schemas.microsoft.com/office/drawing/2014/chart" uri="{C3380CC4-5D6E-409C-BE32-E72D297353CC}">
                <c16:uniqueId val="{00000001-EA1D-41D0-A342-0CDA7F9BB0FF}"/>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D-C2DF-4E7D-87BF-B6CEC9F11983}"/>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15-EA1D-41D0-A342-0CDA7F9BB0FF}"/>
              </c:ext>
            </c:extLst>
          </c:dPt>
          <c:dLbls>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01-EA1D-41D0-A342-0CDA7F9BB0FF}"/>
                </c:ext>
              </c:extLst>
            </c:dLbl>
            <c:dLbl>
              <c:idx val="1"/>
              <c:delete val="1"/>
              <c:extLst>
                <c:ext xmlns:c15="http://schemas.microsoft.com/office/drawing/2012/chart" uri="{CE6537A1-D6FC-4f65-9D91-7224C49458BB}"/>
                <c:ext xmlns:c16="http://schemas.microsoft.com/office/drawing/2014/chart" uri="{C3380CC4-5D6E-409C-BE32-E72D297353CC}">
                  <c16:uniqueId val="{0000000D-C2DF-4E7D-87BF-B6CEC9F11983}"/>
                </c:ext>
              </c:extLst>
            </c:dLbl>
            <c:dLbl>
              <c:idx val="2"/>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15-EA1D-41D0-A342-0CDA7F9BB0FF}"/>
                </c:ext>
              </c:extLst>
            </c:dLbl>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('T12'!$E$165,'T12'!$E$170,'T12'!$E$175:$E$176)</c:f>
              <c:strCache>
                <c:ptCount val="4"/>
                <c:pt idx="0">
                  <c:v>ETF - ETFVFM</c:v>
                </c:pt>
                <c:pt idx="1">
                  <c:v>Trái phiếu Techcombank</c:v>
                </c:pt>
                <c:pt idx="2">
                  <c:v>Tiền gửi ngân hàng</c:v>
                </c:pt>
                <c:pt idx="3">
                  <c:v>Cổ phiếu riêng lẻ</c:v>
                </c:pt>
              </c:strCache>
              <c:extLst/>
            </c:strRef>
          </c:cat>
          <c:val>
            <c:numRef>
              <c:f>('T12'!$I$165,'T12'!$I$170,'T12'!$I$175:$I$176)</c:f>
              <c:numCache>
                <c:formatCode>_(* #,##0.0_);_(* \(#,##0.0\);_(* "-"??_);_(@_)</c:formatCode>
                <c:ptCount val="4"/>
                <c:pt idx="0">
                  <c:v>59</c:v>
                </c:pt>
                <c:pt idx="1">
                  <c:v>0</c:v>
                </c:pt>
                <c:pt idx="2">
                  <c:v>200</c:v>
                </c:pt>
                <c:pt idx="3">
                  <c:v>30</c:v>
                </c:pt>
              </c:numCache>
              <c:extLst/>
            </c:numRef>
          </c:val>
          <c:extLst>
            <c:ext xmlns:c16="http://schemas.microsoft.com/office/drawing/2014/chart" uri="{C3380CC4-5D6E-409C-BE32-E72D297353CC}">
              <c16:uniqueId val="{00000016-EA1D-41D0-A342-0CDA7F9BB0FF}"/>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4154242004471651"/>
          <c:y val="0.18084208223972004"/>
          <c:w val="0.34398998736269071"/>
          <c:h val="0.75345472440944883"/>
        </c:manualLayout>
      </c:layout>
      <c:overlay val="0"/>
      <c:spPr>
        <a:noFill/>
        <a:ln>
          <a:noFill/>
        </a:ln>
        <a:effectLst/>
      </c:spPr>
      <c:txPr>
        <a:bodyPr rot="0" spcFirstLastPara="1" vertOverflow="ellipsis" vert="horz" wrap="square" anchor="ctr" anchorCtr="1"/>
        <a:lstStyle/>
        <a:p>
          <a:pPr rtl="0">
            <a:defRPr sz="10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300" b="1"/>
              <a:t>Theo dõi lộ trình nghề nghiệp</a:t>
            </a:r>
          </a:p>
        </c:rich>
      </c:tx>
      <c:layout>
        <c:manualLayout>
          <c:xMode val="edge"/>
          <c:yMode val="edge"/>
          <c:x val="0.26879059564330993"/>
          <c:y val="1.8461958113502413E-2"/>
        </c:manualLayout>
      </c:layout>
      <c:overlay val="0"/>
      <c:spPr>
        <a:noFill/>
        <a:ln>
          <a:noFill/>
        </a:ln>
        <a:effectLst/>
      </c:spPr>
    </c:title>
    <c:autoTitleDeleted val="0"/>
    <c:plotArea>
      <c:layout>
        <c:manualLayout>
          <c:layoutTarget val="inner"/>
          <c:xMode val="edge"/>
          <c:yMode val="edge"/>
          <c:x val="6.1033204652264583E-2"/>
          <c:y val="0.11067009839966625"/>
          <c:w val="0.73906473739908829"/>
          <c:h val="0.74361093245119403"/>
        </c:manualLayout>
      </c:layout>
      <c:lineChart>
        <c:grouping val="standard"/>
        <c:varyColors val="0"/>
        <c:ser>
          <c:idx val="0"/>
          <c:order val="0"/>
          <c:tx>
            <c:strRef>
              <c:f>'Cân đối lộ trình nghề nghiệp'!$F$34:$F$36</c:f>
              <c:strCache>
                <c:ptCount val="3"/>
                <c:pt idx="0">
                  <c:v>Thu nhập thực tế</c:v>
                </c:pt>
              </c:strCache>
            </c:strRef>
          </c:tx>
          <c:spPr>
            <a:ln w="31750" cap="rnd">
              <a:solidFill>
                <a:srgbClr val="C00000"/>
              </a:solidFill>
              <a:prstDash val="sysDash"/>
              <a:round/>
            </a:ln>
            <a:effectLst/>
          </c:spPr>
          <c:marker>
            <c:symbol val="none"/>
          </c:marker>
          <c:cat>
            <c:numRef>
              <c:extLst>
                <c:ext xmlns:c15="http://schemas.microsoft.com/office/drawing/2012/chart" uri="{02D57815-91ED-43cb-92C2-25804820EDAC}">
                  <c15:fullRef>
                    <c15:sqref>'Cân đối lộ trình nghề nghiệp'!$E$37:$E$85</c15:sqref>
                  </c15:fullRef>
                </c:ext>
              </c:extLst>
              <c:f>'Cân đối lộ trình nghề nghiệp'!$E$37:$E$65</c:f>
              <c:numCache>
                <c:formatCode>General</c:formatCode>
                <c:ptCount val="29"/>
                <c:pt idx="0">
                  <c:v>22</c:v>
                </c:pt>
                <c:pt idx="1">
                  <c:v>23</c:v>
                </c:pt>
                <c:pt idx="2">
                  <c:v>24</c:v>
                </c:pt>
                <c:pt idx="3">
                  <c:v>25</c:v>
                </c:pt>
                <c:pt idx="4">
                  <c:v>26</c:v>
                </c:pt>
                <c:pt idx="5">
                  <c:v>27</c:v>
                </c:pt>
                <c:pt idx="6">
                  <c:v>28</c:v>
                </c:pt>
                <c:pt idx="7">
                  <c:v>29</c:v>
                </c:pt>
                <c:pt idx="8">
                  <c:v>30</c:v>
                </c:pt>
                <c:pt idx="9">
                  <c:v>31</c:v>
                </c:pt>
                <c:pt idx="10">
                  <c:v>32</c:v>
                </c:pt>
                <c:pt idx="11">
                  <c:v>33</c:v>
                </c:pt>
                <c:pt idx="12">
                  <c:v>34</c:v>
                </c:pt>
                <c:pt idx="13">
                  <c:v>35</c:v>
                </c:pt>
                <c:pt idx="14">
                  <c:v>36</c:v>
                </c:pt>
                <c:pt idx="15">
                  <c:v>37</c:v>
                </c:pt>
                <c:pt idx="16">
                  <c:v>38</c:v>
                </c:pt>
                <c:pt idx="17">
                  <c:v>39</c:v>
                </c:pt>
                <c:pt idx="18">
                  <c:v>40</c:v>
                </c:pt>
                <c:pt idx="19">
                  <c:v>41</c:v>
                </c:pt>
                <c:pt idx="20">
                  <c:v>42</c:v>
                </c:pt>
                <c:pt idx="21">
                  <c:v>43</c:v>
                </c:pt>
                <c:pt idx="22">
                  <c:v>44</c:v>
                </c:pt>
                <c:pt idx="23">
                  <c:v>45</c:v>
                </c:pt>
                <c:pt idx="24">
                  <c:v>46</c:v>
                </c:pt>
                <c:pt idx="25">
                  <c:v>47</c:v>
                </c:pt>
                <c:pt idx="26">
                  <c:v>48</c:v>
                </c:pt>
                <c:pt idx="27">
                  <c:v>49</c:v>
                </c:pt>
                <c:pt idx="28">
                  <c:v>50</c:v>
                </c:pt>
              </c:numCache>
            </c:numRef>
          </c:cat>
          <c:val>
            <c:numRef>
              <c:extLst>
                <c:ext xmlns:c15="http://schemas.microsoft.com/office/drawing/2012/chart" uri="{02D57815-91ED-43cb-92C2-25804820EDAC}">
                  <c15:fullRef>
                    <c15:sqref>'Cân đối lộ trình nghề nghiệp'!$F$37:$F$85</c15:sqref>
                  </c15:fullRef>
                </c:ext>
              </c:extLst>
              <c:f>'Cân đối lộ trình nghề nghiệp'!$F$37:$F$65</c:f>
              <c:numCache>
                <c:formatCode>_(* #,##0.0_);_(* \(#,##0.0\);_(* "-"??_);_(@_)</c:formatCode>
                <c:ptCount val="29"/>
                <c:pt idx="0">
                  <c:v>10</c:v>
                </c:pt>
                <c:pt idx="1">
                  <c:v>15</c:v>
                </c:pt>
                <c:pt idx="2">
                  <c:v>20</c:v>
                </c:pt>
              </c:numCache>
            </c:numRef>
          </c:val>
          <c:smooth val="1"/>
          <c:extLst>
            <c:ext xmlns:c16="http://schemas.microsoft.com/office/drawing/2014/chart" uri="{C3380CC4-5D6E-409C-BE32-E72D297353CC}">
              <c16:uniqueId val="{00000000-F353-43C6-85F7-7F16C2E154A9}"/>
            </c:ext>
          </c:extLst>
        </c:ser>
        <c:ser>
          <c:idx val="1"/>
          <c:order val="1"/>
          <c:tx>
            <c:strRef>
              <c:f>'Cân đối lộ trình nghề nghiệp'!$G$34:$G$36</c:f>
              <c:strCache>
                <c:ptCount val="3"/>
                <c:pt idx="0">
                  <c:v>Số tiền cần có để đạt mục tiêu tài chính</c:v>
                </c:pt>
              </c:strCache>
            </c:strRef>
          </c:tx>
          <c:spPr>
            <a:ln w="31750" cap="rnd">
              <a:solidFill>
                <a:schemeClr val="accent3"/>
              </a:solidFill>
              <a:round/>
            </a:ln>
            <a:effectLst/>
          </c:spPr>
          <c:marker>
            <c:symbol val="none"/>
          </c:marker>
          <c:cat>
            <c:numRef>
              <c:extLst>
                <c:ext xmlns:c15="http://schemas.microsoft.com/office/drawing/2012/chart" uri="{02D57815-91ED-43cb-92C2-25804820EDAC}">
                  <c15:fullRef>
                    <c15:sqref>'Cân đối lộ trình nghề nghiệp'!$E$37:$E$85</c15:sqref>
                  </c15:fullRef>
                </c:ext>
              </c:extLst>
              <c:f>'Cân đối lộ trình nghề nghiệp'!$E$37:$E$65</c:f>
              <c:numCache>
                <c:formatCode>General</c:formatCode>
                <c:ptCount val="29"/>
                <c:pt idx="0">
                  <c:v>22</c:v>
                </c:pt>
                <c:pt idx="1">
                  <c:v>23</c:v>
                </c:pt>
                <c:pt idx="2">
                  <c:v>24</c:v>
                </c:pt>
                <c:pt idx="3">
                  <c:v>25</c:v>
                </c:pt>
                <c:pt idx="4">
                  <c:v>26</c:v>
                </c:pt>
                <c:pt idx="5">
                  <c:v>27</c:v>
                </c:pt>
                <c:pt idx="6">
                  <c:v>28</c:v>
                </c:pt>
                <c:pt idx="7">
                  <c:v>29</c:v>
                </c:pt>
                <c:pt idx="8">
                  <c:v>30</c:v>
                </c:pt>
                <c:pt idx="9">
                  <c:v>31</c:v>
                </c:pt>
                <c:pt idx="10">
                  <c:v>32</c:v>
                </c:pt>
                <c:pt idx="11">
                  <c:v>33</c:v>
                </c:pt>
                <c:pt idx="12">
                  <c:v>34</c:v>
                </c:pt>
                <c:pt idx="13">
                  <c:v>35</c:v>
                </c:pt>
                <c:pt idx="14">
                  <c:v>36</c:v>
                </c:pt>
                <c:pt idx="15">
                  <c:v>37</c:v>
                </c:pt>
                <c:pt idx="16">
                  <c:v>38</c:v>
                </c:pt>
                <c:pt idx="17">
                  <c:v>39</c:v>
                </c:pt>
                <c:pt idx="18">
                  <c:v>40</c:v>
                </c:pt>
                <c:pt idx="19">
                  <c:v>41</c:v>
                </c:pt>
                <c:pt idx="20">
                  <c:v>42</c:v>
                </c:pt>
                <c:pt idx="21">
                  <c:v>43</c:v>
                </c:pt>
                <c:pt idx="22">
                  <c:v>44</c:v>
                </c:pt>
                <c:pt idx="23">
                  <c:v>45</c:v>
                </c:pt>
                <c:pt idx="24">
                  <c:v>46</c:v>
                </c:pt>
                <c:pt idx="25">
                  <c:v>47</c:v>
                </c:pt>
                <c:pt idx="26">
                  <c:v>48</c:v>
                </c:pt>
                <c:pt idx="27">
                  <c:v>49</c:v>
                </c:pt>
                <c:pt idx="28">
                  <c:v>50</c:v>
                </c:pt>
              </c:numCache>
            </c:numRef>
          </c:cat>
          <c:val>
            <c:numRef>
              <c:extLst>
                <c:ext xmlns:c15="http://schemas.microsoft.com/office/drawing/2012/chart" uri="{02D57815-91ED-43cb-92C2-25804820EDAC}">
                  <c15:fullRef>
                    <c15:sqref>'Cân đối lộ trình nghề nghiệp'!$G$37:$G$85</c15:sqref>
                  </c15:fullRef>
                </c:ext>
              </c:extLst>
              <c:f>'Cân đối lộ trình nghề nghiệp'!$G$37:$G$65</c:f>
              <c:numCache>
                <c:formatCode>_(* #,##0.0_);_(* \(#,##0.0\);_(* "-"??_);_(@_)</c:formatCode>
                <c:ptCount val="29"/>
                <c:pt idx="2">
                  <c:v>20</c:v>
                </c:pt>
                <c:pt idx="3">
                  <c:v>6.402201095714835</c:v>
                </c:pt>
                <c:pt idx="4">
                  <c:v>10.418670092718552</c:v>
                </c:pt>
                <c:pt idx="5">
                  <c:v>17.670088107119035</c:v>
                </c:pt>
                <c:pt idx="6">
                  <c:v>17.670088107119035</c:v>
                </c:pt>
                <c:pt idx="7">
                  <c:v>11.267887011404198</c:v>
                </c:pt>
                <c:pt idx="8">
                  <c:v>28.502822755933906</c:v>
                </c:pt>
                <c:pt idx="9">
                  <c:v>28.502822755933906</c:v>
                </c:pt>
                <c:pt idx="10">
                  <c:v>30.015592065352571</c:v>
                </c:pt>
                <c:pt idx="11">
                  <c:v>32.643167510996079</c:v>
                </c:pt>
                <c:pt idx="12">
                  <c:v>32.643167510996079</c:v>
                </c:pt>
                <c:pt idx="13">
                  <c:v>15.40823176646637</c:v>
                </c:pt>
                <c:pt idx="14">
                  <c:v>15.40823176646637</c:v>
                </c:pt>
                <c:pt idx="15">
                  <c:v>15.40823176646637</c:v>
                </c:pt>
                <c:pt idx="16">
                  <c:v>15.40823176646637</c:v>
                </c:pt>
                <c:pt idx="17">
                  <c:v>17.720544333833775</c:v>
                </c:pt>
                <c:pt idx="18">
                  <c:v>10.469126319433295</c:v>
                </c:pt>
                <c:pt idx="19">
                  <c:v>10.469126319433295</c:v>
                </c:pt>
                <c:pt idx="20">
                  <c:v>10.469126319433295</c:v>
                </c:pt>
                <c:pt idx="21">
                  <c:v>3.8250818767860686</c:v>
                </c:pt>
                <c:pt idx="22">
                  <c:v>3.8250818767860686</c:v>
                </c:pt>
                <c:pt idx="23">
                  <c:v>3.8250818767860686</c:v>
                </c:pt>
                <c:pt idx="24">
                  <c:v>3.8250818767860686</c:v>
                </c:pt>
                <c:pt idx="25">
                  <c:v>3.8250818767860686</c:v>
                </c:pt>
                <c:pt idx="26">
                  <c:v>3.8250818767860686</c:v>
                </c:pt>
                <c:pt idx="27">
                  <c:v>3.8250818767860686</c:v>
                </c:pt>
                <c:pt idx="28">
                  <c:v>3.8250818767860686</c:v>
                </c:pt>
              </c:numCache>
            </c:numRef>
          </c:val>
          <c:smooth val="1"/>
          <c:extLst>
            <c:ext xmlns:c16="http://schemas.microsoft.com/office/drawing/2014/chart" uri="{C3380CC4-5D6E-409C-BE32-E72D297353CC}">
              <c16:uniqueId val="{00000002-F353-43C6-85F7-7F16C2E154A9}"/>
            </c:ext>
          </c:extLst>
        </c:ser>
        <c:ser>
          <c:idx val="2"/>
          <c:order val="2"/>
          <c:tx>
            <c:strRef>
              <c:f>'Cân đối lộ trình nghề nghiệp'!$H$34:$H$36</c:f>
              <c:strCache>
                <c:ptCount val="3"/>
                <c:pt idx="0">
                  <c:v>Thu nhập theo lộ trình nghề nghiệp</c:v>
                </c:pt>
              </c:strCache>
            </c:strRef>
          </c:tx>
          <c:spPr>
            <a:ln w="38100" cap="rnd">
              <a:solidFill>
                <a:schemeClr val="accent1"/>
              </a:solidFill>
              <a:round/>
            </a:ln>
            <a:effectLst/>
          </c:spPr>
          <c:marker>
            <c:symbol val="none"/>
          </c:marker>
          <c:cat>
            <c:numRef>
              <c:extLst>
                <c:ext xmlns:c15="http://schemas.microsoft.com/office/drawing/2012/chart" uri="{02D57815-91ED-43cb-92C2-25804820EDAC}">
                  <c15:fullRef>
                    <c15:sqref>'Cân đối lộ trình nghề nghiệp'!$E$37:$E$85</c15:sqref>
                  </c15:fullRef>
                </c:ext>
              </c:extLst>
              <c:f>'Cân đối lộ trình nghề nghiệp'!$E$37:$E$65</c:f>
              <c:numCache>
                <c:formatCode>General</c:formatCode>
                <c:ptCount val="29"/>
                <c:pt idx="0">
                  <c:v>22</c:v>
                </c:pt>
                <c:pt idx="1">
                  <c:v>23</c:v>
                </c:pt>
                <c:pt idx="2">
                  <c:v>24</c:v>
                </c:pt>
                <c:pt idx="3">
                  <c:v>25</c:v>
                </c:pt>
                <c:pt idx="4">
                  <c:v>26</c:v>
                </c:pt>
                <c:pt idx="5">
                  <c:v>27</c:v>
                </c:pt>
                <c:pt idx="6">
                  <c:v>28</c:v>
                </c:pt>
                <c:pt idx="7">
                  <c:v>29</c:v>
                </c:pt>
                <c:pt idx="8">
                  <c:v>30</c:v>
                </c:pt>
                <c:pt idx="9">
                  <c:v>31</c:v>
                </c:pt>
                <c:pt idx="10">
                  <c:v>32</c:v>
                </c:pt>
                <c:pt idx="11">
                  <c:v>33</c:v>
                </c:pt>
                <c:pt idx="12">
                  <c:v>34</c:v>
                </c:pt>
                <c:pt idx="13">
                  <c:v>35</c:v>
                </c:pt>
                <c:pt idx="14">
                  <c:v>36</c:v>
                </c:pt>
                <c:pt idx="15">
                  <c:v>37</c:v>
                </c:pt>
                <c:pt idx="16">
                  <c:v>38</c:v>
                </c:pt>
                <c:pt idx="17">
                  <c:v>39</c:v>
                </c:pt>
                <c:pt idx="18">
                  <c:v>40</c:v>
                </c:pt>
                <c:pt idx="19">
                  <c:v>41</c:v>
                </c:pt>
                <c:pt idx="20">
                  <c:v>42</c:v>
                </c:pt>
                <c:pt idx="21">
                  <c:v>43</c:v>
                </c:pt>
                <c:pt idx="22">
                  <c:v>44</c:v>
                </c:pt>
                <c:pt idx="23">
                  <c:v>45</c:v>
                </c:pt>
                <c:pt idx="24">
                  <c:v>46</c:v>
                </c:pt>
                <c:pt idx="25">
                  <c:v>47</c:v>
                </c:pt>
                <c:pt idx="26">
                  <c:v>48</c:v>
                </c:pt>
                <c:pt idx="27">
                  <c:v>49</c:v>
                </c:pt>
                <c:pt idx="28">
                  <c:v>50</c:v>
                </c:pt>
              </c:numCache>
            </c:numRef>
          </c:cat>
          <c:val>
            <c:numRef>
              <c:extLst>
                <c:ext xmlns:c15="http://schemas.microsoft.com/office/drawing/2012/chart" uri="{02D57815-91ED-43cb-92C2-25804820EDAC}">
                  <c15:fullRef>
                    <c15:sqref>'Cân đối lộ trình nghề nghiệp'!$H$37:$H$85</c15:sqref>
                  </c15:fullRef>
                </c:ext>
              </c:extLst>
              <c:f>'Cân đối lộ trình nghề nghiệp'!$H$37:$H$65</c:f>
              <c:numCache>
                <c:formatCode>_(* #,##0.0_);_(* \(#,##0.0\);_(* "-"??_);_(@_)</c:formatCode>
                <c:ptCount val="29"/>
                <c:pt idx="0">
                  <c:v>12</c:v>
                </c:pt>
                <c:pt idx="1">
                  <c:v>12</c:v>
                </c:pt>
                <c:pt idx="2">
                  <c:v>12</c:v>
                </c:pt>
                <c:pt idx="3">
                  <c:v>15</c:v>
                </c:pt>
                <c:pt idx="4">
                  <c:v>20</c:v>
                </c:pt>
                <c:pt idx="5">
                  <c:v>20</c:v>
                </c:pt>
                <c:pt idx="6">
                  <c:v>20</c:v>
                </c:pt>
                <c:pt idx="7">
                  <c:v>20</c:v>
                </c:pt>
                <c:pt idx="8">
                  <c:v>20</c:v>
                </c:pt>
                <c:pt idx="9">
                  <c:v>20</c:v>
                </c:pt>
                <c:pt idx="10">
                  <c:v>25</c:v>
                </c:pt>
                <c:pt idx="11">
                  <c:v>25</c:v>
                </c:pt>
                <c:pt idx="12">
                  <c:v>25</c:v>
                </c:pt>
                <c:pt idx="13">
                  <c:v>25</c:v>
                </c:pt>
                <c:pt idx="14">
                  <c:v>30</c:v>
                </c:pt>
                <c:pt idx="15">
                  <c:v>30</c:v>
                </c:pt>
                <c:pt idx="16">
                  <c:v>30</c:v>
                </c:pt>
                <c:pt idx="17">
                  <c:v>30</c:v>
                </c:pt>
                <c:pt idx="18">
                  <c:v>30</c:v>
                </c:pt>
                <c:pt idx="19">
                  <c:v>30</c:v>
                </c:pt>
                <c:pt idx="20">
                  <c:v>40</c:v>
                </c:pt>
                <c:pt idx="21">
                  <c:v>40</c:v>
                </c:pt>
                <c:pt idx="22">
                  <c:v>40</c:v>
                </c:pt>
                <c:pt idx="23">
                  <c:v>40</c:v>
                </c:pt>
                <c:pt idx="24">
                  <c:v>40</c:v>
                </c:pt>
                <c:pt idx="25">
                  <c:v>40</c:v>
                </c:pt>
                <c:pt idx="26">
                  <c:v>50</c:v>
                </c:pt>
                <c:pt idx="27">
                  <c:v>50</c:v>
                </c:pt>
                <c:pt idx="28">
                  <c:v>50</c:v>
                </c:pt>
              </c:numCache>
            </c:numRef>
          </c:val>
          <c:smooth val="1"/>
          <c:extLst>
            <c:ext xmlns:c16="http://schemas.microsoft.com/office/drawing/2014/chart" uri="{C3380CC4-5D6E-409C-BE32-E72D297353CC}">
              <c16:uniqueId val="{00000003-F353-43C6-85F7-7F16C2E154A9}"/>
            </c:ext>
          </c:extLst>
        </c:ser>
        <c:dLbls>
          <c:showLegendKey val="0"/>
          <c:showVal val="0"/>
          <c:showCatName val="0"/>
          <c:showSerName val="0"/>
          <c:showPercent val="0"/>
          <c:showBubbleSize val="0"/>
        </c:dLbls>
        <c:smooth val="0"/>
        <c:axId val="203238784"/>
        <c:axId val="203240960"/>
      </c:lineChart>
      <c:catAx>
        <c:axId val="203238784"/>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Tuổi</a:t>
                </a:r>
              </a:p>
            </c:rich>
          </c:tx>
          <c:overlay val="0"/>
          <c:spPr>
            <a:noFill/>
            <a:ln>
              <a:noFill/>
            </a:ln>
            <a:effectLst/>
          </c:spPr>
        </c:title>
        <c:numFmt formatCode="General" sourceLinked="1"/>
        <c:majorTickMark val="in"/>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3240960"/>
        <c:crosses val="autoZero"/>
        <c:auto val="1"/>
        <c:lblAlgn val="ctr"/>
        <c:lblOffset val="100"/>
        <c:tickLblSkip val="2"/>
        <c:tickMarkSkip val="3"/>
        <c:noMultiLvlLbl val="0"/>
      </c:catAx>
      <c:valAx>
        <c:axId val="203240960"/>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Thu nhập</a:t>
                </a:r>
              </a:p>
            </c:rich>
          </c:tx>
          <c:overlay val="0"/>
          <c:spPr>
            <a:noFill/>
            <a:ln>
              <a:noFill/>
            </a:ln>
            <a:effectLst/>
          </c:spPr>
        </c:title>
        <c:numFmt formatCode="_(* #,##0.0_);_(* \(#,##0.0\);_(* &quot;-&quot;??_);_(@_)" sourceLinked="1"/>
        <c:majorTickMark val="in"/>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3238784"/>
        <c:crosses val="autoZero"/>
        <c:crossBetween val="between"/>
        <c:majorUnit val="15"/>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300" b="1"/>
              <a:t>Các loại chi phí trong tháng</a:t>
            </a:r>
          </a:p>
        </c:rich>
      </c:tx>
      <c:overlay val="0"/>
      <c:spPr>
        <a:noFill/>
        <a:ln>
          <a:noFill/>
        </a:ln>
        <a:effectLst/>
      </c:spPr>
    </c:title>
    <c:autoTitleDeleted val="0"/>
    <c:plotArea>
      <c:layout>
        <c:manualLayout>
          <c:layoutTarget val="inner"/>
          <c:xMode val="edge"/>
          <c:yMode val="edge"/>
          <c:x val="0.22234255647045362"/>
          <c:y val="0.14087091221651724"/>
          <c:w val="0.74901761815040224"/>
          <c:h val="0.85912908778348274"/>
        </c:manualLayout>
      </c:layout>
      <c:barChart>
        <c:barDir val="bar"/>
        <c:grouping val="clustered"/>
        <c:varyColors val="0"/>
        <c:ser>
          <c:idx val="0"/>
          <c:order val="0"/>
          <c:tx>
            <c:strRef>
              <c:f>'T1'!$E$40:$N$40</c:f>
              <c:strCache>
                <c:ptCount val="1"/>
                <c:pt idx="0">
                  <c:v>Chi tiêu chi tiết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'T1'!$P$42:$P$51</c:f>
              <c:strCache>
                <c:ptCount val="10"/>
                <c:pt idx="0">
                  <c:v>Mua thực phẩm</c:v>
                </c:pt>
                <c:pt idx="1">
                  <c:v>Mua đồ dùng trong nhà</c:v>
                </c:pt>
                <c:pt idx="2">
                  <c:v>Đi ăn ở ngoài</c:v>
                </c:pt>
                <c:pt idx="3">
                  <c:v>Chi tiền phát triển bản thân</c:v>
                </c:pt>
                <c:pt idx="4">
                  <c:v>Chi tiền bảo hiểm</c:v>
                </c:pt>
                <c:pt idx="5">
                  <c:v>Chi tiền điện, nước, internet, điện thoại, xăng xe</c:v>
                </c:pt>
                <c:pt idx="6">
                  <c:v>Chi tiền giải trí, quà tặng</c:v>
                </c:pt>
                <c:pt idx="7">
                  <c:v>Chi tiền cho con</c:v>
                </c:pt>
                <c:pt idx="8">
                  <c:v>Chi tiền trả nợ</c:v>
                </c:pt>
                <c:pt idx="9">
                  <c:v>Chi tiền cho tặng gia đình</c:v>
                </c:pt>
              </c:strCache>
              <c:extLst/>
            </c:strRef>
          </c:cat>
          <c:val>
            <c:numRef>
              <c:f>'T1'!$W$42:$W$51</c:f>
              <c:numCache>
                <c:formatCode>_(* #,##0.0_);_(* \(#,##0.0\);_(* "-"??_);_(@_)</c:formatCode>
                <c:ptCount val="10"/>
                <c:pt idx="0">
                  <c:v>5.5</c:v>
                </c:pt>
                <c:pt idx="1">
                  <c:v>0.3</c:v>
                </c:pt>
                <c:pt idx="2">
                  <c:v>0.8</c:v>
                </c:pt>
                <c:pt idx="3">
                  <c:v>1.1000000000000001</c:v>
                </c:pt>
                <c:pt idx="4">
                  <c:v>0</c:v>
                </c:pt>
                <c:pt idx="5">
                  <c:v>1.3</c:v>
                </c:pt>
                <c:pt idx="6">
                  <c:v>0</c:v>
                </c:pt>
                <c:pt idx="7">
                  <c:v>0</c:v>
                </c:pt>
                <c:pt idx="8">
                  <c:v>6.5</c:v>
                </c:pt>
                <c:pt idx="9">
                  <c:v>2</c:v>
                </c:pt>
              </c:numCache>
              <c:extLst/>
            </c:numRef>
          </c:val>
          <c:extLst>
            <c:ext xmlns:c16="http://schemas.microsoft.com/office/drawing/2014/chart" uri="{C3380CC4-5D6E-409C-BE32-E72D297353CC}">
              <c16:uniqueId val="{00000002-EB87-4C17-A235-B1E20B8FF499}"/>
            </c:ext>
          </c:extLst>
        </c:ser>
        <c:dLbls>
          <c:dLblPos val="outEnd"/>
          <c:showLegendKey val="0"/>
          <c:showVal val="1"/>
          <c:showCatName val="0"/>
          <c:showSerName val="0"/>
          <c:showPercent val="0"/>
          <c:showBubbleSize val="0"/>
        </c:dLbls>
        <c:gapWidth val="40"/>
        <c:overlap val="-1"/>
        <c:axId val="204690560"/>
        <c:axId val="204693504"/>
      </c:barChart>
      <c:catAx>
        <c:axId val="204690560"/>
        <c:scaling>
          <c:orientation val="minMax"/>
        </c:scaling>
        <c:delete val="0"/>
        <c:axPos val="l"/>
        <c:numFmt formatCode="General" sourceLinked="1"/>
        <c:majorTickMark val="in"/>
        <c:minorTickMark val="none"/>
        <c:tickLblPos val="nextTo"/>
        <c:spPr>
          <a:noFill/>
          <a:ln w="9525" cap="flat" cmpd="sng" algn="ctr">
            <a:solidFill>
              <a:schemeClr val="accent2"/>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4693504"/>
        <c:crosses val="autoZero"/>
        <c:auto val="1"/>
        <c:lblAlgn val="ctr"/>
        <c:lblOffset val="100"/>
        <c:noMultiLvlLbl val="0"/>
      </c:catAx>
      <c:valAx>
        <c:axId val="204693504"/>
        <c:scaling>
          <c:orientation val="minMax"/>
        </c:scaling>
        <c:delete val="1"/>
        <c:axPos val="b"/>
        <c:numFmt formatCode="_(* #,##0.0_);_(* \(#,##0.0\);_(* &quot;-&quot;??_);_(@_)" sourceLinked="1"/>
        <c:majorTickMark val="none"/>
        <c:minorTickMark val="none"/>
        <c:tickLblPos val="nextTo"/>
        <c:crossAx val="204690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300" b="1"/>
              <a:t>Các loại chi phí trong tháng</a:t>
            </a:r>
          </a:p>
        </c:rich>
      </c:tx>
      <c:overlay val="0"/>
      <c:spPr>
        <a:noFill/>
        <a:ln>
          <a:noFill/>
        </a:ln>
        <a:effectLst/>
      </c:spPr>
    </c:title>
    <c:autoTitleDeleted val="0"/>
    <c:plotArea>
      <c:layout>
        <c:manualLayout>
          <c:layoutTarget val="inner"/>
          <c:xMode val="edge"/>
          <c:yMode val="edge"/>
          <c:x val="0.32149747830409353"/>
          <c:y val="0.14087091221651724"/>
          <c:w val="0.64986269491773652"/>
          <c:h val="0.85912908778348274"/>
        </c:manualLayout>
      </c:layout>
      <c:barChart>
        <c:barDir val="bar"/>
        <c:grouping val="clustered"/>
        <c:varyColors val="0"/>
        <c:ser>
          <c:idx val="0"/>
          <c:order val="0"/>
          <c:tx>
            <c:strRef>
              <c:f>'T2'!$E$40:$N$40</c:f>
              <c:strCache>
                <c:ptCount val="1"/>
                <c:pt idx="0">
                  <c:v>Chi tiêu chi tiết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'T2'!$P$42:$P$51</c:f>
              <c:strCache>
                <c:ptCount val="10"/>
                <c:pt idx="0">
                  <c:v>Mua thực phẩm</c:v>
                </c:pt>
                <c:pt idx="1">
                  <c:v>Mua đồ dùng trong nhà</c:v>
                </c:pt>
                <c:pt idx="2">
                  <c:v>Đi ăn ở ngoài</c:v>
                </c:pt>
                <c:pt idx="3">
                  <c:v>Chi tiền phát triển bản thân</c:v>
                </c:pt>
                <c:pt idx="4">
                  <c:v>Chi tiền bảo hiểm</c:v>
                </c:pt>
                <c:pt idx="5">
                  <c:v>Chi tiền điện, nước, internet, điện thoại, xăng xe</c:v>
                </c:pt>
                <c:pt idx="6">
                  <c:v>Chi tiền giải trí, quà tặng</c:v>
                </c:pt>
                <c:pt idx="7">
                  <c:v>Chi tiền cho con</c:v>
                </c:pt>
                <c:pt idx="8">
                  <c:v>Chi tiền trả nợ</c:v>
                </c:pt>
                <c:pt idx="9">
                  <c:v>Chi tiền cho tặng gia đình</c:v>
                </c:pt>
              </c:strCache>
              <c:extLst/>
            </c:strRef>
          </c:cat>
          <c:val>
            <c:numRef>
              <c:f>'T2'!$W$42:$W$51</c:f>
              <c:numCache>
                <c:formatCode>_(* #,##0.0_);_(* \(#,##0.0\);_(* "-"??_);_(@_)</c:formatCode>
                <c:ptCount val="10"/>
                <c:pt idx="0">
                  <c:v>5</c:v>
                </c:pt>
                <c:pt idx="1">
                  <c:v>0.7</c:v>
                </c:pt>
                <c:pt idx="2">
                  <c:v>1.8000000000000003</c:v>
                </c:pt>
                <c:pt idx="3">
                  <c:v>2.2999999999999998</c:v>
                </c:pt>
                <c:pt idx="4">
                  <c:v>0</c:v>
                </c:pt>
                <c:pt idx="5">
                  <c:v>1.6</c:v>
                </c:pt>
                <c:pt idx="6">
                  <c:v>0</c:v>
                </c:pt>
                <c:pt idx="7">
                  <c:v>0</c:v>
                </c:pt>
                <c:pt idx="8">
                  <c:v>6.5</c:v>
                </c:pt>
                <c:pt idx="9">
                  <c:v>1.3</c:v>
                </c:pt>
              </c:numCache>
              <c:extLst/>
            </c:numRef>
          </c:val>
          <c:extLst>
            <c:ext xmlns:c16="http://schemas.microsoft.com/office/drawing/2014/chart" uri="{C3380CC4-5D6E-409C-BE32-E72D297353CC}">
              <c16:uniqueId val="{00000000-F64F-4B7D-92ED-F15256766D10}"/>
            </c:ext>
          </c:extLst>
        </c:ser>
        <c:dLbls>
          <c:dLblPos val="outEnd"/>
          <c:showLegendKey val="0"/>
          <c:showVal val="1"/>
          <c:showCatName val="0"/>
          <c:showSerName val="0"/>
          <c:showPercent val="0"/>
          <c:showBubbleSize val="0"/>
        </c:dLbls>
        <c:gapWidth val="40"/>
        <c:overlap val="-1"/>
        <c:axId val="204167040"/>
        <c:axId val="204194560"/>
      </c:barChart>
      <c:catAx>
        <c:axId val="204167040"/>
        <c:scaling>
          <c:orientation val="minMax"/>
        </c:scaling>
        <c:delete val="0"/>
        <c:axPos val="l"/>
        <c:numFmt formatCode="General" sourceLinked="1"/>
        <c:majorTickMark val="in"/>
        <c:minorTickMark val="none"/>
        <c:tickLblPos val="nextTo"/>
        <c:spPr>
          <a:noFill/>
          <a:ln w="9525" cap="flat" cmpd="sng" algn="ctr">
            <a:solidFill>
              <a:schemeClr val="accent2"/>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4194560"/>
        <c:crosses val="autoZero"/>
        <c:auto val="1"/>
        <c:lblAlgn val="ctr"/>
        <c:lblOffset val="100"/>
        <c:noMultiLvlLbl val="0"/>
      </c:catAx>
      <c:valAx>
        <c:axId val="204194560"/>
        <c:scaling>
          <c:orientation val="minMax"/>
        </c:scaling>
        <c:delete val="1"/>
        <c:axPos val="b"/>
        <c:numFmt formatCode="_(* #,##0.0_);_(* \(#,##0.0\);_(* &quot;-&quot;??_);_(@_)" sourceLinked="1"/>
        <c:majorTickMark val="none"/>
        <c:minorTickMark val="none"/>
        <c:tickLblPos val="nextTo"/>
        <c:crossAx val="204167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300" b="1"/>
              <a:t>Các loại chi phí trong tháng</a:t>
            </a:r>
          </a:p>
        </c:rich>
      </c:tx>
      <c:overlay val="0"/>
      <c:spPr>
        <a:noFill/>
        <a:ln>
          <a:noFill/>
        </a:ln>
        <a:effectLst/>
      </c:spPr>
    </c:title>
    <c:autoTitleDeleted val="0"/>
    <c:plotArea>
      <c:layout>
        <c:manualLayout>
          <c:layoutTarget val="inner"/>
          <c:xMode val="edge"/>
          <c:yMode val="edge"/>
          <c:x val="0.22234255647045362"/>
          <c:y val="0.14087091221651724"/>
          <c:w val="0.74901761815040224"/>
          <c:h val="0.85912908778348274"/>
        </c:manualLayout>
      </c:layout>
      <c:barChart>
        <c:barDir val="bar"/>
        <c:grouping val="clustered"/>
        <c:varyColors val="0"/>
        <c:ser>
          <c:idx val="0"/>
          <c:order val="0"/>
          <c:tx>
            <c:strRef>
              <c:f>'T3'!$E$40:$N$40</c:f>
              <c:strCache>
                <c:ptCount val="1"/>
                <c:pt idx="0">
                  <c:v>Chi tiêu chi tiết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'T3'!$P$42:$P$51</c:f>
              <c:strCache>
                <c:ptCount val="10"/>
                <c:pt idx="0">
                  <c:v>Mua thực phẩm</c:v>
                </c:pt>
                <c:pt idx="1">
                  <c:v>Mua đồ dùng trong nhà</c:v>
                </c:pt>
                <c:pt idx="2">
                  <c:v>Đi ăn ở ngoài</c:v>
                </c:pt>
                <c:pt idx="3">
                  <c:v>Chi tiền phát triển bản thân</c:v>
                </c:pt>
                <c:pt idx="4">
                  <c:v>Chi tiền bảo hiểm</c:v>
                </c:pt>
                <c:pt idx="5">
                  <c:v>Chi tiền điện, nước, internet, điện thoại, xăng xe</c:v>
                </c:pt>
                <c:pt idx="6">
                  <c:v>Chi tiền giải trí, quà tặng</c:v>
                </c:pt>
                <c:pt idx="7">
                  <c:v>Chi tiền cho con</c:v>
                </c:pt>
                <c:pt idx="8">
                  <c:v>Chi tiền trả nợ</c:v>
                </c:pt>
                <c:pt idx="9">
                  <c:v>Chi tiền cho tặng gia đình</c:v>
                </c:pt>
              </c:strCache>
              <c:extLst/>
            </c:strRef>
          </c:cat>
          <c:val>
            <c:numRef>
              <c:f>'T3'!$W$42:$W$51</c:f>
              <c:numCache>
                <c:formatCode>_(* #,##0.0_);_(* \(#,##0.0\);_(* "-"??_);_(@_)</c:formatCode>
                <c:ptCount val="10"/>
                <c:pt idx="0">
                  <c:v>6.8</c:v>
                </c:pt>
                <c:pt idx="1">
                  <c:v>1.1000000000000001</c:v>
                </c:pt>
                <c:pt idx="2">
                  <c:v>0.5</c:v>
                </c:pt>
                <c:pt idx="3">
                  <c:v>1.5</c:v>
                </c:pt>
                <c:pt idx="4">
                  <c:v>0.5</c:v>
                </c:pt>
                <c:pt idx="5">
                  <c:v>1.6500000000000001</c:v>
                </c:pt>
                <c:pt idx="6">
                  <c:v>0.7</c:v>
                </c:pt>
                <c:pt idx="7">
                  <c:v>0</c:v>
                </c:pt>
                <c:pt idx="8">
                  <c:v>6.5</c:v>
                </c:pt>
                <c:pt idx="9">
                  <c:v>0</c:v>
                </c:pt>
              </c:numCache>
              <c:extLst/>
            </c:numRef>
          </c:val>
          <c:extLst>
            <c:ext xmlns:c16="http://schemas.microsoft.com/office/drawing/2014/chart" uri="{C3380CC4-5D6E-409C-BE32-E72D297353CC}">
              <c16:uniqueId val="{00000000-3FE9-4995-AB70-DA2DFD69B1AA}"/>
            </c:ext>
          </c:extLst>
        </c:ser>
        <c:dLbls>
          <c:dLblPos val="outEnd"/>
          <c:showLegendKey val="0"/>
          <c:showVal val="1"/>
          <c:showCatName val="0"/>
          <c:showSerName val="0"/>
          <c:showPercent val="0"/>
          <c:showBubbleSize val="0"/>
        </c:dLbls>
        <c:gapWidth val="40"/>
        <c:overlap val="-1"/>
        <c:axId val="204622080"/>
        <c:axId val="204625024"/>
      </c:barChart>
      <c:catAx>
        <c:axId val="204622080"/>
        <c:scaling>
          <c:orientation val="minMax"/>
        </c:scaling>
        <c:delete val="0"/>
        <c:axPos val="l"/>
        <c:numFmt formatCode="General" sourceLinked="1"/>
        <c:majorTickMark val="in"/>
        <c:minorTickMark val="none"/>
        <c:tickLblPos val="nextTo"/>
        <c:spPr>
          <a:noFill/>
          <a:ln w="9525" cap="flat" cmpd="sng" algn="ctr">
            <a:solidFill>
              <a:schemeClr val="accent2"/>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4625024"/>
        <c:crosses val="autoZero"/>
        <c:auto val="1"/>
        <c:lblAlgn val="ctr"/>
        <c:lblOffset val="100"/>
        <c:noMultiLvlLbl val="0"/>
      </c:catAx>
      <c:valAx>
        <c:axId val="204625024"/>
        <c:scaling>
          <c:orientation val="minMax"/>
        </c:scaling>
        <c:delete val="1"/>
        <c:axPos val="b"/>
        <c:numFmt formatCode="_(* #,##0.0_);_(* \(#,##0.0\);_(* &quot;-&quot;??_);_(@_)" sourceLinked="1"/>
        <c:majorTickMark val="none"/>
        <c:minorTickMark val="none"/>
        <c:tickLblPos val="nextTo"/>
        <c:crossAx val="204622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300" b="1"/>
              <a:t>Các loại chi phí trong tháng</a:t>
            </a:r>
          </a:p>
        </c:rich>
      </c:tx>
      <c:overlay val="0"/>
      <c:spPr>
        <a:noFill/>
        <a:ln>
          <a:noFill/>
        </a:ln>
        <a:effectLst/>
      </c:spPr>
    </c:title>
    <c:autoTitleDeleted val="0"/>
    <c:plotArea>
      <c:layout>
        <c:manualLayout>
          <c:layoutTarget val="inner"/>
          <c:xMode val="edge"/>
          <c:yMode val="edge"/>
          <c:x val="0.22234255647045362"/>
          <c:y val="0.14087091221651724"/>
          <c:w val="0.74901761815040224"/>
          <c:h val="0.85912908778348274"/>
        </c:manualLayout>
      </c:layout>
      <c:barChart>
        <c:barDir val="bar"/>
        <c:grouping val="clustered"/>
        <c:varyColors val="0"/>
        <c:ser>
          <c:idx val="0"/>
          <c:order val="0"/>
          <c:tx>
            <c:strRef>
              <c:f>'T4'!$E$40:$N$40</c:f>
              <c:strCache>
                <c:ptCount val="1"/>
                <c:pt idx="0">
                  <c:v>Chi tiêu chi tiết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'T4'!$P$42:$P$51</c:f>
              <c:strCache>
                <c:ptCount val="10"/>
                <c:pt idx="0">
                  <c:v>Mua thực phẩm</c:v>
                </c:pt>
                <c:pt idx="1">
                  <c:v>Mua đồ dùng trong nhà</c:v>
                </c:pt>
                <c:pt idx="2">
                  <c:v>Đi ăn ở ngoài</c:v>
                </c:pt>
                <c:pt idx="3">
                  <c:v>Chi tiền phát triển bản thân</c:v>
                </c:pt>
                <c:pt idx="4">
                  <c:v>Chi tiền bảo hiểm</c:v>
                </c:pt>
                <c:pt idx="5">
                  <c:v>Chi tiền điện, nước, internet, điện thoại, xăng xe</c:v>
                </c:pt>
                <c:pt idx="6">
                  <c:v>Chi tiền giải trí, quà tặng</c:v>
                </c:pt>
                <c:pt idx="7">
                  <c:v>Chi tiền cho con</c:v>
                </c:pt>
                <c:pt idx="8">
                  <c:v>Chi tiền trả nợ</c:v>
                </c:pt>
                <c:pt idx="9">
                  <c:v>Chi tiền cho tặng gia đình</c:v>
                </c:pt>
              </c:strCache>
              <c:extLst/>
            </c:strRef>
          </c:cat>
          <c:val>
            <c:numRef>
              <c:f>'T4'!$W$42:$W$51</c:f>
              <c:numCache>
                <c:formatCode>_(* #,##0.0_);_(* \(#,##0.0\);_(* "-"??_);_(@_)</c:formatCode>
                <c:ptCount val="10"/>
                <c:pt idx="0">
                  <c:v>5</c:v>
                </c:pt>
                <c:pt idx="1">
                  <c:v>0.4</c:v>
                </c:pt>
                <c:pt idx="2">
                  <c:v>1.3</c:v>
                </c:pt>
                <c:pt idx="3">
                  <c:v>1.2999999999999998</c:v>
                </c:pt>
                <c:pt idx="4">
                  <c:v>0</c:v>
                </c:pt>
                <c:pt idx="5">
                  <c:v>1.35</c:v>
                </c:pt>
                <c:pt idx="6">
                  <c:v>0</c:v>
                </c:pt>
                <c:pt idx="7">
                  <c:v>0</c:v>
                </c:pt>
                <c:pt idx="8">
                  <c:v>6.5</c:v>
                </c:pt>
                <c:pt idx="9">
                  <c:v>1.4</c:v>
                </c:pt>
              </c:numCache>
              <c:extLst/>
            </c:numRef>
          </c:val>
          <c:extLst>
            <c:ext xmlns:c16="http://schemas.microsoft.com/office/drawing/2014/chart" uri="{C3380CC4-5D6E-409C-BE32-E72D297353CC}">
              <c16:uniqueId val="{00000000-5A03-4E64-900A-489CE8C6E10F}"/>
            </c:ext>
          </c:extLst>
        </c:ser>
        <c:dLbls>
          <c:dLblPos val="outEnd"/>
          <c:showLegendKey val="0"/>
          <c:showVal val="1"/>
          <c:showCatName val="0"/>
          <c:showSerName val="0"/>
          <c:showPercent val="0"/>
          <c:showBubbleSize val="0"/>
        </c:dLbls>
        <c:gapWidth val="40"/>
        <c:overlap val="-1"/>
        <c:axId val="205023872"/>
        <c:axId val="205030912"/>
      </c:barChart>
      <c:catAx>
        <c:axId val="205023872"/>
        <c:scaling>
          <c:orientation val="minMax"/>
        </c:scaling>
        <c:delete val="0"/>
        <c:axPos val="l"/>
        <c:numFmt formatCode="General" sourceLinked="1"/>
        <c:majorTickMark val="in"/>
        <c:minorTickMark val="none"/>
        <c:tickLblPos val="nextTo"/>
        <c:spPr>
          <a:noFill/>
          <a:ln w="9525" cap="flat" cmpd="sng" algn="ctr">
            <a:solidFill>
              <a:schemeClr val="accent2"/>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5030912"/>
        <c:crosses val="autoZero"/>
        <c:auto val="1"/>
        <c:lblAlgn val="ctr"/>
        <c:lblOffset val="100"/>
        <c:noMultiLvlLbl val="0"/>
      </c:catAx>
      <c:valAx>
        <c:axId val="205030912"/>
        <c:scaling>
          <c:orientation val="minMax"/>
        </c:scaling>
        <c:delete val="1"/>
        <c:axPos val="b"/>
        <c:numFmt formatCode="_(* #,##0.0_);_(* \(#,##0.0\);_(* &quot;-&quot;??_);_(@_)" sourceLinked="1"/>
        <c:majorTickMark val="none"/>
        <c:minorTickMark val="none"/>
        <c:tickLblPos val="nextTo"/>
        <c:crossAx val="205023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300" b="1"/>
              <a:t>Các loại chi phí trong tháng</a:t>
            </a:r>
          </a:p>
        </c:rich>
      </c:tx>
      <c:overlay val="0"/>
      <c:spPr>
        <a:noFill/>
        <a:ln>
          <a:noFill/>
        </a:ln>
        <a:effectLst/>
      </c:spPr>
    </c:title>
    <c:autoTitleDeleted val="0"/>
    <c:plotArea>
      <c:layout>
        <c:manualLayout>
          <c:layoutTarget val="inner"/>
          <c:xMode val="edge"/>
          <c:yMode val="edge"/>
          <c:x val="0.22234255647045362"/>
          <c:y val="0.14087091221651724"/>
          <c:w val="0.74901761815040224"/>
          <c:h val="0.85912908778348274"/>
        </c:manualLayout>
      </c:layout>
      <c:barChart>
        <c:barDir val="bar"/>
        <c:grouping val="clustered"/>
        <c:varyColors val="0"/>
        <c:ser>
          <c:idx val="0"/>
          <c:order val="0"/>
          <c:tx>
            <c:strRef>
              <c:f>'T5'!$E$40:$N$40</c:f>
              <c:strCache>
                <c:ptCount val="1"/>
                <c:pt idx="0">
                  <c:v>Chi tiêu chi tiết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'T5'!$P$42:$P$51</c:f>
              <c:strCache>
                <c:ptCount val="10"/>
                <c:pt idx="0">
                  <c:v>Mua thực phẩm</c:v>
                </c:pt>
                <c:pt idx="1">
                  <c:v>Mua đồ dùng trong nhà</c:v>
                </c:pt>
                <c:pt idx="2">
                  <c:v>Đi ăn ở ngoài</c:v>
                </c:pt>
                <c:pt idx="3">
                  <c:v>Chi tiền phát triển bản thân</c:v>
                </c:pt>
                <c:pt idx="4">
                  <c:v>Chi tiền bảo hiểm</c:v>
                </c:pt>
                <c:pt idx="5">
                  <c:v>Chi tiền điện, nước, internet, điện thoại, xăng xe</c:v>
                </c:pt>
                <c:pt idx="6">
                  <c:v>Chi tiền giải trí, quà tặng</c:v>
                </c:pt>
                <c:pt idx="7">
                  <c:v>Chi tiền cho con</c:v>
                </c:pt>
                <c:pt idx="8">
                  <c:v>Chi tiền trả nợ</c:v>
                </c:pt>
                <c:pt idx="9">
                  <c:v>Chi tiền cho tặng gia đình</c:v>
                </c:pt>
              </c:strCache>
              <c:extLst/>
            </c:strRef>
          </c:cat>
          <c:val>
            <c:numRef>
              <c:f>'T5'!$W$42:$W$51</c:f>
              <c:numCache>
                <c:formatCode>_(* #,##0.0_);_(* \(#,##0.0\);_(* "-"??_);_(@_)</c:formatCode>
                <c:ptCount val="10"/>
                <c:pt idx="0">
                  <c:v>3.4</c:v>
                </c:pt>
                <c:pt idx="1">
                  <c:v>1</c:v>
                </c:pt>
                <c:pt idx="2">
                  <c:v>1.2999999999999998</c:v>
                </c:pt>
                <c:pt idx="3">
                  <c:v>2</c:v>
                </c:pt>
                <c:pt idx="4">
                  <c:v>0</c:v>
                </c:pt>
                <c:pt idx="5">
                  <c:v>1.5</c:v>
                </c:pt>
                <c:pt idx="6">
                  <c:v>0.4</c:v>
                </c:pt>
                <c:pt idx="7">
                  <c:v>0</c:v>
                </c:pt>
                <c:pt idx="8">
                  <c:v>6.5</c:v>
                </c:pt>
                <c:pt idx="9">
                  <c:v>0.5</c:v>
                </c:pt>
              </c:numCache>
              <c:extLst/>
            </c:numRef>
          </c:val>
          <c:extLst>
            <c:ext xmlns:c16="http://schemas.microsoft.com/office/drawing/2014/chart" uri="{C3380CC4-5D6E-409C-BE32-E72D297353CC}">
              <c16:uniqueId val="{00000000-7EA1-4F99-BA57-995FF2B5F5DB}"/>
            </c:ext>
          </c:extLst>
        </c:ser>
        <c:dLbls>
          <c:dLblPos val="outEnd"/>
          <c:showLegendKey val="0"/>
          <c:showVal val="1"/>
          <c:showCatName val="0"/>
          <c:showSerName val="0"/>
          <c:showPercent val="0"/>
          <c:showBubbleSize val="0"/>
        </c:dLbls>
        <c:gapWidth val="40"/>
        <c:overlap val="-1"/>
        <c:axId val="205306880"/>
        <c:axId val="205481856"/>
      </c:barChart>
      <c:catAx>
        <c:axId val="205306880"/>
        <c:scaling>
          <c:orientation val="minMax"/>
        </c:scaling>
        <c:delete val="0"/>
        <c:axPos val="l"/>
        <c:numFmt formatCode="General" sourceLinked="1"/>
        <c:majorTickMark val="in"/>
        <c:minorTickMark val="none"/>
        <c:tickLblPos val="nextTo"/>
        <c:spPr>
          <a:noFill/>
          <a:ln w="9525" cap="flat" cmpd="sng" algn="ctr">
            <a:solidFill>
              <a:schemeClr val="accent2"/>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5481856"/>
        <c:crosses val="autoZero"/>
        <c:auto val="1"/>
        <c:lblAlgn val="ctr"/>
        <c:lblOffset val="100"/>
        <c:noMultiLvlLbl val="0"/>
      </c:catAx>
      <c:valAx>
        <c:axId val="205481856"/>
        <c:scaling>
          <c:orientation val="minMax"/>
        </c:scaling>
        <c:delete val="1"/>
        <c:axPos val="b"/>
        <c:numFmt formatCode="_(* #,##0.0_);_(* \(#,##0.0\);_(* &quot;-&quot;??_);_(@_)" sourceLinked="1"/>
        <c:majorTickMark val="none"/>
        <c:minorTickMark val="none"/>
        <c:tickLblPos val="nextTo"/>
        <c:crossAx val="205306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300" b="1"/>
              <a:t>Các loại chi phí trong tháng</a:t>
            </a:r>
          </a:p>
        </c:rich>
      </c:tx>
      <c:overlay val="0"/>
      <c:spPr>
        <a:noFill/>
        <a:ln>
          <a:noFill/>
        </a:ln>
        <a:effectLst/>
      </c:spPr>
    </c:title>
    <c:autoTitleDeleted val="0"/>
    <c:plotArea>
      <c:layout>
        <c:manualLayout>
          <c:layoutTarget val="inner"/>
          <c:xMode val="edge"/>
          <c:yMode val="edge"/>
          <c:x val="0.22234255647045362"/>
          <c:y val="0.14087091221651724"/>
          <c:w val="0.74901761815040224"/>
          <c:h val="0.85912908778348274"/>
        </c:manualLayout>
      </c:layout>
      <c:barChart>
        <c:barDir val="bar"/>
        <c:grouping val="clustered"/>
        <c:varyColors val="0"/>
        <c:ser>
          <c:idx val="0"/>
          <c:order val="0"/>
          <c:tx>
            <c:strRef>
              <c:f>'T6'!$E$40:$N$40</c:f>
              <c:strCache>
                <c:ptCount val="1"/>
                <c:pt idx="0">
                  <c:v>Chi tiêu chi tiết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'T6'!$P$42:$P$51</c:f>
              <c:strCache>
                <c:ptCount val="10"/>
                <c:pt idx="0">
                  <c:v>Mua thực phẩm</c:v>
                </c:pt>
                <c:pt idx="1">
                  <c:v>Mua đồ dùng trong nhà</c:v>
                </c:pt>
                <c:pt idx="2">
                  <c:v>Đi ăn ở ngoài</c:v>
                </c:pt>
                <c:pt idx="3">
                  <c:v>Chi tiền phát triển bản thân</c:v>
                </c:pt>
                <c:pt idx="4">
                  <c:v>Chi tiền bảo hiểm</c:v>
                </c:pt>
                <c:pt idx="5">
                  <c:v>Chi tiền điện, nước, internet, điện thoại, xăng xe</c:v>
                </c:pt>
                <c:pt idx="6">
                  <c:v>Chi tiền giải trí, quà tặng</c:v>
                </c:pt>
                <c:pt idx="7">
                  <c:v>Chi tiền cho con</c:v>
                </c:pt>
                <c:pt idx="8">
                  <c:v>Chi tiền trả nợ</c:v>
                </c:pt>
                <c:pt idx="9">
                  <c:v>Chi tiền cho tặng gia đình</c:v>
                </c:pt>
              </c:strCache>
              <c:extLst/>
            </c:strRef>
          </c:cat>
          <c:val>
            <c:numRef>
              <c:f>'T6'!$W$42:$W$51</c:f>
              <c:numCache>
                <c:formatCode>_(* #,##0.0_);_(* \(#,##0.0\);_(* "-"??_);_(@_)</c:formatCode>
                <c:ptCount val="10"/>
                <c:pt idx="0">
                  <c:v>4.3</c:v>
                </c:pt>
                <c:pt idx="1">
                  <c:v>0.30000000000000004</c:v>
                </c:pt>
                <c:pt idx="2">
                  <c:v>1</c:v>
                </c:pt>
                <c:pt idx="3">
                  <c:v>1.0999999999999999</c:v>
                </c:pt>
                <c:pt idx="4">
                  <c:v>0</c:v>
                </c:pt>
                <c:pt idx="5">
                  <c:v>1.7500000000000002</c:v>
                </c:pt>
                <c:pt idx="6">
                  <c:v>0</c:v>
                </c:pt>
                <c:pt idx="7">
                  <c:v>0</c:v>
                </c:pt>
                <c:pt idx="8">
                  <c:v>6.5</c:v>
                </c:pt>
                <c:pt idx="9">
                  <c:v>0</c:v>
                </c:pt>
              </c:numCache>
              <c:extLst/>
            </c:numRef>
          </c:val>
          <c:extLst>
            <c:ext xmlns:c16="http://schemas.microsoft.com/office/drawing/2014/chart" uri="{C3380CC4-5D6E-409C-BE32-E72D297353CC}">
              <c16:uniqueId val="{00000000-67E0-4989-BADF-CC5B63608198}"/>
            </c:ext>
          </c:extLst>
        </c:ser>
        <c:dLbls>
          <c:dLblPos val="outEnd"/>
          <c:showLegendKey val="0"/>
          <c:showVal val="1"/>
          <c:showCatName val="0"/>
          <c:showSerName val="0"/>
          <c:showPercent val="0"/>
          <c:showBubbleSize val="0"/>
        </c:dLbls>
        <c:gapWidth val="40"/>
        <c:overlap val="-1"/>
        <c:axId val="205704576"/>
        <c:axId val="206018816"/>
      </c:barChart>
      <c:catAx>
        <c:axId val="205704576"/>
        <c:scaling>
          <c:orientation val="minMax"/>
        </c:scaling>
        <c:delete val="0"/>
        <c:axPos val="l"/>
        <c:numFmt formatCode="General" sourceLinked="1"/>
        <c:majorTickMark val="in"/>
        <c:minorTickMark val="none"/>
        <c:tickLblPos val="nextTo"/>
        <c:spPr>
          <a:noFill/>
          <a:ln w="9525" cap="flat" cmpd="sng" algn="ctr">
            <a:solidFill>
              <a:schemeClr val="accent2"/>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6018816"/>
        <c:crosses val="autoZero"/>
        <c:auto val="1"/>
        <c:lblAlgn val="ctr"/>
        <c:lblOffset val="100"/>
        <c:noMultiLvlLbl val="0"/>
      </c:catAx>
      <c:valAx>
        <c:axId val="206018816"/>
        <c:scaling>
          <c:orientation val="minMax"/>
        </c:scaling>
        <c:delete val="1"/>
        <c:axPos val="b"/>
        <c:numFmt formatCode="_(* #,##0.0_);_(* \(#,##0.0\);_(* &quot;-&quot;??_);_(@_)" sourceLinked="1"/>
        <c:majorTickMark val="none"/>
        <c:minorTickMark val="none"/>
        <c:tickLblPos val="nextTo"/>
        <c:crossAx val="205704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300" b="1"/>
              <a:t>Các loại chi phí trong tháng</a:t>
            </a:r>
          </a:p>
        </c:rich>
      </c:tx>
      <c:overlay val="0"/>
      <c:spPr>
        <a:noFill/>
        <a:ln>
          <a:noFill/>
        </a:ln>
        <a:effectLst/>
      </c:spPr>
    </c:title>
    <c:autoTitleDeleted val="0"/>
    <c:plotArea>
      <c:layout>
        <c:manualLayout>
          <c:layoutTarget val="inner"/>
          <c:xMode val="edge"/>
          <c:yMode val="edge"/>
          <c:x val="0.22234255647045362"/>
          <c:y val="0.14087091221651724"/>
          <c:w val="0.74901761815040224"/>
          <c:h val="0.85912908778348274"/>
        </c:manualLayout>
      </c:layout>
      <c:barChart>
        <c:barDir val="bar"/>
        <c:grouping val="clustered"/>
        <c:varyColors val="0"/>
        <c:ser>
          <c:idx val="0"/>
          <c:order val="0"/>
          <c:tx>
            <c:strRef>
              <c:f>'T7'!$E$40:$N$40</c:f>
              <c:strCache>
                <c:ptCount val="1"/>
                <c:pt idx="0">
                  <c:v>Chi tiêu chi tiết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'T7'!$P$42:$P$51</c:f>
              <c:strCache>
                <c:ptCount val="10"/>
                <c:pt idx="0">
                  <c:v>Mua thực phẩm</c:v>
                </c:pt>
                <c:pt idx="1">
                  <c:v>Mua đồ dùng trong nhà</c:v>
                </c:pt>
                <c:pt idx="2">
                  <c:v>Đi ăn ở ngoài</c:v>
                </c:pt>
                <c:pt idx="3">
                  <c:v>Chi tiền phát triển bản thân</c:v>
                </c:pt>
                <c:pt idx="4">
                  <c:v>Chi tiền bảo hiểm</c:v>
                </c:pt>
                <c:pt idx="5">
                  <c:v>Chi tiền điện, nước, internet, điện thoại, xăng xe</c:v>
                </c:pt>
                <c:pt idx="6">
                  <c:v>Chi tiền giải trí, quà tặng</c:v>
                </c:pt>
                <c:pt idx="7">
                  <c:v>Chi tiền cho con</c:v>
                </c:pt>
                <c:pt idx="8">
                  <c:v>Chi tiền trả nợ</c:v>
                </c:pt>
                <c:pt idx="9">
                  <c:v>Chi tiền cho tặng gia đình</c:v>
                </c:pt>
              </c:strCache>
              <c:extLst/>
            </c:strRef>
          </c:cat>
          <c:val>
            <c:numRef>
              <c:f>'T7'!$W$42:$W$51</c:f>
              <c:numCache>
                <c:formatCode>_(* #,##0.0_);_(* \(#,##0.0\);_(* "-"??_);_(@_)</c:formatCode>
                <c:ptCount val="10"/>
                <c:pt idx="0">
                  <c:v>5.5</c:v>
                </c:pt>
                <c:pt idx="1">
                  <c:v>2.5</c:v>
                </c:pt>
                <c:pt idx="2">
                  <c:v>0.5</c:v>
                </c:pt>
                <c:pt idx="3">
                  <c:v>1.1000000000000001</c:v>
                </c:pt>
                <c:pt idx="4">
                  <c:v>0</c:v>
                </c:pt>
                <c:pt idx="5">
                  <c:v>1.05</c:v>
                </c:pt>
                <c:pt idx="6">
                  <c:v>0</c:v>
                </c:pt>
                <c:pt idx="7">
                  <c:v>1</c:v>
                </c:pt>
                <c:pt idx="8">
                  <c:v>6.5</c:v>
                </c:pt>
                <c:pt idx="9">
                  <c:v>0.1</c:v>
                </c:pt>
              </c:numCache>
              <c:extLst/>
            </c:numRef>
          </c:val>
          <c:extLst>
            <c:ext xmlns:c16="http://schemas.microsoft.com/office/drawing/2014/chart" uri="{C3380CC4-5D6E-409C-BE32-E72D297353CC}">
              <c16:uniqueId val="{00000000-903B-4BF4-99E3-55EA25175410}"/>
            </c:ext>
          </c:extLst>
        </c:ser>
        <c:dLbls>
          <c:dLblPos val="outEnd"/>
          <c:showLegendKey val="0"/>
          <c:showVal val="1"/>
          <c:showCatName val="0"/>
          <c:showSerName val="0"/>
          <c:showPercent val="0"/>
          <c:showBubbleSize val="0"/>
        </c:dLbls>
        <c:gapWidth val="40"/>
        <c:overlap val="-1"/>
        <c:axId val="206073856"/>
        <c:axId val="206076544"/>
      </c:barChart>
      <c:catAx>
        <c:axId val="206073856"/>
        <c:scaling>
          <c:orientation val="minMax"/>
        </c:scaling>
        <c:delete val="0"/>
        <c:axPos val="l"/>
        <c:numFmt formatCode="General" sourceLinked="1"/>
        <c:majorTickMark val="in"/>
        <c:minorTickMark val="none"/>
        <c:tickLblPos val="nextTo"/>
        <c:spPr>
          <a:noFill/>
          <a:ln w="9525" cap="flat" cmpd="sng" algn="ctr">
            <a:solidFill>
              <a:schemeClr val="accent2"/>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6076544"/>
        <c:crosses val="autoZero"/>
        <c:auto val="1"/>
        <c:lblAlgn val="ctr"/>
        <c:lblOffset val="100"/>
        <c:noMultiLvlLbl val="0"/>
      </c:catAx>
      <c:valAx>
        <c:axId val="206076544"/>
        <c:scaling>
          <c:orientation val="minMax"/>
        </c:scaling>
        <c:delete val="1"/>
        <c:axPos val="b"/>
        <c:numFmt formatCode="_(* #,##0.0_);_(* \(#,##0.0\);_(* &quot;-&quot;??_);_(@_)" sourceLinked="1"/>
        <c:majorTickMark val="none"/>
        <c:minorTickMark val="none"/>
        <c:tickLblPos val="nextTo"/>
        <c:crossAx val="206073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300" b="1"/>
              <a:t>Các loại chi phí trong tháng</a:t>
            </a:r>
          </a:p>
        </c:rich>
      </c:tx>
      <c:overlay val="0"/>
      <c:spPr>
        <a:noFill/>
        <a:ln>
          <a:noFill/>
        </a:ln>
        <a:effectLst/>
      </c:spPr>
    </c:title>
    <c:autoTitleDeleted val="0"/>
    <c:plotArea>
      <c:layout>
        <c:manualLayout>
          <c:layoutTarget val="inner"/>
          <c:xMode val="edge"/>
          <c:yMode val="edge"/>
          <c:x val="0.22234255647045362"/>
          <c:y val="0.14087091221651724"/>
          <c:w val="0.74901761815040224"/>
          <c:h val="0.85912908778348274"/>
        </c:manualLayout>
      </c:layout>
      <c:barChart>
        <c:barDir val="bar"/>
        <c:grouping val="clustered"/>
        <c:varyColors val="0"/>
        <c:ser>
          <c:idx val="0"/>
          <c:order val="0"/>
          <c:tx>
            <c:strRef>
              <c:f>'T8'!$E$40:$N$40</c:f>
              <c:strCache>
                <c:ptCount val="1"/>
                <c:pt idx="0">
                  <c:v>Chi tiêu chi tiết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'T8'!$P$42:$P$51</c:f>
              <c:strCache>
                <c:ptCount val="10"/>
                <c:pt idx="0">
                  <c:v>Mua thực phẩm</c:v>
                </c:pt>
                <c:pt idx="1">
                  <c:v>Mua đồ dùng trong nhà</c:v>
                </c:pt>
                <c:pt idx="2">
                  <c:v>Đi ăn ở ngoài</c:v>
                </c:pt>
                <c:pt idx="3">
                  <c:v>Chi tiền phát triển bản thân</c:v>
                </c:pt>
                <c:pt idx="4">
                  <c:v>Chi tiền bảo hiểm</c:v>
                </c:pt>
                <c:pt idx="5">
                  <c:v>Chi tiền điện, nước, internet, điện thoại, xăng xe</c:v>
                </c:pt>
                <c:pt idx="6">
                  <c:v>Chi tiền giải trí, quà tặng</c:v>
                </c:pt>
                <c:pt idx="7">
                  <c:v>Chi tiền cho con</c:v>
                </c:pt>
                <c:pt idx="8">
                  <c:v>Chi tiền trả nợ</c:v>
                </c:pt>
                <c:pt idx="9">
                  <c:v>Chi tiền cho tặng gia đình</c:v>
                </c:pt>
              </c:strCache>
              <c:extLst/>
            </c:strRef>
          </c:cat>
          <c:val>
            <c:numRef>
              <c:f>'T8'!$W$42:$W$51</c:f>
              <c:numCache>
                <c:formatCode>_(* #,##0.0_);_(* \(#,##0.0\);_(* "-"??_);_(@_)</c:formatCode>
                <c:ptCount val="10"/>
                <c:pt idx="0">
                  <c:v>7</c:v>
                </c:pt>
                <c:pt idx="1">
                  <c:v>1.3</c:v>
                </c:pt>
                <c:pt idx="2">
                  <c:v>0</c:v>
                </c:pt>
                <c:pt idx="3">
                  <c:v>3.1</c:v>
                </c:pt>
                <c:pt idx="4">
                  <c:v>0</c:v>
                </c:pt>
                <c:pt idx="5">
                  <c:v>2.6500000000000004</c:v>
                </c:pt>
                <c:pt idx="6">
                  <c:v>0.5</c:v>
                </c:pt>
                <c:pt idx="7">
                  <c:v>1</c:v>
                </c:pt>
                <c:pt idx="8">
                  <c:v>6.5</c:v>
                </c:pt>
                <c:pt idx="9">
                  <c:v>0.5</c:v>
                </c:pt>
              </c:numCache>
              <c:extLst/>
            </c:numRef>
          </c:val>
          <c:extLst>
            <c:ext xmlns:c16="http://schemas.microsoft.com/office/drawing/2014/chart" uri="{C3380CC4-5D6E-409C-BE32-E72D297353CC}">
              <c16:uniqueId val="{00000000-9EA4-45EA-97EE-CF5F03F5F04F}"/>
            </c:ext>
          </c:extLst>
        </c:ser>
        <c:dLbls>
          <c:dLblPos val="outEnd"/>
          <c:showLegendKey val="0"/>
          <c:showVal val="1"/>
          <c:showCatName val="0"/>
          <c:showSerName val="0"/>
          <c:showPercent val="0"/>
          <c:showBubbleSize val="0"/>
        </c:dLbls>
        <c:gapWidth val="40"/>
        <c:overlap val="-1"/>
        <c:axId val="206266752"/>
        <c:axId val="206269440"/>
      </c:barChart>
      <c:catAx>
        <c:axId val="206266752"/>
        <c:scaling>
          <c:orientation val="minMax"/>
        </c:scaling>
        <c:delete val="0"/>
        <c:axPos val="l"/>
        <c:numFmt formatCode="General" sourceLinked="1"/>
        <c:majorTickMark val="in"/>
        <c:minorTickMark val="none"/>
        <c:tickLblPos val="nextTo"/>
        <c:spPr>
          <a:noFill/>
          <a:ln w="9525" cap="flat" cmpd="sng" algn="ctr">
            <a:solidFill>
              <a:schemeClr val="accent2"/>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6269440"/>
        <c:crosses val="autoZero"/>
        <c:auto val="1"/>
        <c:lblAlgn val="ctr"/>
        <c:lblOffset val="100"/>
        <c:noMultiLvlLbl val="0"/>
      </c:catAx>
      <c:valAx>
        <c:axId val="206269440"/>
        <c:scaling>
          <c:orientation val="minMax"/>
        </c:scaling>
        <c:delete val="1"/>
        <c:axPos val="b"/>
        <c:numFmt formatCode="_(* #,##0.0_);_(* \(#,##0.0\);_(* &quot;-&quot;??_);_(@_)" sourceLinked="1"/>
        <c:majorTickMark val="none"/>
        <c:minorTickMark val="none"/>
        <c:tickLblPos val="nextTo"/>
        <c:crossAx val="206266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300" b="1"/>
              <a:t>Các loại chi phí trong tháng</a:t>
            </a:r>
          </a:p>
        </c:rich>
      </c:tx>
      <c:overlay val="0"/>
      <c:spPr>
        <a:noFill/>
        <a:ln>
          <a:noFill/>
        </a:ln>
        <a:effectLst/>
      </c:spPr>
    </c:title>
    <c:autoTitleDeleted val="0"/>
    <c:plotArea>
      <c:layout>
        <c:manualLayout>
          <c:layoutTarget val="inner"/>
          <c:xMode val="edge"/>
          <c:yMode val="edge"/>
          <c:x val="0.22234255647045362"/>
          <c:y val="0.14087091221651724"/>
          <c:w val="0.74901761815040224"/>
          <c:h val="0.85912908778348274"/>
        </c:manualLayout>
      </c:layout>
      <c:barChart>
        <c:barDir val="bar"/>
        <c:grouping val="clustered"/>
        <c:varyColors val="0"/>
        <c:ser>
          <c:idx val="0"/>
          <c:order val="0"/>
          <c:tx>
            <c:strRef>
              <c:f>'T9'!$E$40:$N$40</c:f>
              <c:strCache>
                <c:ptCount val="1"/>
                <c:pt idx="0">
                  <c:v>Chi tiêu chi tiết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'T9'!$P$42:$P$51</c:f>
              <c:strCache>
                <c:ptCount val="10"/>
                <c:pt idx="0">
                  <c:v>Mua thực phẩm</c:v>
                </c:pt>
                <c:pt idx="1">
                  <c:v>Mua đồ dùng trong nhà</c:v>
                </c:pt>
                <c:pt idx="2">
                  <c:v>Đi ăn ở ngoài</c:v>
                </c:pt>
                <c:pt idx="3">
                  <c:v>Chi tiền phát triển bản thân</c:v>
                </c:pt>
                <c:pt idx="4">
                  <c:v>Chi tiền bảo hiểm</c:v>
                </c:pt>
                <c:pt idx="5">
                  <c:v>Chi tiền điện, nước, internet, điện thoại, xăng xe</c:v>
                </c:pt>
                <c:pt idx="6">
                  <c:v>Chi tiền giải trí, quà tặng</c:v>
                </c:pt>
                <c:pt idx="7">
                  <c:v>Chi tiền cho con</c:v>
                </c:pt>
                <c:pt idx="8">
                  <c:v>Chi tiền trả nợ</c:v>
                </c:pt>
                <c:pt idx="9">
                  <c:v>Chi tiền cho tặng gia đình</c:v>
                </c:pt>
              </c:strCache>
              <c:extLst/>
            </c:strRef>
          </c:cat>
          <c:val>
            <c:numRef>
              <c:f>'T9'!$W$42:$W$51</c:f>
              <c:numCache>
                <c:formatCode>_(* #,##0.0_);_(* \(#,##0.0\);_(* "-"??_);_(@_)</c:formatCode>
                <c:ptCount val="10"/>
                <c:pt idx="0">
                  <c:v>4.2</c:v>
                </c:pt>
                <c:pt idx="1">
                  <c:v>1.3</c:v>
                </c:pt>
                <c:pt idx="2">
                  <c:v>1</c:v>
                </c:pt>
                <c:pt idx="3">
                  <c:v>0.8</c:v>
                </c:pt>
                <c:pt idx="4">
                  <c:v>0</c:v>
                </c:pt>
                <c:pt idx="5">
                  <c:v>2.5499999999999998</c:v>
                </c:pt>
                <c:pt idx="6">
                  <c:v>0.3</c:v>
                </c:pt>
                <c:pt idx="7">
                  <c:v>0.3</c:v>
                </c:pt>
                <c:pt idx="8">
                  <c:v>6.5</c:v>
                </c:pt>
                <c:pt idx="9">
                  <c:v>0.5</c:v>
                </c:pt>
              </c:numCache>
              <c:extLst/>
            </c:numRef>
          </c:val>
          <c:extLst>
            <c:ext xmlns:c16="http://schemas.microsoft.com/office/drawing/2014/chart" uri="{C3380CC4-5D6E-409C-BE32-E72D297353CC}">
              <c16:uniqueId val="{00000000-D745-4EA7-8964-1C7695CC839C}"/>
            </c:ext>
          </c:extLst>
        </c:ser>
        <c:dLbls>
          <c:dLblPos val="outEnd"/>
          <c:showLegendKey val="0"/>
          <c:showVal val="1"/>
          <c:showCatName val="0"/>
          <c:showSerName val="0"/>
          <c:showPercent val="0"/>
          <c:showBubbleSize val="0"/>
        </c:dLbls>
        <c:gapWidth val="40"/>
        <c:overlap val="-1"/>
        <c:axId val="206635776"/>
        <c:axId val="206638464"/>
      </c:barChart>
      <c:catAx>
        <c:axId val="206635776"/>
        <c:scaling>
          <c:orientation val="minMax"/>
        </c:scaling>
        <c:delete val="0"/>
        <c:axPos val="l"/>
        <c:numFmt formatCode="General" sourceLinked="1"/>
        <c:majorTickMark val="in"/>
        <c:minorTickMark val="none"/>
        <c:tickLblPos val="nextTo"/>
        <c:spPr>
          <a:noFill/>
          <a:ln w="9525" cap="flat" cmpd="sng" algn="ctr">
            <a:solidFill>
              <a:schemeClr val="accent2"/>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6638464"/>
        <c:crosses val="autoZero"/>
        <c:auto val="1"/>
        <c:lblAlgn val="ctr"/>
        <c:lblOffset val="100"/>
        <c:noMultiLvlLbl val="0"/>
      </c:catAx>
      <c:valAx>
        <c:axId val="206638464"/>
        <c:scaling>
          <c:orientation val="minMax"/>
        </c:scaling>
        <c:delete val="1"/>
        <c:axPos val="b"/>
        <c:numFmt formatCode="_(* #,##0.0_);_(* \(#,##0.0\);_(* &quot;-&quot;??_);_(@_)" sourceLinked="1"/>
        <c:majorTickMark val="none"/>
        <c:minorTickMark val="none"/>
        <c:tickLblPos val="nextTo"/>
        <c:crossAx val="206635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300" b="1"/>
              <a:t>Các loại chi phí trong tháng</a:t>
            </a:r>
          </a:p>
        </c:rich>
      </c:tx>
      <c:overlay val="0"/>
      <c:spPr>
        <a:noFill/>
        <a:ln>
          <a:noFill/>
        </a:ln>
        <a:effectLst/>
      </c:spPr>
    </c:title>
    <c:autoTitleDeleted val="0"/>
    <c:plotArea>
      <c:layout>
        <c:manualLayout>
          <c:layoutTarget val="inner"/>
          <c:xMode val="edge"/>
          <c:yMode val="edge"/>
          <c:x val="0.22234255647045362"/>
          <c:y val="0.14087091221651724"/>
          <c:w val="0.74901761815040224"/>
          <c:h val="0.85912908778348274"/>
        </c:manualLayout>
      </c:layout>
      <c:barChart>
        <c:barDir val="bar"/>
        <c:grouping val="clustered"/>
        <c:varyColors val="0"/>
        <c:ser>
          <c:idx val="0"/>
          <c:order val="0"/>
          <c:tx>
            <c:strRef>
              <c:f>'T10'!$E$40:$N$40</c:f>
              <c:strCache>
                <c:ptCount val="1"/>
                <c:pt idx="0">
                  <c:v>Chi tiêu chi tiết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'T10'!$P$42:$P$51</c:f>
              <c:strCache>
                <c:ptCount val="10"/>
                <c:pt idx="0">
                  <c:v>Mua thực phẩm</c:v>
                </c:pt>
                <c:pt idx="1">
                  <c:v>Mua đồ dùng trong nhà</c:v>
                </c:pt>
                <c:pt idx="2">
                  <c:v>Đi ăn ở ngoài</c:v>
                </c:pt>
                <c:pt idx="3">
                  <c:v>Chi tiền phát triển bản thân</c:v>
                </c:pt>
                <c:pt idx="4">
                  <c:v>Chi tiền bảo hiểm</c:v>
                </c:pt>
                <c:pt idx="5">
                  <c:v>Chi tiền điện, nước, internet, điện thoại, xăng xe</c:v>
                </c:pt>
                <c:pt idx="6">
                  <c:v>Chi tiền giải trí, quà tặng</c:v>
                </c:pt>
                <c:pt idx="7">
                  <c:v>Chi tiền cho con</c:v>
                </c:pt>
                <c:pt idx="8">
                  <c:v>Chi tiền trả nợ</c:v>
                </c:pt>
                <c:pt idx="9">
                  <c:v>Chi tiền cho tặng gia đình</c:v>
                </c:pt>
              </c:strCache>
              <c:extLst/>
            </c:strRef>
          </c:cat>
          <c:val>
            <c:numRef>
              <c:f>'T10'!$W$42:$W$51</c:f>
              <c:numCache>
                <c:formatCode>_(* #,##0.0_);_(* \(#,##0.0\);_(* "-"??_);_(@_)</c:formatCode>
                <c:ptCount val="10"/>
                <c:pt idx="0">
                  <c:v>5</c:v>
                </c:pt>
                <c:pt idx="1">
                  <c:v>1.1000000000000001</c:v>
                </c:pt>
                <c:pt idx="2">
                  <c:v>1.9</c:v>
                </c:pt>
                <c:pt idx="3">
                  <c:v>2.1</c:v>
                </c:pt>
                <c:pt idx="4">
                  <c:v>0</c:v>
                </c:pt>
                <c:pt idx="5">
                  <c:v>1.35</c:v>
                </c:pt>
                <c:pt idx="6">
                  <c:v>0</c:v>
                </c:pt>
                <c:pt idx="7">
                  <c:v>0</c:v>
                </c:pt>
                <c:pt idx="8">
                  <c:v>6.5</c:v>
                </c:pt>
                <c:pt idx="9">
                  <c:v>0</c:v>
                </c:pt>
              </c:numCache>
              <c:extLst/>
            </c:numRef>
          </c:val>
          <c:extLst>
            <c:ext xmlns:c16="http://schemas.microsoft.com/office/drawing/2014/chart" uri="{C3380CC4-5D6E-409C-BE32-E72D297353CC}">
              <c16:uniqueId val="{00000000-6AB1-481D-8162-EAF8F9C2279B}"/>
            </c:ext>
          </c:extLst>
        </c:ser>
        <c:dLbls>
          <c:dLblPos val="outEnd"/>
          <c:showLegendKey val="0"/>
          <c:showVal val="1"/>
          <c:showCatName val="0"/>
          <c:showSerName val="0"/>
          <c:showPercent val="0"/>
          <c:showBubbleSize val="0"/>
        </c:dLbls>
        <c:gapWidth val="40"/>
        <c:overlap val="-1"/>
        <c:axId val="207852672"/>
        <c:axId val="207859712"/>
      </c:barChart>
      <c:catAx>
        <c:axId val="207852672"/>
        <c:scaling>
          <c:orientation val="minMax"/>
        </c:scaling>
        <c:delete val="0"/>
        <c:axPos val="l"/>
        <c:numFmt formatCode="General" sourceLinked="1"/>
        <c:majorTickMark val="in"/>
        <c:minorTickMark val="none"/>
        <c:tickLblPos val="nextTo"/>
        <c:spPr>
          <a:noFill/>
          <a:ln w="9525" cap="flat" cmpd="sng" algn="ctr">
            <a:solidFill>
              <a:schemeClr val="accent2"/>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7859712"/>
        <c:crosses val="autoZero"/>
        <c:auto val="1"/>
        <c:lblAlgn val="ctr"/>
        <c:lblOffset val="100"/>
        <c:noMultiLvlLbl val="0"/>
      </c:catAx>
      <c:valAx>
        <c:axId val="207859712"/>
        <c:scaling>
          <c:orientation val="minMax"/>
        </c:scaling>
        <c:delete val="1"/>
        <c:axPos val="b"/>
        <c:numFmt formatCode="_(* #,##0.0_);_(* \(#,##0.0\);_(* &quot;-&quot;??_);_(@_)" sourceLinked="1"/>
        <c:majorTickMark val="none"/>
        <c:minorTickMark val="none"/>
        <c:tickLblPos val="nextTo"/>
        <c:crossAx val="207852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300" b="1"/>
              <a:t>Các loại chi phí trong tháng</a:t>
            </a:r>
          </a:p>
        </c:rich>
      </c:tx>
      <c:overlay val="0"/>
      <c:spPr>
        <a:noFill/>
        <a:ln>
          <a:noFill/>
        </a:ln>
        <a:effectLst/>
      </c:spPr>
    </c:title>
    <c:autoTitleDeleted val="0"/>
    <c:plotArea>
      <c:layout>
        <c:manualLayout>
          <c:layoutTarget val="inner"/>
          <c:xMode val="edge"/>
          <c:yMode val="edge"/>
          <c:x val="0.22234255647045362"/>
          <c:y val="0.14087091221651724"/>
          <c:w val="0.74901761815040224"/>
          <c:h val="0.85912908778348274"/>
        </c:manualLayout>
      </c:layout>
      <c:barChart>
        <c:barDir val="bar"/>
        <c:grouping val="clustered"/>
        <c:varyColors val="0"/>
        <c:ser>
          <c:idx val="0"/>
          <c:order val="0"/>
          <c:tx>
            <c:strRef>
              <c:f>'T11'!$E$40:$N$40</c:f>
              <c:strCache>
                <c:ptCount val="1"/>
                <c:pt idx="0">
                  <c:v>Chi tiêu chi tiết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'T11'!$P$42:$P$51</c:f>
              <c:strCache>
                <c:ptCount val="10"/>
                <c:pt idx="0">
                  <c:v>Mua thực phẩm</c:v>
                </c:pt>
                <c:pt idx="1">
                  <c:v>Mua đồ dùng trong nhà</c:v>
                </c:pt>
                <c:pt idx="2">
                  <c:v>Đi ăn ở ngoài</c:v>
                </c:pt>
                <c:pt idx="3">
                  <c:v>Chi tiền phát triển bản thân</c:v>
                </c:pt>
                <c:pt idx="4">
                  <c:v>Chi tiền bảo hiểm</c:v>
                </c:pt>
                <c:pt idx="5">
                  <c:v>Chi tiền điện, nước, internet, điện thoại, xăng xe</c:v>
                </c:pt>
                <c:pt idx="6">
                  <c:v>Chi tiền giải trí, quà tặng</c:v>
                </c:pt>
                <c:pt idx="7">
                  <c:v>Chi tiền cho con</c:v>
                </c:pt>
                <c:pt idx="8">
                  <c:v>Chi tiền trả nợ</c:v>
                </c:pt>
                <c:pt idx="9">
                  <c:v>Chi tiền cho tặng gia đình</c:v>
                </c:pt>
              </c:strCache>
              <c:extLst/>
            </c:strRef>
          </c:cat>
          <c:val>
            <c:numRef>
              <c:f>'T11'!$W$42:$W$51</c:f>
              <c:numCache>
                <c:formatCode>_(* #,##0.0_);_(* \(#,##0.0\);_(* "-"??_);_(@_)</c:formatCode>
                <c:ptCount val="10"/>
                <c:pt idx="0">
                  <c:v>5</c:v>
                </c:pt>
                <c:pt idx="1">
                  <c:v>0.4</c:v>
                </c:pt>
                <c:pt idx="2">
                  <c:v>2.5</c:v>
                </c:pt>
                <c:pt idx="3">
                  <c:v>1.5</c:v>
                </c:pt>
                <c:pt idx="4">
                  <c:v>0</c:v>
                </c:pt>
                <c:pt idx="5">
                  <c:v>1.35</c:v>
                </c:pt>
                <c:pt idx="6">
                  <c:v>0.5</c:v>
                </c:pt>
                <c:pt idx="7">
                  <c:v>0</c:v>
                </c:pt>
                <c:pt idx="8">
                  <c:v>6.5</c:v>
                </c:pt>
                <c:pt idx="9">
                  <c:v>0</c:v>
                </c:pt>
              </c:numCache>
              <c:extLst/>
            </c:numRef>
          </c:val>
          <c:extLst>
            <c:ext xmlns:c16="http://schemas.microsoft.com/office/drawing/2014/chart" uri="{C3380CC4-5D6E-409C-BE32-E72D297353CC}">
              <c16:uniqueId val="{00000000-4D84-448A-B81C-4E00564EBB53}"/>
            </c:ext>
          </c:extLst>
        </c:ser>
        <c:dLbls>
          <c:dLblPos val="outEnd"/>
          <c:showLegendKey val="0"/>
          <c:showVal val="1"/>
          <c:showCatName val="0"/>
          <c:showSerName val="0"/>
          <c:showPercent val="0"/>
          <c:showBubbleSize val="0"/>
        </c:dLbls>
        <c:gapWidth val="40"/>
        <c:overlap val="-1"/>
        <c:axId val="207582720"/>
        <c:axId val="207585664"/>
      </c:barChart>
      <c:catAx>
        <c:axId val="207582720"/>
        <c:scaling>
          <c:orientation val="minMax"/>
        </c:scaling>
        <c:delete val="0"/>
        <c:axPos val="l"/>
        <c:numFmt formatCode="General" sourceLinked="1"/>
        <c:majorTickMark val="in"/>
        <c:minorTickMark val="none"/>
        <c:tickLblPos val="nextTo"/>
        <c:spPr>
          <a:noFill/>
          <a:ln w="9525" cap="flat" cmpd="sng" algn="ctr">
            <a:solidFill>
              <a:schemeClr val="accent2"/>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7585664"/>
        <c:crosses val="autoZero"/>
        <c:auto val="1"/>
        <c:lblAlgn val="ctr"/>
        <c:lblOffset val="100"/>
        <c:noMultiLvlLbl val="0"/>
      </c:catAx>
      <c:valAx>
        <c:axId val="207585664"/>
        <c:scaling>
          <c:orientation val="minMax"/>
        </c:scaling>
        <c:delete val="1"/>
        <c:axPos val="b"/>
        <c:numFmt formatCode="_(* #,##0.0_);_(* \(#,##0.0\);_(* &quot;-&quot;??_);_(@_)" sourceLinked="1"/>
        <c:majorTickMark val="none"/>
        <c:minorTickMark val="none"/>
        <c:tickLblPos val="nextTo"/>
        <c:crossAx val="207582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300" b="1"/>
              <a:t>Các loại chi phí trong tháng</a:t>
            </a:r>
          </a:p>
        </c:rich>
      </c:tx>
      <c:overlay val="0"/>
      <c:spPr>
        <a:noFill/>
        <a:ln>
          <a:noFill/>
        </a:ln>
        <a:effectLst/>
      </c:spPr>
    </c:title>
    <c:autoTitleDeleted val="0"/>
    <c:plotArea>
      <c:layout>
        <c:manualLayout>
          <c:layoutTarget val="inner"/>
          <c:xMode val="edge"/>
          <c:yMode val="edge"/>
          <c:x val="0.22234255647045362"/>
          <c:y val="0.14087091221651724"/>
          <c:w val="0.74901761815040224"/>
          <c:h val="0.85912908778348274"/>
        </c:manualLayout>
      </c:layout>
      <c:barChart>
        <c:barDir val="bar"/>
        <c:grouping val="clustered"/>
        <c:varyColors val="0"/>
        <c:ser>
          <c:idx val="0"/>
          <c:order val="0"/>
          <c:tx>
            <c:strRef>
              <c:f>'T12'!$E$40:$N$40</c:f>
              <c:strCache>
                <c:ptCount val="1"/>
                <c:pt idx="0">
                  <c:v>Chi tiêu chi tiết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'T12'!$P$42:$P$51</c:f>
              <c:strCache>
                <c:ptCount val="10"/>
                <c:pt idx="0">
                  <c:v>Mua thực phẩm</c:v>
                </c:pt>
                <c:pt idx="1">
                  <c:v>Mua đồ dùng trong nhà</c:v>
                </c:pt>
                <c:pt idx="2">
                  <c:v>Đi ăn ở ngoài</c:v>
                </c:pt>
                <c:pt idx="3">
                  <c:v>Chi tiền phát triển bản thân</c:v>
                </c:pt>
                <c:pt idx="4">
                  <c:v>Chi tiền bảo hiểm</c:v>
                </c:pt>
                <c:pt idx="5">
                  <c:v>Chi tiền điện, nước, internet, điện thoại, xăng xe</c:v>
                </c:pt>
                <c:pt idx="6">
                  <c:v>Chi tiền giải trí, quà tặng</c:v>
                </c:pt>
                <c:pt idx="7">
                  <c:v>Chi tiền cho con</c:v>
                </c:pt>
                <c:pt idx="8">
                  <c:v>Chi tiền trả nợ</c:v>
                </c:pt>
                <c:pt idx="9">
                  <c:v>Chi tiền cho tặng gia đình</c:v>
                </c:pt>
              </c:strCache>
              <c:extLst/>
            </c:strRef>
          </c:cat>
          <c:val>
            <c:numRef>
              <c:f>'T12'!$W$42:$W$51</c:f>
              <c:numCache>
                <c:formatCode>_(* #,##0.0_);_(* \(#,##0.0\);_(* "-"??_);_(@_)</c:formatCode>
                <c:ptCount val="10"/>
                <c:pt idx="0">
                  <c:v>5</c:v>
                </c:pt>
                <c:pt idx="1">
                  <c:v>4.5</c:v>
                </c:pt>
                <c:pt idx="2">
                  <c:v>3</c:v>
                </c:pt>
                <c:pt idx="3">
                  <c:v>2</c:v>
                </c:pt>
                <c:pt idx="4">
                  <c:v>0</c:v>
                </c:pt>
                <c:pt idx="5">
                  <c:v>1.55</c:v>
                </c:pt>
                <c:pt idx="6">
                  <c:v>2.5</c:v>
                </c:pt>
                <c:pt idx="7">
                  <c:v>0</c:v>
                </c:pt>
                <c:pt idx="8">
                  <c:v>6.5</c:v>
                </c:pt>
                <c:pt idx="9">
                  <c:v>0</c:v>
                </c:pt>
              </c:numCache>
              <c:extLst/>
            </c:numRef>
          </c:val>
          <c:extLst>
            <c:ext xmlns:c16="http://schemas.microsoft.com/office/drawing/2014/chart" uri="{C3380CC4-5D6E-409C-BE32-E72D297353CC}">
              <c16:uniqueId val="{00000000-3425-4A39-B950-008FF7239E6C}"/>
            </c:ext>
          </c:extLst>
        </c:ser>
        <c:dLbls>
          <c:dLblPos val="outEnd"/>
          <c:showLegendKey val="0"/>
          <c:showVal val="1"/>
          <c:showCatName val="0"/>
          <c:showSerName val="0"/>
          <c:showPercent val="0"/>
          <c:showBubbleSize val="0"/>
        </c:dLbls>
        <c:gapWidth val="40"/>
        <c:overlap val="-1"/>
        <c:axId val="207980032"/>
        <c:axId val="207987072"/>
      </c:barChart>
      <c:catAx>
        <c:axId val="207980032"/>
        <c:scaling>
          <c:orientation val="minMax"/>
        </c:scaling>
        <c:delete val="0"/>
        <c:axPos val="l"/>
        <c:numFmt formatCode="General" sourceLinked="1"/>
        <c:majorTickMark val="in"/>
        <c:minorTickMark val="none"/>
        <c:tickLblPos val="nextTo"/>
        <c:spPr>
          <a:noFill/>
          <a:ln w="9525" cap="flat" cmpd="sng" algn="ctr">
            <a:solidFill>
              <a:schemeClr val="accent2"/>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7987072"/>
        <c:crosses val="autoZero"/>
        <c:auto val="1"/>
        <c:lblAlgn val="ctr"/>
        <c:lblOffset val="100"/>
        <c:noMultiLvlLbl val="0"/>
      </c:catAx>
      <c:valAx>
        <c:axId val="207987072"/>
        <c:scaling>
          <c:orientation val="minMax"/>
        </c:scaling>
        <c:delete val="1"/>
        <c:axPos val="b"/>
        <c:numFmt formatCode="_(* #,##0.0_);_(* \(#,##0.0\);_(* &quot;-&quot;??_);_(@_)" sourceLinked="1"/>
        <c:majorTickMark val="none"/>
        <c:minorTickMark val="none"/>
        <c:tickLblPos val="nextTo"/>
        <c:crossAx val="207980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latin typeface="Noto Sans" panose="020B0502040504020204" pitchFamily="34" charset="0"/>
                <a:ea typeface="Noto Sans" panose="020B0502040504020204" pitchFamily="34" charset="0"/>
                <a:cs typeface="Noto Sans" panose="020B0502040504020204" pitchFamily="34" charset="0"/>
              </a:rPr>
              <a:t>Danh mục</a:t>
            </a:r>
            <a:r>
              <a:rPr lang="en-US" sz="900" b="1" baseline="0">
                <a:latin typeface="Noto Sans" panose="020B0502040504020204" pitchFamily="34" charset="0"/>
                <a:ea typeface="Noto Sans" panose="020B0502040504020204" pitchFamily="34" charset="0"/>
                <a:cs typeface="Noto Sans" panose="020B0502040504020204" pitchFamily="34" charset="0"/>
              </a:rPr>
              <a:t> Z -</a:t>
            </a:r>
          </a:p>
          <a:p>
            <a:pPr>
              <a:defRPr sz="1400" b="0" i="0" u="none" strike="noStrike" kern="1200" spc="0" baseline="0">
                <a:solidFill>
                  <a:schemeClr val="tx1">
                    <a:lumMod val="65000"/>
                    <a:lumOff val="35000"/>
                  </a:schemeClr>
                </a:solidFill>
                <a:latin typeface="+mn-lt"/>
                <a:ea typeface="+mn-ea"/>
                <a:cs typeface="+mn-cs"/>
              </a:defRPr>
            </a:pPr>
            <a:r>
              <a:rPr lang="en-US" sz="900" b="1" baseline="0">
                <a:latin typeface="Noto Sans" panose="020B0502040504020204" pitchFamily="34" charset="0"/>
                <a:ea typeface="Noto Sans" panose="020B0502040504020204" pitchFamily="34" charset="0"/>
                <a:cs typeface="Noto Sans" panose="020B0502040504020204" pitchFamily="34" charset="0"/>
              </a:rPr>
              <a:t> Lợi nhuận trung bình hàng năm = 16%</a:t>
            </a:r>
            <a:endParaRPr lang="en-US" sz="900" b="1">
              <a:latin typeface="Noto Sans" panose="020B0502040504020204" pitchFamily="34" charset="0"/>
              <a:ea typeface="Noto Sans" panose="020B0502040504020204" pitchFamily="34" charset="0"/>
              <a:cs typeface="Noto Sans" panose="020B0502040504020204" pitchFamily="34" charset="0"/>
            </a:endParaRPr>
          </a:p>
        </c:rich>
      </c:tx>
      <c:overlay val="0"/>
      <c:spPr>
        <a:noFill/>
        <a:ln>
          <a:noFill/>
        </a:ln>
        <a:effectLst/>
      </c:spPr>
    </c:title>
    <c:autoTitleDeleted val="0"/>
    <c:plotArea>
      <c:layout>
        <c:manualLayout>
          <c:layoutTarget val="inner"/>
          <c:xMode val="edge"/>
          <c:yMode val="edge"/>
          <c:x val="0.15036248872228186"/>
          <c:y val="0.19311682425239013"/>
          <c:w val="0.8089532704945771"/>
          <c:h val="0.67918708956561158"/>
        </c:manualLayout>
      </c:layout>
      <c:barChart>
        <c:barDir val="col"/>
        <c:grouping val="clustered"/>
        <c:varyColors val="0"/>
        <c:ser>
          <c:idx val="0"/>
          <c:order val="0"/>
          <c:spPr>
            <a:solidFill>
              <a:schemeClr val="accent1"/>
            </a:solidFill>
            <a:ln>
              <a:noFill/>
            </a:ln>
            <a:effectLst/>
          </c:spPr>
          <c:invertIfNegative val="0"/>
          <c:val>
            <c:numLit>
              <c:formatCode>General</c:formatCode>
              <c:ptCount val="19"/>
              <c:pt idx="0">
                <c:v>50</c:v>
              </c:pt>
              <c:pt idx="1">
                <c:v>-10</c:v>
              </c:pt>
              <c:pt idx="2">
                <c:v>30</c:v>
              </c:pt>
              <c:pt idx="3">
                <c:v>32</c:v>
              </c:pt>
              <c:pt idx="4">
                <c:v>40</c:v>
              </c:pt>
              <c:pt idx="5">
                <c:v>-6</c:v>
              </c:pt>
              <c:pt idx="6">
                <c:v>9</c:v>
              </c:pt>
              <c:pt idx="7">
                <c:v>7</c:v>
              </c:pt>
              <c:pt idx="8">
                <c:v>33</c:v>
              </c:pt>
              <c:pt idx="9">
                <c:v>12</c:v>
              </c:pt>
              <c:pt idx="10">
                <c:v>-11</c:v>
              </c:pt>
              <c:pt idx="11">
                <c:v>15</c:v>
              </c:pt>
              <c:pt idx="12">
                <c:v>14</c:v>
              </c:pt>
              <c:pt idx="13">
                <c:v>10</c:v>
              </c:pt>
              <c:pt idx="14">
                <c:v>-20</c:v>
              </c:pt>
              <c:pt idx="15">
                <c:v>30</c:v>
              </c:pt>
              <c:pt idx="16">
                <c:v>42</c:v>
              </c:pt>
              <c:pt idx="17">
                <c:v>5</c:v>
              </c:pt>
              <c:pt idx="18">
                <c:v>6</c:v>
              </c:pt>
            </c:numLit>
          </c:val>
          <c:extLst>
            <c:ext xmlns:c16="http://schemas.microsoft.com/office/drawing/2014/chart" uri="{C3380CC4-5D6E-409C-BE32-E72D297353CC}">
              <c16:uniqueId val="{00000000-48A6-4916-917C-BF49F1F8049C}"/>
            </c:ext>
          </c:extLst>
        </c:ser>
        <c:dLbls>
          <c:showLegendKey val="0"/>
          <c:showVal val="0"/>
          <c:showCatName val="0"/>
          <c:showSerName val="0"/>
          <c:showPercent val="0"/>
          <c:showBubbleSize val="0"/>
        </c:dLbls>
        <c:gapWidth val="80"/>
        <c:overlap val="-27"/>
        <c:axId val="208123776"/>
        <c:axId val="208125312"/>
      </c:barChart>
      <c:catAx>
        <c:axId val="208123776"/>
        <c:scaling>
          <c:orientation val="minMax"/>
        </c:scaling>
        <c:delete val="0"/>
        <c:axPos val="b"/>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25312"/>
        <c:crosses val="autoZero"/>
        <c:auto val="1"/>
        <c:lblAlgn val="ctr"/>
        <c:lblOffset val="100"/>
        <c:tickLblSkip val="2"/>
        <c:noMultiLvlLbl val="0"/>
      </c:catAx>
      <c:valAx>
        <c:axId val="208125312"/>
        <c:scaling>
          <c:orientation val="minMax"/>
          <c:max val="55"/>
          <c:min val="-2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atin typeface="Noto Sans" panose="020B0502040504020204" pitchFamily="34" charset="0"/>
                    <a:ea typeface="Noto Sans" panose="020B0502040504020204" pitchFamily="34" charset="0"/>
                    <a:cs typeface="Noto Sans" panose="020B0502040504020204" pitchFamily="34" charset="0"/>
                  </a:rPr>
                  <a:t>Lợi</a:t>
                </a:r>
                <a:r>
                  <a:rPr lang="en-US" baseline="0">
                    <a:latin typeface="Noto Sans" panose="020B0502040504020204" pitchFamily="34" charset="0"/>
                    <a:ea typeface="Noto Sans" panose="020B0502040504020204" pitchFamily="34" charset="0"/>
                    <a:cs typeface="Noto Sans" panose="020B0502040504020204" pitchFamily="34" charset="0"/>
                  </a:rPr>
                  <a:t> nhuận hàng năm</a:t>
                </a:r>
                <a:endParaRPr lang="en-US">
                  <a:latin typeface="Noto Sans" panose="020B0502040504020204" pitchFamily="34" charset="0"/>
                  <a:ea typeface="Noto Sans" panose="020B0502040504020204" pitchFamily="34" charset="0"/>
                  <a:cs typeface="Noto Sans" panose="020B0502040504020204" pitchFamily="34" charset="0"/>
                </a:endParaRPr>
              </a:p>
            </c:rich>
          </c:tx>
          <c:overlay val="0"/>
          <c:spPr>
            <a:noFill/>
            <a:ln>
              <a:noFill/>
            </a:ln>
            <a:effectLst/>
          </c:sp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23776"/>
        <c:crosses val="autoZero"/>
        <c:crossBetween val="between"/>
        <c:majorUnit val="2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latin typeface="Noto Sans" panose="020B0502040504020204" pitchFamily="34" charset="0"/>
                <a:ea typeface="Noto Sans" panose="020B0502040504020204" pitchFamily="34" charset="0"/>
                <a:cs typeface="Noto Sans" panose="020B0502040504020204" pitchFamily="34" charset="0"/>
              </a:rPr>
              <a:t>Danh mục</a:t>
            </a:r>
            <a:r>
              <a:rPr lang="en-US" sz="900" b="1" baseline="0">
                <a:latin typeface="Noto Sans" panose="020B0502040504020204" pitchFamily="34" charset="0"/>
                <a:ea typeface="Noto Sans" panose="020B0502040504020204" pitchFamily="34" charset="0"/>
                <a:cs typeface="Noto Sans" panose="020B0502040504020204" pitchFamily="34" charset="0"/>
              </a:rPr>
              <a:t> X - </a:t>
            </a:r>
          </a:p>
          <a:p>
            <a:pPr>
              <a:defRPr sz="1400" b="0" i="0" u="none" strike="noStrike" kern="1200" spc="0" baseline="0">
                <a:solidFill>
                  <a:schemeClr val="tx1">
                    <a:lumMod val="65000"/>
                    <a:lumOff val="35000"/>
                  </a:schemeClr>
                </a:solidFill>
                <a:latin typeface="+mn-lt"/>
                <a:ea typeface="+mn-ea"/>
                <a:cs typeface="+mn-cs"/>
              </a:defRPr>
            </a:pPr>
            <a:r>
              <a:rPr lang="en-US" sz="900" b="1" baseline="0">
                <a:latin typeface="Noto Sans" panose="020B0502040504020204" pitchFamily="34" charset="0"/>
                <a:ea typeface="Noto Sans" panose="020B0502040504020204" pitchFamily="34" charset="0"/>
                <a:cs typeface="Noto Sans" panose="020B0502040504020204" pitchFamily="34" charset="0"/>
              </a:rPr>
              <a:t>Lợi nhuận trung bình hàng năm = 8%</a:t>
            </a:r>
            <a:endParaRPr lang="en-US" sz="900" b="1">
              <a:latin typeface="Noto Sans" panose="020B0502040504020204" pitchFamily="34" charset="0"/>
              <a:ea typeface="Noto Sans" panose="020B0502040504020204" pitchFamily="34" charset="0"/>
              <a:cs typeface="Noto Sans" panose="020B0502040504020204" pitchFamily="34" charset="0"/>
            </a:endParaRPr>
          </a:p>
        </c:rich>
      </c:tx>
      <c:overlay val="0"/>
      <c:spPr>
        <a:noFill/>
        <a:ln>
          <a:noFill/>
        </a:ln>
        <a:effectLst/>
      </c:spPr>
    </c:title>
    <c:autoTitleDeleted val="0"/>
    <c:plotArea>
      <c:layout>
        <c:manualLayout>
          <c:layoutTarget val="inner"/>
          <c:xMode val="edge"/>
          <c:yMode val="edge"/>
          <c:x val="0.13901746234423401"/>
          <c:y val="0.16800000000000004"/>
          <c:w val="0.81969124636447455"/>
          <c:h val="0.77088888888888885"/>
        </c:manualLayout>
      </c:layout>
      <c:barChart>
        <c:barDir val="col"/>
        <c:grouping val="clustered"/>
        <c:varyColors val="0"/>
        <c:ser>
          <c:idx val="0"/>
          <c:order val="0"/>
          <c:spPr>
            <a:solidFill>
              <a:schemeClr val="accent1"/>
            </a:solidFill>
            <a:ln>
              <a:noFill/>
            </a:ln>
            <a:effectLst/>
          </c:spPr>
          <c:invertIfNegative val="0"/>
          <c:val>
            <c:numLit>
              <c:formatCode>General</c:formatCode>
              <c:ptCount val="19"/>
              <c:pt idx="0">
                <c:v>9</c:v>
              </c:pt>
              <c:pt idx="1">
                <c:v>8</c:v>
              </c:pt>
              <c:pt idx="2">
                <c:v>9</c:v>
              </c:pt>
              <c:pt idx="3">
                <c:v>10</c:v>
              </c:pt>
              <c:pt idx="4">
                <c:v>10.5</c:v>
              </c:pt>
              <c:pt idx="5">
                <c:v>12</c:v>
              </c:pt>
              <c:pt idx="6">
                <c:v>15</c:v>
              </c:pt>
              <c:pt idx="7">
                <c:v>12</c:v>
              </c:pt>
              <c:pt idx="8">
                <c:v>10</c:v>
              </c:pt>
              <c:pt idx="9">
                <c:v>7.5</c:v>
              </c:pt>
              <c:pt idx="10">
                <c:v>7</c:v>
              </c:pt>
              <c:pt idx="11">
                <c:v>11</c:v>
              </c:pt>
              <c:pt idx="12">
                <c:v>10</c:v>
              </c:pt>
              <c:pt idx="13">
                <c:v>8.5</c:v>
              </c:pt>
              <c:pt idx="14">
                <c:v>7.5</c:v>
              </c:pt>
              <c:pt idx="15">
                <c:v>7</c:v>
              </c:pt>
              <c:pt idx="16">
                <c:v>6.5</c:v>
              </c:pt>
              <c:pt idx="17">
                <c:v>6</c:v>
              </c:pt>
              <c:pt idx="18">
                <c:v>5.5</c:v>
              </c:pt>
            </c:numLit>
          </c:val>
          <c:extLst>
            <c:ext xmlns:c16="http://schemas.microsoft.com/office/drawing/2014/chart" uri="{C3380CC4-5D6E-409C-BE32-E72D297353CC}">
              <c16:uniqueId val="{00000000-6F9A-4D82-AA3E-F4379612181E}"/>
            </c:ext>
          </c:extLst>
        </c:ser>
        <c:dLbls>
          <c:showLegendKey val="0"/>
          <c:showVal val="0"/>
          <c:showCatName val="0"/>
          <c:showSerName val="0"/>
          <c:showPercent val="0"/>
          <c:showBubbleSize val="0"/>
        </c:dLbls>
        <c:gapWidth val="80"/>
        <c:overlap val="-27"/>
        <c:axId val="200769920"/>
        <c:axId val="200771456"/>
      </c:barChart>
      <c:catAx>
        <c:axId val="20076992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71456"/>
        <c:crosses val="autoZero"/>
        <c:auto val="1"/>
        <c:lblAlgn val="ctr"/>
        <c:lblOffset val="100"/>
        <c:tickLblSkip val="2"/>
        <c:noMultiLvlLbl val="0"/>
      </c:catAx>
      <c:valAx>
        <c:axId val="200771456"/>
        <c:scaling>
          <c:orientation val="minMax"/>
          <c:max val="55"/>
          <c:min val="-2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rPr lang="en-US">
                    <a:latin typeface="Noto Sans" panose="020B0502040504020204" pitchFamily="34" charset="0"/>
                    <a:ea typeface="Noto Sans" panose="020B0502040504020204" pitchFamily="34" charset="0"/>
                    <a:cs typeface="Noto Sans" panose="020B0502040504020204" pitchFamily="34" charset="0"/>
                  </a:rPr>
                  <a:t>Lợi</a:t>
                </a:r>
                <a:r>
                  <a:rPr lang="en-US" baseline="0">
                    <a:latin typeface="Noto Sans" panose="020B0502040504020204" pitchFamily="34" charset="0"/>
                    <a:ea typeface="Noto Sans" panose="020B0502040504020204" pitchFamily="34" charset="0"/>
                    <a:cs typeface="Noto Sans" panose="020B0502040504020204" pitchFamily="34" charset="0"/>
                  </a:rPr>
                  <a:t> nhuận hàng năm</a:t>
                </a:r>
                <a:endParaRPr lang="en-US">
                  <a:latin typeface="Noto Sans" panose="020B0502040504020204" pitchFamily="34" charset="0"/>
                  <a:ea typeface="Noto Sans" panose="020B0502040504020204" pitchFamily="34" charset="0"/>
                  <a:cs typeface="Noto Sans" panose="020B0502040504020204" pitchFamily="34" charset="0"/>
                </a:endParaRPr>
              </a:p>
            </c:rich>
          </c:tx>
          <c:overlay val="0"/>
          <c:spPr>
            <a:noFill/>
            <a:ln>
              <a:noFill/>
            </a:ln>
            <a:effectLst/>
          </c:sp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69920"/>
        <c:crosses val="autoZero"/>
        <c:crossBetween val="between"/>
        <c:majorUnit val="2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latin typeface="Noto Sans" panose="020B0502040504020204" pitchFamily="34" charset="0"/>
                <a:ea typeface="Noto Sans" panose="020B0502040504020204" pitchFamily="34" charset="0"/>
                <a:cs typeface="Noto Sans" panose="020B0502040504020204" pitchFamily="34" charset="0"/>
              </a:rPr>
              <a:t>Danh mục</a:t>
            </a:r>
            <a:r>
              <a:rPr lang="en-US" sz="900" b="1" baseline="0">
                <a:latin typeface="Noto Sans" panose="020B0502040504020204" pitchFamily="34" charset="0"/>
                <a:ea typeface="Noto Sans" panose="020B0502040504020204" pitchFamily="34" charset="0"/>
                <a:cs typeface="Noto Sans" panose="020B0502040504020204" pitchFamily="34" charset="0"/>
              </a:rPr>
              <a:t> Y -</a:t>
            </a:r>
          </a:p>
          <a:p>
            <a:pPr>
              <a:defRPr sz="1400" b="0" i="0" u="none" strike="noStrike" kern="1200" spc="0" baseline="0">
                <a:solidFill>
                  <a:schemeClr val="tx1">
                    <a:lumMod val="65000"/>
                    <a:lumOff val="35000"/>
                  </a:schemeClr>
                </a:solidFill>
                <a:latin typeface="+mn-lt"/>
                <a:ea typeface="+mn-ea"/>
                <a:cs typeface="+mn-cs"/>
              </a:defRPr>
            </a:pPr>
            <a:r>
              <a:rPr lang="en-US" sz="900" b="1" baseline="0">
                <a:latin typeface="Noto Sans" panose="020B0502040504020204" pitchFamily="34" charset="0"/>
                <a:ea typeface="Noto Sans" panose="020B0502040504020204" pitchFamily="34" charset="0"/>
                <a:cs typeface="Noto Sans" panose="020B0502040504020204" pitchFamily="34" charset="0"/>
              </a:rPr>
              <a:t> Lợi nhuận trung bình hàng năm = 12%</a:t>
            </a:r>
          </a:p>
        </c:rich>
      </c:tx>
      <c:overlay val="0"/>
      <c:spPr>
        <a:noFill/>
        <a:ln>
          <a:noFill/>
        </a:ln>
        <a:effectLst/>
      </c:spPr>
    </c:title>
    <c:autoTitleDeleted val="0"/>
    <c:plotArea>
      <c:layout>
        <c:manualLayout>
          <c:layoutTarget val="inner"/>
          <c:xMode val="edge"/>
          <c:yMode val="edge"/>
          <c:x val="0.14834135316418778"/>
          <c:y val="0.14526748971193415"/>
          <c:w val="0.81248485766202305"/>
          <c:h val="0.72062757201646088"/>
        </c:manualLayout>
      </c:layout>
      <c:barChart>
        <c:barDir val="col"/>
        <c:grouping val="clustered"/>
        <c:varyColors val="0"/>
        <c:ser>
          <c:idx val="0"/>
          <c:order val="0"/>
          <c:spPr>
            <a:solidFill>
              <a:schemeClr val="accent1"/>
            </a:solidFill>
            <a:ln>
              <a:noFill/>
            </a:ln>
            <a:effectLst/>
          </c:spPr>
          <c:invertIfNegative val="0"/>
          <c:val>
            <c:numLit>
              <c:formatCode>General</c:formatCode>
              <c:ptCount val="19"/>
              <c:pt idx="0">
                <c:v>15</c:v>
              </c:pt>
              <c:pt idx="1">
                <c:v>14</c:v>
              </c:pt>
              <c:pt idx="2">
                <c:v>-2</c:v>
              </c:pt>
              <c:pt idx="3">
                <c:v>9</c:v>
              </c:pt>
              <c:pt idx="4">
                <c:v>8</c:v>
              </c:pt>
              <c:pt idx="5">
                <c:v>35</c:v>
              </c:pt>
              <c:pt idx="6">
                <c:v>-10</c:v>
              </c:pt>
              <c:pt idx="7">
                <c:v>10</c:v>
              </c:pt>
              <c:pt idx="8">
                <c:v>7</c:v>
              </c:pt>
              <c:pt idx="9">
                <c:v>30</c:v>
              </c:pt>
              <c:pt idx="10">
                <c:v>15</c:v>
              </c:pt>
              <c:pt idx="11">
                <c:v>5</c:v>
              </c:pt>
              <c:pt idx="12">
                <c:v>10</c:v>
              </c:pt>
              <c:pt idx="13">
                <c:v>15</c:v>
              </c:pt>
              <c:pt idx="14">
                <c:v>-4</c:v>
              </c:pt>
              <c:pt idx="15">
                <c:v>8</c:v>
              </c:pt>
              <c:pt idx="16">
                <c:v>10</c:v>
              </c:pt>
              <c:pt idx="17">
                <c:v>15</c:v>
              </c:pt>
              <c:pt idx="18">
                <c:v>-5</c:v>
              </c:pt>
            </c:numLit>
          </c:val>
          <c:extLst>
            <c:ext xmlns:c16="http://schemas.microsoft.com/office/drawing/2014/chart" uri="{C3380CC4-5D6E-409C-BE32-E72D297353CC}">
              <c16:uniqueId val="{00000000-FF0C-425E-9372-0C2B06780DBB}"/>
            </c:ext>
          </c:extLst>
        </c:ser>
        <c:dLbls>
          <c:showLegendKey val="0"/>
          <c:showVal val="0"/>
          <c:showCatName val="0"/>
          <c:showSerName val="0"/>
          <c:showPercent val="0"/>
          <c:showBubbleSize val="0"/>
        </c:dLbls>
        <c:gapWidth val="80"/>
        <c:overlap val="-27"/>
        <c:axId val="205064832"/>
        <c:axId val="205066624"/>
      </c:barChart>
      <c:catAx>
        <c:axId val="205064832"/>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66624"/>
        <c:crosses val="autoZero"/>
        <c:auto val="1"/>
        <c:lblAlgn val="ctr"/>
        <c:lblOffset val="100"/>
        <c:tickLblSkip val="2"/>
        <c:noMultiLvlLbl val="0"/>
      </c:catAx>
      <c:valAx>
        <c:axId val="205066624"/>
        <c:scaling>
          <c:orientation val="minMax"/>
          <c:max val="55"/>
          <c:min val="-2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atin typeface="Noto Sans" panose="020B0502040504020204" pitchFamily="34" charset="0"/>
                    <a:ea typeface="Noto Sans" panose="020B0502040504020204" pitchFamily="34" charset="0"/>
                    <a:cs typeface="Noto Sans" panose="020B0502040504020204" pitchFamily="34" charset="0"/>
                  </a:rPr>
                  <a:t>Lợi</a:t>
                </a:r>
                <a:r>
                  <a:rPr lang="en-US" baseline="0">
                    <a:latin typeface="Noto Sans" panose="020B0502040504020204" pitchFamily="34" charset="0"/>
                    <a:ea typeface="Noto Sans" panose="020B0502040504020204" pitchFamily="34" charset="0"/>
                    <a:cs typeface="Noto Sans" panose="020B0502040504020204" pitchFamily="34" charset="0"/>
                  </a:rPr>
                  <a:t> nhuận hàng năm</a:t>
                </a:r>
                <a:endParaRPr lang="en-US">
                  <a:latin typeface="Noto Sans" panose="020B0502040504020204" pitchFamily="34" charset="0"/>
                  <a:ea typeface="Noto Sans" panose="020B0502040504020204" pitchFamily="34" charset="0"/>
                  <a:cs typeface="Noto Sans" panose="020B0502040504020204" pitchFamily="34" charset="0"/>
                </a:endParaRP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64832"/>
        <c:crosses val="autoZero"/>
        <c:crossBetween val="between"/>
        <c:majorUnit val="2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T&#7915; kh&#243;a'!A1"/><Relationship Id="rId13" Type="http://schemas.openxmlformats.org/officeDocument/2006/relationships/hyperlink" Target="#'K&#7871; ho&#7841;ch thu nh&#7853;p v&#224; chi ti&#234;u'!A1"/><Relationship Id="rId18" Type="http://schemas.openxmlformats.org/officeDocument/2006/relationships/hyperlink" Target="#'T5'!A1"/><Relationship Id="rId26" Type="http://schemas.openxmlformats.org/officeDocument/2006/relationships/hyperlink" Target="#'B&#7843;ng kh&#7843;o s&#225;t'!A1"/><Relationship Id="rId3" Type="http://schemas.openxmlformats.org/officeDocument/2006/relationships/image" Target="../media/image2.svg"/><Relationship Id="rId21" Type="http://schemas.openxmlformats.org/officeDocument/2006/relationships/hyperlink" Target="#'T8'!A1"/><Relationship Id="rId7" Type="http://schemas.openxmlformats.org/officeDocument/2006/relationships/image" Target="../media/image6.svg"/><Relationship Id="rId12" Type="http://schemas.openxmlformats.org/officeDocument/2006/relationships/hyperlink" Target="#'C&#226;n &#273;&#7889;i l&#7897; tr&#236;nh ngh&#7873; nghi&#7879;p'!A1"/><Relationship Id="rId17" Type="http://schemas.openxmlformats.org/officeDocument/2006/relationships/hyperlink" Target="#'T4'!A1"/><Relationship Id="rId25" Type="http://schemas.openxmlformats.org/officeDocument/2006/relationships/hyperlink" Target="#'T12'!A1"/><Relationship Id="rId2" Type="http://schemas.openxmlformats.org/officeDocument/2006/relationships/image" Target="../media/image1.png"/><Relationship Id="rId16" Type="http://schemas.openxmlformats.org/officeDocument/2006/relationships/hyperlink" Target="#'T3'!A1"/><Relationship Id="rId20" Type="http://schemas.openxmlformats.org/officeDocument/2006/relationships/hyperlink" Target="#'T7'!A1"/><Relationship Id="rId1" Type="http://schemas.openxmlformats.org/officeDocument/2006/relationships/hyperlink" Target="#'T&#7915; kh&#243;a'!E5"/><Relationship Id="rId6" Type="http://schemas.openxmlformats.org/officeDocument/2006/relationships/image" Target="../media/image5.png"/><Relationship Id="rId11" Type="http://schemas.openxmlformats.org/officeDocument/2006/relationships/hyperlink" Target="#'M&#7909;c ti&#234;u t&#224;i ch&#237;nh'!A1"/><Relationship Id="rId24" Type="http://schemas.openxmlformats.org/officeDocument/2006/relationships/hyperlink" Target="#'T11'!A1"/><Relationship Id="rId5" Type="http://schemas.openxmlformats.org/officeDocument/2006/relationships/image" Target="../media/image4.svg"/><Relationship Id="rId15" Type="http://schemas.openxmlformats.org/officeDocument/2006/relationships/hyperlink" Target="#'T2'!A1"/><Relationship Id="rId23" Type="http://schemas.openxmlformats.org/officeDocument/2006/relationships/hyperlink" Target="#'T10'!A1"/><Relationship Id="rId10" Type="http://schemas.openxmlformats.org/officeDocument/2006/relationships/hyperlink" Target="#'M&#7909;c ti&#234;u b&#7843;n th&#226;n'!A1"/><Relationship Id="rId19" Type="http://schemas.openxmlformats.org/officeDocument/2006/relationships/hyperlink" Target="#'T6'!A1"/><Relationship Id="rId4" Type="http://schemas.openxmlformats.org/officeDocument/2006/relationships/image" Target="../media/image3.png"/><Relationship Id="rId9" Type="http://schemas.openxmlformats.org/officeDocument/2006/relationships/hyperlink" Target="#Dashboard!A1"/><Relationship Id="rId14" Type="http://schemas.openxmlformats.org/officeDocument/2006/relationships/hyperlink" Target="#'T1'!A1"/><Relationship Id="rId22" Type="http://schemas.openxmlformats.org/officeDocument/2006/relationships/hyperlink" Target="#'T9'!A1"/></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M&#7909;c ti&#234;u t&#224;i ch&#237;nh'!A1"/><Relationship Id="rId18" Type="http://schemas.openxmlformats.org/officeDocument/2006/relationships/hyperlink" Target="#'T3'!A1"/><Relationship Id="rId26" Type="http://schemas.openxmlformats.org/officeDocument/2006/relationships/hyperlink" Target="#'T11'!A1"/><Relationship Id="rId3" Type="http://schemas.openxmlformats.org/officeDocument/2006/relationships/image" Target="../media/image2.svg"/><Relationship Id="rId21" Type="http://schemas.openxmlformats.org/officeDocument/2006/relationships/hyperlink" Target="#'T6'!A1"/><Relationship Id="rId7" Type="http://schemas.openxmlformats.org/officeDocument/2006/relationships/image" Target="../media/image7.svg"/><Relationship Id="rId12" Type="http://schemas.openxmlformats.org/officeDocument/2006/relationships/hyperlink" Target="#'M&#7909;c ti&#234;u b&#7843;n th&#226;n'!A1"/><Relationship Id="rId17" Type="http://schemas.openxmlformats.org/officeDocument/2006/relationships/hyperlink" Target="#'T2'!A1"/><Relationship Id="rId25" Type="http://schemas.openxmlformats.org/officeDocument/2006/relationships/hyperlink" Target="#'T10'!A1"/><Relationship Id="rId2" Type="http://schemas.openxmlformats.org/officeDocument/2006/relationships/image" Target="../media/image1.png"/><Relationship Id="rId16" Type="http://schemas.openxmlformats.org/officeDocument/2006/relationships/hyperlink" Target="#'T1'!A1"/><Relationship Id="rId20" Type="http://schemas.openxmlformats.org/officeDocument/2006/relationships/hyperlink" Target="#'T5'!A1"/><Relationship Id="rId29" Type="http://schemas.openxmlformats.org/officeDocument/2006/relationships/chart" Target="../charts/chart3.xml"/><Relationship Id="rId1" Type="http://schemas.openxmlformats.org/officeDocument/2006/relationships/hyperlink" Target="#Dashboard!E5"/><Relationship Id="rId6" Type="http://schemas.openxmlformats.org/officeDocument/2006/relationships/image" Target="../media/image3.png"/><Relationship Id="rId11" Type="http://schemas.openxmlformats.org/officeDocument/2006/relationships/hyperlink" Target="#Dashboard!A1"/><Relationship Id="rId24" Type="http://schemas.openxmlformats.org/officeDocument/2006/relationships/hyperlink" Target="#'T9'!A1"/><Relationship Id="rId32" Type="http://schemas.openxmlformats.org/officeDocument/2006/relationships/chart" Target="../charts/chart6.xml"/><Relationship Id="rId5" Type="http://schemas.openxmlformats.org/officeDocument/2006/relationships/chart" Target="../charts/chart2.xml"/><Relationship Id="rId15" Type="http://schemas.openxmlformats.org/officeDocument/2006/relationships/hyperlink" Target="#'K&#7871; ho&#7841;ch thu nh&#7853;p v&#224; chi ti&#234;u'!A1"/><Relationship Id="rId23" Type="http://schemas.openxmlformats.org/officeDocument/2006/relationships/hyperlink" Target="#'T8'!A1"/><Relationship Id="rId28" Type="http://schemas.openxmlformats.org/officeDocument/2006/relationships/hyperlink" Target="#'B&#7843;ng kh&#7843;o s&#225;t'!A1"/><Relationship Id="rId10" Type="http://schemas.openxmlformats.org/officeDocument/2006/relationships/hyperlink" Target="#'T&#7915; kh&#243;a'!A1"/><Relationship Id="rId19" Type="http://schemas.openxmlformats.org/officeDocument/2006/relationships/hyperlink" Target="#'T4'!A1"/><Relationship Id="rId31" Type="http://schemas.openxmlformats.org/officeDocument/2006/relationships/chart" Target="../charts/chart5.xml"/><Relationship Id="rId4" Type="http://schemas.openxmlformats.org/officeDocument/2006/relationships/chart" Target="../charts/chart1.xml"/><Relationship Id="rId9" Type="http://schemas.openxmlformats.org/officeDocument/2006/relationships/image" Target="../media/image8.svg"/><Relationship Id="rId14" Type="http://schemas.openxmlformats.org/officeDocument/2006/relationships/hyperlink" Target="#'C&#226;n &#273;&#7889;i l&#7897; tr&#236;nh ngh&#7873; nghi&#7879;p'!A1"/><Relationship Id="rId22" Type="http://schemas.openxmlformats.org/officeDocument/2006/relationships/hyperlink" Target="#'T7'!A1"/><Relationship Id="rId27" Type="http://schemas.openxmlformats.org/officeDocument/2006/relationships/hyperlink" Target="#'T12'!A1"/><Relationship Id="rId30"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hyperlink" Target="#'T&#7915; kh&#243;a'!A1"/><Relationship Id="rId13" Type="http://schemas.openxmlformats.org/officeDocument/2006/relationships/hyperlink" Target="#'K&#7871; ho&#7841;ch thu nh&#7853;p v&#224; chi ti&#234;u'!A1"/><Relationship Id="rId18" Type="http://schemas.openxmlformats.org/officeDocument/2006/relationships/hyperlink" Target="#'T5'!A1"/><Relationship Id="rId26" Type="http://schemas.openxmlformats.org/officeDocument/2006/relationships/hyperlink" Target="#'B&#7843;ng kh&#7843;o s&#225;t'!A1"/><Relationship Id="rId3" Type="http://schemas.openxmlformats.org/officeDocument/2006/relationships/image" Target="../media/image2.svg"/><Relationship Id="rId21" Type="http://schemas.openxmlformats.org/officeDocument/2006/relationships/hyperlink" Target="#'T8'!A1"/><Relationship Id="rId7" Type="http://schemas.openxmlformats.org/officeDocument/2006/relationships/image" Target="../media/image8.svg"/><Relationship Id="rId12" Type="http://schemas.openxmlformats.org/officeDocument/2006/relationships/hyperlink" Target="#'C&#226;n &#273;&#7889;i l&#7897; tr&#236;nh ngh&#7873; nghi&#7879;p'!A1"/><Relationship Id="rId17" Type="http://schemas.openxmlformats.org/officeDocument/2006/relationships/hyperlink" Target="#'T4'!A1"/><Relationship Id="rId25" Type="http://schemas.openxmlformats.org/officeDocument/2006/relationships/hyperlink" Target="#'T12'!A1"/><Relationship Id="rId2" Type="http://schemas.openxmlformats.org/officeDocument/2006/relationships/image" Target="../media/image1.png"/><Relationship Id="rId16" Type="http://schemas.openxmlformats.org/officeDocument/2006/relationships/hyperlink" Target="#'T3'!A1"/><Relationship Id="rId20" Type="http://schemas.openxmlformats.org/officeDocument/2006/relationships/hyperlink" Target="#'T7'!A1"/><Relationship Id="rId1" Type="http://schemas.openxmlformats.org/officeDocument/2006/relationships/hyperlink" Target="#'M&#7909;c ti&#234;u b&#7843;n th&#226;n'!E5"/><Relationship Id="rId6" Type="http://schemas.openxmlformats.org/officeDocument/2006/relationships/image" Target="../media/image5.png"/><Relationship Id="rId11" Type="http://schemas.openxmlformats.org/officeDocument/2006/relationships/hyperlink" Target="#'M&#7909;c ti&#234;u t&#224;i ch&#237;nh'!A1"/><Relationship Id="rId24" Type="http://schemas.openxmlformats.org/officeDocument/2006/relationships/hyperlink" Target="#'T11'!A1"/><Relationship Id="rId5" Type="http://schemas.openxmlformats.org/officeDocument/2006/relationships/image" Target="../media/image7.svg"/><Relationship Id="rId15" Type="http://schemas.openxmlformats.org/officeDocument/2006/relationships/hyperlink" Target="#'T2'!A1"/><Relationship Id="rId23" Type="http://schemas.openxmlformats.org/officeDocument/2006/relationships/hyperlink" Target="#'T10'!A1"/><Relationship Id="rId10" Type="http://schemas.openxmlformats.org/officeDocument/2006/relationships/hyperlink" Target="#'M&#7909;c ti&#234;u b&#7843;n th&#226;n'!A1"/><Relationship Id="rId19" Type="http://schemas.openxmlformats.org/officeDocument/2006/relationships/hyperlink" Target="#'T6'!A1"/><Relationship Id="rId4" Type="http://schemas.openxmlformats.org/officeDocument/2006/relationships/image" Target="../media/image3.png"/><Relationship Id="rId9" Type="http://schemas.openxmlformats.org/officeDocument/2006/relationships/hyperlink" Target="#Dashboard!A1"/><Relationship Id="rId14" Type="http://schemas.openxmlformats.org/officeDocument/2006/relationships/hyperlink" Target="#'T1'!A1"/><Relationship Id="rId22" Type="http://schemas.openxmlformats.org/officeDocument/2006/relationships/hyperlink" Target="#'T9'!A1"/></Relationships>
</file>

<file path=xl/drawings/_rels/drawing4.xml.rels><?xml version="1.0" encoding="UTF-8" standalone="yes"?>
<Relationships xmlns="http://schemas.openxmlformats.org/package/2006/relationships"><Relationship Id="rId8" Type="http://schemas.openxmlformats.org/officeDocument/2006/relationships/hyperlink" Target="#'T&#7915; kh&#243;a'!A1"/><Relationship Id="rId13" Type="http://schemas.openxmlformats.org/officeDocument/2006/relationships/hyperlink" Target="#'K&#7871; ho&#7841;ch thu nh&#7853;p v&#224; chi ti&#234;u'!A1"/><Relationship Id="rId18" Type="http://schemas.openxmlformats.org/officeDocument/2006/relationships/hyperlink" Target="#'T5'!A1"/><Relationship Id="rId26" Type="http://schemas.openxmlformats.org/officeDocument/2006/relationships/hyperlink" Target="#'B&#7843;ng kh&#7843;o s&#225;t'!A1"/><Relationship Id="rId3" Type="http://schemas.openxmlformats.org/officeDocument/2006/relationships/image" Target="../media/image2.svg"/><Relationship Id="rId21" Type="http://schemas.openxmlformats.org/officeDocument/2006/relationships/hyperlink" Target="#'T8'!A1"/><Relationship Id="rId7" Type="http://schemas.openxmlformats.org/officeDocument/2006/relationships/image" Target="../media/image8.svg"/><Relationship Id="rId12" Type="http://schemas.openxmlformats.org/officeDocument/2006/relationships/hyperlink" Target="#'C&#226;n &#273;&#7889;i l&#7897; tr&#236;nh ngh&#7873; nghi&#7879;p'!A1"/><Relationship Id="rId17" Type="http://schemas.openxmlformats.org/officeDocument/2006/relationships/hyperlink" Target="#'T4'!A1"/><Relationship Id="rId25" Type="http://schemas.openxmlformats.org/officeDocument/2006/relationships/hyperlink" Target="#'T12'!A1"/><Relationship Id="rId2" Type="http://schemas.openxmlformats.org/officeDocument/2006/relationships/image" Target="../media/image1.png"/><Relationship Id="rId16" Type="http://schemas.openxmlformats.org/officeDocument/2006/relationships/hyperlink" Target="#'T3'!A1"/><Relationship Id="rId20" Type="http://schemas.openxmlformats.org/officeDocument/2006/relationships/hyperlink" Target="#'T7'!A1"/><Relationship Id="rId1" Type="http://schemas.openxmlformats.org/officeDocument/2006/relationships/hyperlink" Target="#'M&#7909;c ti&#234;u t&#224;i ch&#237;nh'!E5"/><Relationship Id="rId6" Type="http://schemas.openxmlformats.org/officeDocument/2006/relationships/image" Target="../media/image5.png"/><Relationship Id="rId11" Type="http://schemas.openxmlformats.org/officeDocument/2006/relationships/hyperlink" Target="#'M&#7909;c ti&#234;u t&#224;i ch&#237;nh'!A1"/><Relationship Id="rId24" Type="http://schemas.openxmlformats.org/officeDocument/2006/relationships/hyperlink" Target="#'T11'!A1"/><Relationship Id="rId5" Type="http://schemas.openxmlformats.org/officeDocument/2006/relationships/image" Target="../media/image7.svg"/><Relationship Id="rId15" Type="http://schemas.openxmlformats.org/officeDocument/2006/relationships/hyperlink" Target="#'T2'!A1"/><Relationship Id="rId23" Type="http://schemas.openxmlformats.org/officeDocument/2006/relationships/hyperlink" Target="#'T10'!A1"/><Relationship Id="rId10" Type="http://schemas.openxmlformats.org/officeDocument/2006/relationships/hyperlink" Target="#'M&#7909;c ti&#234;u b&#7843;n th&#226;n'!A1"/><Relationship Id="rId19" Type="http://schemas.openxmlformats.org/officeDocument/2006/relationships/hyperlink" Target="#'T6'!A1"/><Relationship Id="rId4" Type="http://schemas.openxmlformats.org/officeDocument/2006/relationships/image" Target="../media/image3.png"/><Relationship Id="rId9" Type="http://schemas.openxmlformats.org/officeDocument/2006/relationships/hyperlink" Target="#Dashboard!A1"/><Relationship Id="rId14" Type="http://schemas.openxmlformats.org/officeDocument/2006/relationships/hyperlink" Target="#'T1'!A1"/><Relationship Id="rId22" Type="http://schemas.openxmlformats.org/officeDocument/2006/relationships/hyperlink" Target="#'T9'!A1"/></Relationships>
</file>

<file path=xl/drawings/_rels/drawing5.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hyperlink" Target="#'C&#226;n &#273;&#7889;i l&#7897; tr&#236;nh ngh&#7873; nghi&#7879;p'!A1"/><Relationship Id="rId18" Type="http://schemas.openxmlformats.org/officeDocument/2006/relationships/hyperlink" Target="#'T4'!A1"/><Relationship Id="rId26" Type="http://schemas.openxmlformats.org/officeDocument/2006/relationships/hyperlink" Target="#'T12'!A1"/><Relationship Id="rId3" Type="http://schemas.openxmlformats.org/officeDocument/2006/relationships/image" Target="../media/image2.svg"/><Relationship Id="rId21" Type="http://schemas.openxmlformats.org/officeDocument/2006/relationships/hyperlink" Target="#'T7'!A1"/><Relationship Id="rId7" Type="http://schemas.openxmlformats.org/officeDocument/2006/relationships/image" Target="../media/image5.png"/><Relationship Id="rId12" Type="http://schemas.openxmlformats.org/officeDocument/2006/relationships/hyperlink" Target="#'M&#7909;c ti&#234;u t&#224;i ch&#237;nh'!A1"/><Relationship Id="rId17" Type="http://schemas.openxmlformats.org/officeDocument/2006/relationships/hyperlink" Target="#'T3'!A1"/><Relationship Id="rId25" Type="http://schemas.openxmlformats.org/officeDocument/2006/relationships/hyperlink" Target="#'T11'!A1"/><Relationship Id="rId2" Type="http://schemas.openxmlformats.org/officeDocument/2006/relationships/image" Target="../media/image1.png"/><Relationship Id="rId16" Type="http://schemas.openxmlformats.org/officeDocument/2006/relationships/hyperlink" Target="#'T2'!A1"/><Relationship Id="rId20" Type="http://schemas.openxmlformats.org/officeDocument/2006/relationships/hyperlink" Target="#'T6'!A1"/><Relationship Id="rId1" Type="http://schemas.openxmlformats.org/officeDocument/2006/relationships/hyperlink" Target="#'C&#226;n &#273;&#7889;i l&#7897; tr&#236;nh ngh&#7873; nghi&#7879;p'!E5"/><Relationship Id="rId6" Type="http://schemas.openxmlformats.org/officeDocument/2006/relationships/image" Target="../media/image7.svg"/><Relationship Id="rId11" Type="http://schemas.openxmlformats.org/officeDocument/2006/relationships/hyperlink" Target="#'M&#7909;c ti&#234;u b&#7843;n th&#226;n'!A1"/><Relationship Id="rId24" Type="http://schemas.openxmlformats.org/officeDocument/2006/relationships/hyperlink" Target="#'T10'!A1"/><Relationship Id="rId5" Type="http://schemas.openxmlformats.org/officeDocument/2006/relationships/image" Target="../media/image3.png"/><Relationship Id="rId15" Type="http://schemas.openxmlformats.org/officeDocument/2006/relationships/hyperlink" Target="#'T1'!A1"/><Relationship Id="rId23" Type="http://schemas.openxmlformats.org/officeDocument/2006/relationships/hyperlink" Target="#'T9'!A1"/><Relationship Id="rId10" Type="http://schemas.openxmlformats.org/officeDocument/2006/relationships/hyperlink" Target="#Dashboard!A1"/><Relationship Id="rId19" Type="http://schemas.openxmlformats.org/officeDocument/2006/relationships/hyperlink" Target="#'T5'!A1"/><Relationship Id="rId4" Type="http://schemas.openxmlformats.org/officeDocument/2006/relationships/chart" Target="../charts/chart7.xml"/><Relationship Id="rId9" Type="http://schemas.openxmlformats.org/officeDocument/2006/relationships/hyperlink" Target="#'T&#7915; kh&#243;a'!A1"/><Relationship Id="rId14" Type="http://schemas.openxmlformats.org/officeDocument/2006/relationships/hyperlink" Target="#'K&#7871; ho&#7841;ch thu nh&#7853;p v&#224; chi ti&#234;u'!A1"/><Relationship Id="rId22" Type="http://schemas.openxmlformats.org/officeDocument/2006/relationships/hyperlink" Target="#'T8'!A1"/><Relationship Id="rId27" Type="http://schemas.openxmlformats.org/officeDocument/2006/relationships/hyperlink" Target="#'B&#7843;ng kh&#7843;o s&#225;t'!A1"/></Relationships>
</file>

<file path=xl/drawings/_rels/drawing6.xml.rels><?xml version="1.0" encoding="UTF-8" standalone="yes"?>
<Relationships xmlns="http://schemas.openxmlformats.org/package/2006/relationships"><Relationship Id="rId8" Type="http://schemas.openxmlformats.org/officeDocument/2006/relationships/hyperlink" Target="#'T&#7915; kh&#243;a'!A1"/><Relationship Id="rId13" Type="http://schemas.openxmlformats.org/officeDocument/2006/relationships/hyperlink" Target="#'K&#7871; ho&#7841;ch thu nh&#7853;p v&#224; chi ti&#234;u'!A1"/><Relationship Id="rId18" Type="http://schemas.openxmlformats.org/officeDocument/2006/relationships/hyperlink" Target="#'T5'!A1"/><Relationship Id="rId26" Type="http://schemas.openxmlformats.org/officeDocument/2006/relationships/hyperlink" Target="#'B&#7843;ng kh&#7843;o s&#225;t'!A1"/><Relationship Id="rId3" Type="http://schemas.openxmlformats.org/officeDocument/2006/relationships/image" Target="../media/image2.svg"/><Relationship Id="rId21" Type="http://schemas.openxmlformats.org/officeDocument/2006/relationships/hyperlink" Target="#'T8'!A1"/><Relationship Id="rId7" Type="http://schemas.openxmlformats.org/officeDocument/2006/relationships/image" Target="../media/image6.svg"/><Relationship Id="rId12" Type="http://schemas.openxmlformats.org/officeDocument/2006/relationships/hyperlink" Target="#'C&#226;n &#273;&#7889;i l&#7897; tr&#236;nh ngh&#7873; nghi&#7879;p'!A1"/><Relationship Id="rId17" Type="http://schemas.openxmlformats.org/officeDocument/2006/relationships/hyperlink" Target="#'T4'!A1"/><Relationship Id="rId25" Type="http://schemas.openxmlformats.org/officeDocument/2006/relationships/hyperlink" Target="#'T12'!A1"/><Relationship Id="rId2" Type="http://schemas.openxmlformats.org/officeDocument/2006/relationships/image" Target="../media/image1.png"/><Relationship Id="rId16" Type="http://schemas.openxmlformats.org/officeDocument/2006/relationships/hyperlink" Target="#'T3'!A1"/><Relationship Id="rId20" Type="http://schemas.openxmlformats.org/officeDocument/2006/relationships/hyperlink" Target="#'T7'!A1"/><Relationship Id="rId1" Type="http://schemas.openxmlformats.org/officeDocument/2006/relationships/hyperlink" Target="#'K&#7871; ho&#7841;ch thu nh&#7853;p v&#224; chi ti&#234;u'!E5"/><Relationship Id="rId6" Type="http://schemas.openxmlformats.org/officeDocument/2006/relationships/image" Target="../media/image5.png"/><Relationship Id="rId11" Type="http://schemas.openxmlformats.org/officeDocument/2006/relationships/hyperlink" Target="#'M&#7909;c ti&#234;u t&#224;i ch&#237;nh'!A1"/><Relationship Id="rId24" Type="http://schemas.openxmlformats.org/officeDocument/2006/relationships/hyperlink" Target="#'T11'!A1"/><Relationship Id="rId5" Type="http://schemas.openxmlformats.org/officeDocument/2006/relationships/image" Target="../media/image7.svg"/><Relationship Id="rId15" Type="http://schemas.openxmlformats.org/officeDocument/2006/relationships/hyperlink" Target="#'T2'!A1"/><Relationship Id="rId23" Type="http://schemas.openxmlformats.org/officeDocument/2006/relationships/hyperlink" Target="#'T10'!A1"/><Relationship Id="rId10" Type="http://schemas.openxmlformats.org/officeDocument/2006/relationships/hyperlink" Target="#'M&#7909;c ti&#234;u b&#7843;n th&#226;n'!A1"/><Relationship Id="rId19" Type="http://schemas.openxmlformats.org/officeDocument/2006/relationships/hyperlink" Target="#'T6'!A1"/><Relationship Id="rId4" Type="http://schemas.openxmlformats.org/officeDocument/2006/relationships/image" Target="../media/image3.png"/><Relationship Id="rId9" Type="http://schemas.openxmlformats.org/officeDocument/2006/relationships/hyperlink" Target="#Dashboard!A1"/><Relationship Id="rId14" Type="http://schemas.openxmlformats.org/officeDocument/2006/relationships/hyperlink" Target="#'T1'!A1"/><Relationship Id="rId22" Type="http://schemas.openxmlformats.org/officeDocument/2006/relationships/hyperlink" Target="#'T9'!A1"/></Relationships>
</file>

<file path=xl/drawings/_rels/drawing7.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C&#226;n &#273;&#7889;i l&#7897; tr&#236;nh ngh&#7873; nghi&#7879;p'!A1"/><Relationship Id="rId18" Type="http://schemas.openxmlformats.org/officeDocument/2006/relationships/hyperlink" Target="#'T4'!A1"/><Relationship Id="rId26" Type="http://schemas.openxmlformats.org/officeDocument/2006/relationships/hyperlink" Target="#'T12'!A1"/><Relationship Id="rId3" Type="http://schemas.openxmlformats.org/officeDocument/2006/relationships/image" Target="../media/image2.svg"/><Relationship Id="rId21" Type="http://schemas.openxmlformats.org/officeDocument/2006/relationships/hyperlink" Target="#'T7'!A1"/><Relationship Id="rId7" Type="http://schemas.openxmlformats.org/officeDocument/2006/relationships/image" Target="../media/image5.png"/><Relationship Id="rId12" Type="http://schemas.openxmlformats.org/officeDocument/2006/relationships/hyperlink" Target="#'M&#7909;c ti&#234;u t&#224;i ch&#237;nh'!A1"/><Relationship Id="rId17" Type="http://schemas.openxmlformats.org/officeDocument/2006/relationships/hyperlink" Target="#'T3'!A1"/><Relationship Id="rId25" Type="http://schemas.openxmlformats.org/officeDocument/2006/relationships/hyperlink" Target="#'T11'!A1"/><Relationship Id="rId2" Type="http://schemas.openxmlformats.org/officeDocument/2006/relationships/image" Target="../media/image1.png"/><Relationship Id="rId16" Type="http://schemas.openxmlformats.org/officeDocument/2006/relationships/hyperlink" Target="#'T2'!A1"/><Relationship Id="rId20" Type="http://schemas.openxmlformats.org/officeDocument/2006/relationships/hyperlink" Target="#'T6'!A1"/><Relationship Id="rId1" Type="http://schemas.openxmlformats.org/officeDocument/2006/relationships/hyperlink" Target="#'T1'!E5"/><Relationship Id="rId6" Type="http://schemas.openxmlformats.org/officeDocument/2006/relationships/image" Target="../media/image7.svg"/><Relationship Id="rId11" Type="http://schemas.openxmlformats.org/officeDocument/2006/relationships/hyperlink" Target="#'M&#7909;c ti&#234;u b&#7843;n th&#226;n'!A1"/><Relationship Id="rId24" Type="http://schemas.openxmlformats.org/officeDocument/2006/relationships/hyperlink" Target="#'T10'!A1"/><Relationship Id="rId5" Type="http://schemas.openxmlformats.org/officeDocument/2006/relationships/image" Target="../media/image3.png"/><Relationship Id="rId15" Type="http://schemas.openxmlformats.org/officeDocument/2006/relationships/hyperlink" Target="#'T1'!A1"/><Relationship Id="rId23" Type="http://schemas.openxmlformats.org/officeDocument/2006/relationships/hyperlink" Target="#'T9'!A1"/><Relationship Id="rId10" Type="http://schemas.openxmlformats.org/officeDocument/2006/relationships/hyperlink" Target="#Dashboard!A1"/><Relationship Id="rId19" Type="http://schemas.openxmlformats.org/officeDocument/2006/relationships/hyperlink" Target="#'T5'!A1"/><Relationship Id="rId4" Type="http://schemas.openxmlformats.org/officeDocument/2006/relationships/chart" Target="../charts/chart8.xml"/><Relationship Id="rId9" Type="http://schemas.openxmlformats.org/officeDocument/2006/relationships/hyperlink" Target="#'T&#7915; kh&#243;a'!A1"/><Relationship Id="rId14" Type="http://schemas.openxmlformats.org/officeDocument/2006/relationships/hyperlink" Target="#'K&#7871; ho&#7841;ch thu nh&#7853;p v&#224; chi ti&#234;u'!A1"/><Relationship Id="rId22" Type="http://schemas.openxmlformats.org/officeDocument/2006/relationships/hyperlink" Target="#'T8'!A1"/><Relationship Id="rId27" Type="http://schemas.openxmlformats.org/officeDocument/2006/relationships/hyperlink" Target="#'B&#7843;ng kh&#7843;o s&#225;t'!A1"/></Relationships>
</file>

<file path=xl/drawings/_rels/drawing8.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C&#226;n &#273;&#7889;i l&#7897; tr&#236;nh ngh&#7873; nghi&#7879;p'!A1"/><Relationship Id="rId18" Type="http://schemas.openxmlformats.org/officeDocument/2006/relationships/hyperlink" Target="#'T4'!A1"/><Relationship Id="rId26" Type="http://schemas.openxmlformats.org/officeDocument/2006/relationships/hyperlink" Target="#'T12'!A1"/><Relationship Id="rId3" Type="http://schemas.openxmlformats.org/officeDocument/2006/relationships/image" Target="../media/image2.svg"/><Relationship Id="rId21" Type="http://schemas.openxmlformats.org/officeDocument/2006/relationships/hyperlink" Target="#'T7'!A1"/><Relationship Id="rId7" Type="http://schemas.openxmlformats.org/officeDocument/2006/relationships/image" Target="../media/image5.png"/><Relationship Id="rId12" Type="http://schemas.openxmlformats.org/officeDocument/2006/relationships/hyperlink" Target="#'M&#7909;c ti&#234;u t&#224;i ch&#237;nh'!A1"/><Relationship Id="rId17" Type="http://schemas.openxmlformats.org/officeDocument/2006/relationships/hyperlink" Target="#'T3'!A1"/><Relationship Id="rId25" Type="http://schemas.openxmlformats.org/officeDocument/2006/relationships/hyperlink" Target="#'T11'!A1"/><Relationship Id="rId2" Type="http://schemas.openxmlformats.org/officeDocument/2006/relationships/image" Target="../media/image1.png"/><Relationship Id="rId16" Type="http://schemas.openxmlformats.org/officeDocument/2006/relationships/hyperlink" Target="#'T2'!A1"/><Relationship Id="rId20" Type="http://schemas.openxmlformats.org/officeDocument/2006/relationships/hyperlink" Target="#'T6'!A1"/><Relationship Id="rId1" Type="http://schemas.openxmlformats.org/officeDocument/2006/relationships/hyperlink" Target="#'T2'!E5"/><Relationship Id="rId6" Type="http://schemas.openxmlformats.org/officeDocument/2006/relationships/image" Target="../media/image7.svg"/><Relationship Id="rId11" Type="http://schemas.openxmlformats.org/officeDocument/2006/relationships/hyperlink" Target="#'M&#7909;c ti&#234;u b&#7843;n th&#226;n'!A1"/><Relationship Id="rId24" Type="http://schemas.openxmlformats.org/officeDocument/2006/relationships/hyperlink" Target="#'T10'!A1"/><Relationship Id="rId5" Type="http://schemas.openxmlformats.org/officeDocument/2006/relationships/image" Target="../media/image3.png"/><Relationship Id="rId15" Type="http://schemas.openxmlformats.org/officeDocument/2006/relationships/hyperlink" Target="#'T1'!A1"/><Relationship Id="rId23" Type="http://schemas.openxmlformats.org/officeDocument/2006/relationships/hyperlink" Target="#'T9'!A1"/><Relationship Id="rId10" Type="http://schemas.openxmlformats.org/officeDocument/2006/relationships/hyperlink" Target="#Dashboard!A1"/><Relationship Id="rId19" Type="http://schemas.openxmlformats.org/officeDocument/2006/relationships/hyperlink" Target="#'T5'!A1"/><Relationship Id="rId4" Type="http://schemas.openxmlformats.org/officeDocument/2006/relationships/chart" Target="../charts/chart9.xml"/><Relationship Id="rId9" Type="http://schemas.openxmlformats.org/officeDocument/2006/relationships/hyperlink" Target="#'T&#7915; kh&#243;a'!A1"/><Relationship Id="rId14" Type="http://schemas.openxmlformats.org/officeDocument/2006/relationships/hyperlink" Target="#'K&#7871; ho&#7841;ch thu nh&#7853;p v&#224; chi ti&#234;u'!A1"/><Relationship Id="rId22" Type="http://schemas.openxmlformats.org/officeDocument/2006/relationships/hyperlink" Target="#'T8'!A1"/><Relationship Id="rId27" Type="http://schemas.openxmlformats.org/officeDocument/2006/relationships/hyperlink" Target="#'B&#7843;ng kh&#7843;o s&#225;t'!A1"/></Relationships>
</file>

<file path=xl/drawings/_rels/drawing9.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hyperlink" Target="#'C&#226;n &#273;&#7889;i l&#7897; tr&#236;nh ngh&#7873; nghi&#7879;p'!A1"/><Relationship Id="rId18" Type="http://schemas.openxmlformats.org/officeDocument/2006/relationships/hyperlink" Target="#'T4'!A1"/><Relationship Id="rId26" Type="http://schemas.openxmlformats.org/officeDocument/2006/relationships/hyperlink" Target="#'T12'!A1"/><Relationship Id="rId3" Type="http://schemas.openxmlformats.org/officeDocument/2006/relationships/image" Target="../media/image2.svg"/><Relationship Id="rId21" Type="http://schemas.openxmlformats.org/officeDocument/2006/relationships/hyperlink" Target="#'T7'!A1"/><Relationship Id="rId7" Type="http://schemas.openxmlformats.org/officeDocument/2006/relationships/image" Target="../media/image5.png"/><Relationship Id="rId12" Type="http://schemas.openxmlformats.org/officeDocument/2006/relationships/hyperlink" Target="#'M&#7909;c ti&#234;u t&#224;i ch&#237;nh'!A1"/><Relationship Id="rId17" Type="http://schemas.openxmlformats.org/officeDocument/2006/relationships/hyperlink" Target="#'T3'!A1"/><Relationship Id="rId25" Type="http://schemas.openxmlformats.org/officeDocument/2006/relationships/hyperlink" Target="#'T11'!A1"/><Relationship Id="rId2" Type="http://schemas.openxmlformats.org/officeDocument/2006/relationships/image" Target="../media/image1.png"/><Relationship Id="rId16" Type="http://schemas.openxmlformats.org/officeDocument/2006/relationships/hyperlink" Target="#'T2'!A1"/><Relationship Id="rId20" Type="http://schemas.openxmlformats.org/officeDocument/2006/relationships/hyperlink" Target="#'T6'!A1"/><Relationship Id="rId1" Type="http://schemas.openxmlformats.org/officeDocument/2006/relationships/hyperlink" Target="#'T3'!E5"/><Relationship Id="rId6" Type="http://schemas.openxmlformats.org/officeDocument/2006/relationships/image" Target="../media/image7.svg"/><Relationship Id="rId11" Type="http://schemas.openxmlformats.org/officeDocument/2006/relationships/hyperlink" Target="#'M&#7909;c ti&#234;u b&#7843;n th&#226;n'!A1"/><Relationship Id="rId24" Type="http://schemas.openxmlformats.org/officeDocument/2006/relationships/hyperlink" Target="#'T10'!A1"/><Relationship Id="rId5" Type="http://schemas.openxmlformats.org/officeDocument/2006/relationships/image" Target="../media/image3.png"/><Relationship Id="rId15" Type="http://schemas.openxmlformats.org/officeDocument/2006/relationships/hyperlink" Target="#'T1'!A1"/><Relationship Id="rId23" Type="http://schemas.openxmlformats.org/officeDocument/2006/relationships/hyperlink" Target="#'T9'!A1"/><Relationship Id="rId10" Type="http://schemas.openxmlformats.org/officeDocument/2006/relationships/hyperlink" Target="#Dashboard!A1"/><Relationship Id="rId19" Type="http://schemas.openxmlformats.org/officeDocument/2006/relationships/hyperlink" Target="#'T5'!A1"/><Relationship Id="rId4" Type="http://schemas.openxmlformats.org/officeDocument/2006/relationships/chart" Target="../charts/chart10.xml"/><Relationship Id="rId9" Type="http://schemas.openxmlformats.org/officeDocument/2006/relationships/hyperlink" Target="#'T&#7915; kh&#243;a'!A1"/><Relationship Id="rId14" Type="http://schemas.openxmlformats.org/officeDocument/2006/relationships/hyperlink" Target="#'K&#7871; ho&#7841;ch thu nh&#7853;p v&#224; chi ti&#234;u'!A1"/><Relationship Id="rId22" Type="http://schemas.openxmlformats.org/officeDocument/2006/relationships/hyperlink" Target="#'T8'!A1"/><Relationship Id="rId27" Type="http://schemas.openxmlformats.org/officeDocument/2006/relationships/hyperlink" Target="#'B&#7843;ng kh&#7843;o s&#225;t'!A1"/></Relationships>
</file>

<file path=xl/drawings/_rels/drawing10.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hyperlink" Target="#'C&#226;n &#273;&#7889;i l&#7897; tr&#236;nh ngh&#7873; nghi&#7879;p'!A1"/><Relationship Id="rId18" Type="http://schemas.openxmlformats.org/officeDocument/2006/relationships/hyperlink" Target="#'T4'!A1"/><Relationship Id="rId26" Type="http://schemas.openxmlformats.org/officeDocument/2006/relationships/hyperlink" Target="#'T12'!A1"/><Relationship Id="rId3" Type="http://schemas.openxmlformats.org/officeDocument/2006/relationships/image" Target="../media/image2.svg"/><Relationship Id="rId21" Type="http://schemas.openxmlformats.org/officeDocument/2006/relationships/hyperlink" Target="#'T7'!A1"/><Relationship Id="rId7" Type="http://schemas.openxmlformats.org/officeDocument/2006/relationships/image" Target="../media/image5.png"/><Relationship Id="rId12" Type="http://schemas.openxmlformats.org/officeDocument/2006/relationships/hyperlink" Target="#'M&#7909;c ti&#234;u t&#224;i ch&#237;nh'!A1"/><Relationship Id="rId17" Type="http://schemas.openxmlformats.org/officeDocument/2006/relationships/hyperlink" Target="#'T3'!A1"/><Relationship Id="rId25" Type="http://schemas.openxmlformats.org/officeDocument/2006/relationships/hyperlink" Target="#'T11'!A1"/><Relationship Id="rId2" Type="http://schemas.openxmlformats.org/officeDocument/2006/relationships/image" Target="../media/image1.png"/><Relationship Id="rId16" Type="http://schemas.openxmlformats.org/officeDocument/2006/relationships/hyperlink" Target="#'T2'!A1"/><Relationship Id="rId20" Type="http://schemas.openxmlformats.org/officeDocument/2006/relationships/hyperlink" Target="#'T6'!A1"/><Relationship Id="rId1" Type="http://schemas.openxmlformats.org/officeDocument/2006/relationships/hyperlink" Target="#'T4'!E5"/><Relationship Id="rId6" Type="http://schemas.openxmlformats.org/officeDocument/2006/relationships/image" Target="../media/image7.svg"/><Relationship Id="rId11" Type="http://schemas.openxmlformats.org/officeDocument/2006/relationships/hyperlink" Target="#'M&#7909;c ti&#234;u b&#7843;n th&#226;n'!A1"/><Relationship Id="rId24" Type="http://schemas.openxmlformats.org/officeDocument/2006/relationships/hyperlink" Target="#'T10'!A1"/><Relationship Id="rId5" Type="http://schemas.openxmlformats.org/officeDocument/2006/relationships/image" Target="../media/image3.png"/><Relationship Id="rId15" Type="http://schemas.openxmlformats.org/officeDocument/2006/relationships/hyperlink" Target="#'T1'!A1"/><Relationship Id="rId23" Type="http://schemas.openxmlformats.org/officeDocument/2006/relationships/hyperlink" Target="#'T9'!A1"/><Relationship Id="rId10" Type="http://schemas.openxmlformats.org/officeDocument/2006/relationships/hyperlink" Target="#Dashboard!A1"/><Relationship Id="rId19" Type="http://schemas.openxmlformats.org/officeDocument/2006/relationships/hyperlink" Target="#'T5'!A1"/><Relationship Id="rId4" Type="http://schemas.openxmlformats.org/officeDocument/2006/relationships/chart" Target="../charts/chart11.xml"/><Relationship Id="rId9" Type="http://schemas.openxmlformats.org/officeDocument/2006/relationships/hyperlink" Target="#'T&#7915; kh&#243;a'!A1"/><Relationship Id="rId14" Type="http://schemas.openxmlformats.org/officeDocument/2006/relationships/hyperlink" Target="#'K&#7871; ho&#7841;ch thu nh&#7853;p v&#224; chi ti&#234;u'!A1"/><Relationship Id="rId22" Type="http://schemas.openxmlformats.org/officeDocument/2006/relationships/hyperlink" Target="#'T8'!A1"/><Relationship Id="rId27" Type="http://schemas.openxmlformats.org/officeDocument/2006/relationships/hyperlink" Target="#'B&#7843;ng kh&#7843;o s&#225;t'!A1"/></Relationships>
</file>

<file path=xl/drawings/_rels/drawing11.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hyperlink" Target="#'C&#226;n &#273;&#7889;i l&#7897; tr&#236;nh ngh&#7873; nghi&#7879;p'!A1"/><Relationship Id="rId18" Type="http://schemas.openxmlformats.org/officeDocument/2006/relationships/hyperlink" Target="#'T4'!A1"/><Relationship Id="rId26" Type="http://schemas.openxmlformats.org/officeDocument/2006/relationships/hyperlink" Target="#'T12'!A1"/><Relationship Id="rId3" Type="http://schemas.openxmlformats.org/officeDocument/2006/relationships/image" Target="../media/image2.svg"/><Relationship Id="rId21" Type="http://schemas.openxmlformats.org/officeDocument/2006/relationships/hyperlink" Target="#'T7'!A1"/><Relationship Id="rId7" Type="http://schemas.openxmlformats.org/officeDocument/2006/relationships/image" Target="../media/image5.png"/><Relationship Id="rId12" Type="http://schemas.openxmlformats.org/officeDocument/2006/relationships/hyperlink" Target="#'M&#7909;c ti&#234;u t&#224;i ch&#237;nh'!A1"/><Relationship Id="rId17" Type="http://schemas.openxmlformats.org/officeDocument/2006/relationships/hyperlink" Target="#'T3'!A1"/><Relationship Id="rId25" Type="http://schemas.openxmlformats.org/officeDocument/2006/relationships/hyperlink" Target="#'T11'!A1"/><Relationship Id="rId2" Type="http://schemas.openxmlformats.org/officeDocument/2006/relationships/image" Target="../media/image1.png"/><Relationship Id="rId16" Type="http://schemas.openxmlformats.org/officeDocument/2006/relationships/hyperlink" Target="#'T2'!A1"/><Relationship Id="rId20" Type="http://schemas.openxmlformats.org/officeDocument/2006/relationships/hyperlink" Target="#'T6'!A1"/><Relationship Id="rId1" Type="http://schemas.openxmlformats.org/officeDocument/2006/relationships/hyperlink" Target="#'T5'!E5"/><Relationship Id="rId6" Type="http://schemas.openxmlformats.org/officeDocument/2006/relationships/image" Target="../media/image7.svg"/><Relationship Id="rId11" Type="http://schemas.openxmlformats.org/officeDocument/2006/relationships/hyperlink" Target="#'M&#7909;c ti&#234;u b&#7843;n th&#226;n'!A1"/><Relationship Id="rId24" Type="http://schemas.openxmlformats.org/officeDocument/2006/relationships/hyperlink" Target="#'T10'!A1"/><Relationship Id="rId5" Type="http://schemas.openxmlformats.org/officeDocument/2006/relationships/image" Target="../media/image3.png"/><Relationship Id="rId15" Type="http://schemas.openxmlformats.org/officeDocument/2006/relationships/hyperlink" Target="#'T1'!A1"/><Relationship Id="rId23" Type="http://schemas.openxmlformats.org/officeDocument/2006/relationships/hyperlink" Target="#'T9'!A1"/><Relationship Id="rId10" Type="http://schemas.openxmlformats.org/officeDocument/2006/relationships/hyperlink" Target="#Dashboard!A1"/><Relationship Id="rId19" Type="http://schemas.openxmlformats.org/officeDocument/2006/relationships/hyperlink" Target="#'T5'!A1"/><Relationship Id="rId4" Type="http://schemas.openxmlformats.org/officeDocument/2006/relationships/chart" Target="../charts/chart12.xml"/><Relationship Id="rId9" Type="http://schemas.openxmlformats.org/officeDocument/2006/relationships/hyperlink" Target="#'T&#7915; kh&#243;a'!A1"/><Relationship Id="rId14" Type="http://schemas.openxmlformats.org/officeDocument/2006/relationships/hyperlink" Target="#'K&#7871; ho&#7841;ch thu nh&#7853;p v&#224; chi ti&#234;u'!A1"/><Relationship Id="rId22" Type="http://schemas.openxmlformats.org/officeDocument/2006/relationships/hyperlink" Target="#'T8'!A1"/><Relationship Id="rId27" Type="http://schemas.openxmlformats.org/officeDocument/2006/relationships/hyperlink" Target="#'B&#7843;ng kh&#7843;o s&#225;t'!A1"/></Relationships>
</file>

<file path=xl/drawings/_rels/drawing1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C&#226;n &#273;&#7889;i l&#7897; tr&#236;nh ngh&#7873; nghi&#7879;p'!A1"/><Relationship Id="rId18" Type="http://schemas.openxmlformats.org/officeDocument/2006/relationships/hyperlink" Target="#'T4'!A1"/><Relationship Id="rId26" Type="http://schemas.openxmlformats.org/officeDocument/2006/relationships/hyperlink" Target="#'T12'!A1"/><Relationship Id="rId3" Type="http://schemas.openxmlformats.org/officeDocument/2006/relationships/image" Target="../media/image2.svg"/><Relationship Id="rId21" Type="http://schemas.openxmlformats.org/officeDocument/2006/relationships/hyperlink" Target="#'T7'!A1"/><Relationship Id="rId7" Type="http://schemas.openxmlformats.org/officeDocument/2006/relationships/image" Target="../media/image5.png"/><Relationship Id="rId12" Type="http://schemas.openxmlformats.org/officeDocument/2006/relationships/hyperlink" Target="#'M&#7909;c ti&#234;u t&#224;i ch&#237;nh'!A1"/><Relationship Id="rId17" Type="http://schemas.openxmlformats.org/officeDocument/2006/relationships/hyperlink" Target="#'T3'!A1"/><Relationship Id="rId25" Type="http://schemas.openxmlformats.org/officeDocument/2006/relationships/hyperlink" Target="#'T11'!A1"/><Relationship Id="rId2" Type="http://schemas.openxmlformats.org/officeDocument/2006/relationships/image" Target="../media/image1.png"/><Relationship Id="rId16" Type="http://schemas.openxmlformats.org/officeDocument/2006/relationships/hyperlink" Target="#'T2'!A1"/><Relationship Id="rId20" Type="http://schemas.openxmlformats.org/officeDocument/2006/relationships/hyperlink" Target="#'T6'!A1"/><Relationship Id="rId1" Type="http://schemas.openxmlformats.org/officeDocument/2006/relationships/hyperlink" Target="#'T6'!E5"/><Relationship Id="rId6" Type="http://schemas.openxmlformats.org/officeDocument/2006/relationships/image" Target="../media/image7.svg"/><Relationship Id="rId11" Type="http://schemas.openxmlformats.org/officeDocument/2006/relationships/hyperlink" Target="#'M&#7909;c ti&#234;u b&#7843;n th&#226;n'!A1"/><Relationship Id="rId24" Type="http://schemas.openxmlformats.org/officeDocument/2006/relationships/hyperlink" Target="#'T10'!A1"/><Relationship Id="rId5" Type="http://schemas.openxmlformats.org/officeDocument/2006/relationships/image" Target="../media/image3.png"/><Relationship Id="rId15" Type="http://schemas.openxmlformats.org/officeDocument/2006/relationships/hyperlink" Target="#'T1'!A1"/><Relationship Id="rId23" Type="http://schemas.openxmlformats.org/officeDocument/2006/relationships/hyperlink" Target="#'T9'!A1"/><Relationship Id="rId10" Type="http://schemas.openxmlformats.org/officeDocument/2006/relationships/hyperlink" Target="#Dashboard!A1"/><Relationship Id="rId19" Type="http://schemas.openxmlformats.org/officeDocument/2006/relationships/hyperlink" Target="#'T5'!A1"/><Relationship Id="rId4" Type="http://schemas.openxmlformats.org/officeDocument/2006/relationships/chart" Target="../charts/chart13.xml"/><Relationship Id="rId9" Type="http://schemas.openxmlformats.org/officeDocument/2006/relationships/hyperlink" Target="#'T&#7915; kh&#243;a'!A1"/><Relationship Id="rId14" Type="http://schemas.openxmlformats.org/officeDocument/2006/relationships/hyperlink" Target="#'K&#7871; ho&#7841;ch thu nh&#7853;p v&#224; chi ti&#234;u'!A1"/><Relationship Id="rId22" Type="http://schemas.openxmlformats.org/officeDocument/2006/relationships/hyperlink" Target="#'T8'!A1"/><Relationship Id="rId27" Type="http://schemas.openxmlformats.org/officeDocument/2006/relationships/hyperlink" Target="#'B&#7843;ng kh&#7843;o s&#225;t'!A1"/></Relationships>
</file>

<file path=xl/drawings/_rels/drawing1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C&#226;n &#273;&#7889;i l&#7897; tr&#236;nh ngh&#7873; nghi&#7879;p'!A1"/><Relationship Id="rId18" Type="http://schemas.openxmlformats.org/officeDocument/2006/relationships/hyperlink" Target="#'T4'!A1"/><Relationship Id="rId26" Type="http://schemas.openxmlformats.org/officeDocument/2006/relationships/hyperlink" Target="#'T12'!A1"/><Relationship Id="rId3" Type="http://schemas.openxmlformats.org/officeDocument/2006/relationships/image" Target="../media/image2.svg"/><Relationship Id="rId21" Type="http://schemas.openxmlformats.org/officeDocument/2006/relationships/hyperlink" Target="#'T7'!A1"/><Relationship Id="rId7" Type="http://schemas.openxmlformats.org/officeDocument/2006/relationships/image" Target="../media/image5.png"/><Relationship Id="rId12" Type="http://schemas.openxmlformats.org/officeDocument/2006/relationships/hyperlink" Target="#'M&#7909;c ti&#234;u t&#224;i ch&#237;nh'!A1"/><Relationship Id="rId17" Type="http://schemas.openxmlformats.org/officeDocument/2006/relationships/hyperlink" Target="#'T3'!A1"/><Relationship Id="rId25" Type="http://schemas.openxmlformats.org/officeDocument/2006/relationships/hyperlink" Target="#'T11'!A1"/><Relationship Id="rId2" Type="http://schemas.openxmlformats.org/officeDocument/2006/relationships/image" Target="../media/image1.png"/><Relationship Id="rId16" Type="http://schemas.openxmlformats.org/officeDocument/2006/relationships/hyperlink" Target="#'T2'!A1"/><Relationship Id="rId20" Type="http://schemas.openxmlformats.org/officeDocument/2006/relationships/hyperlink" Target="#'T6'!A1"/><Relationship Id="rId1" Type="http://schemas.openxmlformats.org/officeDocument/2006/relationships/hyperlink" Target="#'T7'!E5"/><Relationship Id="rId6" Type="http://schemas.openxmlformats.org/officeDocument/2006/relationships/image" Target="../media/image7.svg"/><Relationship Id="rId11" Type="http://schemas.openxmlformats.org/officeDocument/2006/relationships/hyperlink" Target="#'M&#7909;c ti&#234;u b&#7843;n th&#226;n'!A1"/><Relationship Id="rId24" Type="http://schemas.openxmlformats.org/officeDocument/2006/relationships/hyperlink" Target="#'T10'!A1"/><Relationship Id="rId5" Type="http://schemas.openxmlformats.org/officeDocument/2006/relationships/image" Target="../media/image3.png"/><Relationship Id="rId15" Type="http://schemas.openxmlformats.org/officeDocument/2006/relationships/hyperlink" Target="#'T1'!A1"/><Relationship Id="rId23" Type="http://schemas.openxmlformats.org/officeDocument/2006/relationships/hyperlink" Target="#'T9'!A1"/><Relationship Id="rId10" Type="http://schemas.openxmlformats.org/officeDocument/2006/relationships/hyperlink" Target="#Dashboard!A1"/><Relationship Id="rId19" Type="http://schemas.openxmlformats.org/officeDocument/2006/relationships/hyperlink" Target="#'T5'!A1"/><Relationship Id="rId4" Type="http://schemas.openxmlformats.org/officeDocument/2006/relationships/chart" Target="../charts/chart14.xml"/><Relationship Id="rId9" Type="http://schemas.openxmlformats.org/officeDocument/2006/relationships/hyperlink" Target="#'T&#7915; kh&#243;a'!A1"/><Relationship Id="rId14" Type="http://schemas.openxmlformats.org/officeDocument/2006/relationships/hyperlink" Target="#'K&#7871; ho&#7841;ch thu nh&#7853;p v&#224; chi ti&#234;u'!A1"/><Relationship Id="rId22" Type="http://schemas.openxmlformats.org/officeDocument/2006/relationships/hyperlink" Target="#'T8'!A1"/><Relationship Id="rId27" Type="http://schemas.openxmlformats.org/officeDocument/2006/relationships/hyperlink" Target="#'B&#7843;ng kh&#7843;o s&#225;t'!A1"/></Relationships>
</file>

<file path=xl/drawings/_rels/drawing14.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C&#226;n &#273;&#7889;i l&#7897; tr&#236;nh ngh&#7873; nghi&#7879;p'!A1"/><Relationship Id="rId18" Type="http://schemas.openxmlformats.org/officeDocument/2006/relationships/hyperlink" Target="#'T4'!A1"/><Relationship Id="rId26" Type="http://schemas.openxmlformats.org/officeDocument/2006/relationships/hyperlink" Target="#'T12'!A1"/><Relationship Id="rId3" Type="http://schemas.openxmlformats.org/officeDocument/2006/relationships/image" Target="../media/image2.svg"/><Relationship Id="rId21" Type="http://schemas.openxmlformats.org/officeDocument/2006/relationships/hyperlink" Target="#'T7'!A1"/><Relationship Id="rId7" Type="http://schemas.openxmlformats.org/officeDocument/2006/relationships/image" Target="../media/image5.png"/><Relationship Id="rId12" Type="http://schemas.openxmlformats.org/officeDocument/2006/relationships/hyperlink" Target="#'M&#7909;c ti&#234;u t&#224;i ch&#237;nh'!A1"/><Relationship Id="rId17" Type="http://schemas.openxmlformats.org/officeDocument/2006/relationships/hyperlink" Target="#'T3'!A1"/><Relationship Id="rId25" Type="http://schemas.openxmlformats.org/officeDocument/2006/relationships/hyperlink" Target="#'T11'!A1"/><Relationship Id="rId2" Type="http://schemas.openxmlformats.org/officeDocument/2006/relationships/image" Target="../media/image1.png"/><Relationship Id="rId16" Type="http://schemas.openxmlformats.org/officeDocument/2006/relationships/hyperlink" Target="#'T2'!A1"/><Relationship Id="rId20" Type="http://schemas.openxmlformats.org/officeDocument/2006/relationships/hyperlink" Target="#'T6'!A1"/><Relationship Id="rId1" Type="http://schemas.openxmlformats.org/officeDocument/2006/relationships/hyperlink" Target="#'T8'!E5"/><Relationship Id="rId6" Type="http://schemas.openxmlformats.org/officeDocument/2006/relationships/image" Target="../media/image7.svg"/><Relationship Id="rId11" Type="http://schemas.openxmlformats.org/officeDocument/2006/relationships/hyperlink" Target="#'M&#7909;c ti&#234;u b&#7843;n th&#226;n'!A1"/><Relationship Id="rId24" Type="http://schemas.openxmlformats.org/officeDocument/2006/relationships/hyperlink" Target="#'T10'!A1"/><Relationship Id="rId5" Type="http://schemas.openxmlformats.org/officeDocument/2006/relationships/image" Target="../media/image3.png"/><Relationship Id="rId15" Type="http://schemas.openxmlformats.org/officeDocument/2006/relationships/hyperlink" Target="#'T1'!A1"/><Relationship Id="rId23" Type="http://schemas.openxmlformats.org/officeDocument/2006/relationships/hyperlink" Target="#'T9'!A1"/><Relationship Id="rId10" Type="http://schemas.openxmlformats.org/officeDocument/2006/relationships/hyperlink" Target="#Dashboard!A1"/><Relationship Id="rId19" Type="http://schemas.openxmlformats.org/officeDocument/2006/relationships/hyperlink" Target="#'T5'!A1"/><Relationship Id="rId4" Type="http://schemas.openxmlformats.org/officeDocument/2006/relationships/chart" Target="../charts/chart15.xml"/><Relationship Id="rId9" Type="http://schemas.openxmlformats.org/officeDocument/2006/relationships/hyperlink" Target="#'T&#7915; kh&#243;a'!A1"/><Relationship Id="rId14" Type="http://schemas.openxmlformats.org/officeDocument/2006/relationships/hyperlink" Target="#'K&#7871; ho&#7841;ch thu nh&#7853;p v&#224; chi ti&#234;u'!A1"/><Relationship Id="rId22" Type="http://schemas.openxmlformats.org/officeDocument/2006/relationships/hyperlink" Target="#'T8'!A1"/><Relationship Id="rId27" Type="http://schemas.openxmlformats.org/officeDocument/2006/relationships/hyperlink" Target="#'B&#7843;ng kh&#7843;o s&#225;t'!A1"/></Relationships>
</file>

<file path=xl/drawings/_rels/drawing15.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hyperlink" Target="#'C&#226;n &#273;&#7889;i l&#7897; tr&#236;nh ngh&#7873; nghi&#7879;p'!A1"/><Relationship Id="rId18" Type="http://schemas.openxmlformats.org/officeDocument/2006/relationships/hyperlink" Target="#'T4'!A1"/><Relationship Id="rId26" Type="http://schemas.openxmlformats.org/officeDocument/2006/relationships/hyperlink" Target="#'T12'!A1"/><Relationship Id="rId3" Type="http://schemas.openxmlformats.org/officeDocument/2006/relationships/image" Target="../media/image2.svg"/><Relationship Id="rId21" Type="http://schemas.openxmlformats.org/officeDocument/2006/relationships/hyperlink" Target="#'T7'!A1"/><Relationship Id="rId7" Type="http://schemas.openxmlformats.org/officeDocument/2006/relationships/image" Target="../media/image5.png"/><Relationship Id="rId12" Type="http://schemas.openxmlformats.org/officeDocument/2006/relationships/hyperlink" Target="#'M&#7909;c ti&#234;u t&#224;i ch&#237;nh'!A1"/><Relationship Id="rId17" Type="http://schemas.openxmlformats.org/officeDocument/2006/relationships/hyperlink" Target="#'T3'!A1"/><Relationship Id="rId25" Type="http://schemas.openxmlformats.org/officeDocument/2006/relationships/hyperlink" Target="#'T11'!A1"/><Relationship Id="rId2" Type="http://schemas.openxmlformats.org/officeDocument/2006/relationships/image" Target="../media/image1.png"/><Relationship Id="rId16" Type="http://schemas.openxmlformats.org/officeDocument/2006/relationships/hyperlink" Target="#'T2'!A1"/><Relationship Id="rId20" Type="http://schemas.openxmlformats.org/officeDocument/2006/relationships/hyperlink" Target="#'T6'!A1"/><Relationship Id="rId1" Type="http://schemas.openxmlformats.org/officeDocument/2006/relationships/hyperlink" Target="#'T9'!E5"/><Relationship Id="rId6" Type="http://schemas.openxmlformats.org/officeDocument/2006/relationships/image" Target="../media/image7.svg"/><Relationship Id="rId11" Type="http://schemas.openxmlformats.org/officeDocument/2006/relationships/hyperlink" Target="#'M&#7909;c ti&#234;u b&#7843;n th&#226;n'!A1"/><Relationship Id="rId24" Type="http://schemas.openxmlformats.org/officeDocument/2006/relationships/hyperlink" Target="#'T10'!A1"/><Relationship Id="rId5" Type="http://schemas.openxmlformats.org/officeDocument/2006/relationships/image" Target="../media/image3.png"/><Relationship Id="rId15" Type="http://schemas.openxmlformats.org/officeDocument/2006/relationships/hyperlink" Target="#'T1'!A1"/><Relationship Id="rId23" Type="http://schemas.openxmlformats.org/officeDocument/2006/relationships/hyperlink" Target="#'T9'!A1"/><Relationship Id="rId10" Type="http://schemas.openxmlformats.org/officeDocument/2006/relationships/hyperlink" Target="#Dashboard!A1"/><Relationship Id="rId19" Type="http://schemas.openxmlformats.org/officeDocument/2006/relationships/hyperlink" Target="#'T5'!A1"/><Relationship Id="rId4" Type="http://schemas.openxmlformats.org/officeDocument/2006/relationships/chart" Target="../charts/chart16.xml"/><Relationship Id="rId9" Type="http://schemas.openxmlformats.org/officeDocument/2006/relationships/hyperlink" Target="#'T&#7915; kh&#243;a'!A1"/><Relationship Id="rId14" Type="http://schemas.openxmlformats.org/officeDocument/2006/relationships/hyperlink" Target="#'K&#7871; ho&#7841;ch thu nh&#7853;p v&#224; chi ti&#234;u'!A1"/><Relationship Id="rId22" Type="http://schemas.openxmlformats.org/officeDocument/2006/relationships/hyperlink" Target="#'T8'!A1"/><Relationship Id="rId27" Type="http://schemas.openxmlformats.org/officeDocument/2006/relationships/hyperlink" Target="#'B&#7843;ng kh&#7843;o s&#225;t'!A1"/></Relationships>
</file>

<file path=xl/drawings/_rels/drawing16.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C&#226;n &#273;&#7889;i l&#7897; tr&#236;nh ngh&#7873; nghi&#7879;p'!A1"/><Relationship Id="rId18" Type="http://schemas.openxmlformats.org/officeDocument/2006/relationships/hyperlink" Target="#'T4'!A1"/><Relationship Id="rId26" Type="http://schemas.openxmlformats.org/officeDocument/2006/relationships/hyperlink" Target="#'T12'!A1"/><Relationship Id="rId3" Type="http://schemas.openxmlformats.org/officeDocument/2006/relationships/image" Target="../media/image2.svg"/><Relationship Id="rId21" Type="http://schemas.openxmlformats.org/officeDocument/2006/relationships/hyperlink" Target="#'T7'!A1"/><Relationship Id="rId7" Type="http://schemas.openxmlformats.org/officeDocument/2006/relationships/image" Target="../media/image5.png"/><Relationship Id="rId12" Type="http://schemas.openxmlformats.org/officeDocument/2006/relationships/hyperlink" Target="#'M&#7909;c ti&#234;u t&#224;i ch&#237;nh'!A1"/><Relationship Id="rId17" Type="http://schemas.openxmlformats.org/officeDocument/2006/relationships/hyperlink" Target="#'T3'!A1"/><Relationship Id="rId25" Type="http://schemas.openxmlformats.org/officeDocument/2006/relationships/hyperlink" Target="#'T11'!A1"/><Relationship Id="rId2" Type="http://schemas.openxmlformats.org/officeDocument/2006/relationships/image" Target="../media/image1.png"/><Relationship Id="rId16" Type="http://schemas.openxmlformats.org/officeDocument/2006/relationships/hyperlink" Target="#'T2'!A1"/><Relationship Id="rId20" Type="http://schemas.openxmlformats.org/officeDocument/2006/relationships/hyperlink" Target="#'T6'!A1"/><Relationship Id="rId1" Type="http://schemas.openxmlformats.org/officeDocument/2006/relationships/hyperlink" Target="#'T10'!E5"/><Relationship Id="rId6" Type="http://schemas.openxmlformats.org/officeDocument/2006/relationships/image" Target="../media/image7.svg"/><Relationship Id="rId11" Type="http://schemas.openxmlformats.org/officeDocument/2006/relationships/hyperlink" Target="#'M&#7909;c ti&#234;u b&#7843;n th&#226;n'!A1"/><Relationship Id="rId24" Type="http://schemas.openxmlformats.org/officeDocument/2006/relationships/hyperlink" Target="#'T10'!A1"/><Relationship Id="rId5" Type="http://schemas.openxmlformats.org/officeDocument/2006/relationships/image" Target="../media/image3.png"/><Relationship Id="rId15" Type="http://schemas.openxmlformats.org/officeDocument/2006/relationships/hyperlink" Target="#'T1'!A1"/><Relationship Id="rId23" Type="http://schemas.openxmlformats.org/officeDocument/2006/relationships/hyperlink" Target="#'T9'!A1"/><Relationship Id="rId10" Type="http://schemas.openxmlformats.org/officeDocument/2006/relationships/hyperlink" Target="#Dashboard!A1"/><Relationship Id="rId19" Type="http://schemas.openxmlformats.org/officeDocument/2006/relationships/hyperlink" Target="#'T5'!A1"/><Relationship Id="rId4" Type="http://schemas.openxmlformats.org/officeDocument/2006/relationships/chart" Target="../charts/chart17.xml"/><Relationship Id="rId9" Type="http://schemas.openxmlformats.org/officeDocument/2006/relationships/hyperlink" Target="#'T&#7915; kh&#243;a'!A1"/><Relationship Id="rId14" Type="http://schemas.openxmlformats.org/officeDocument/2006/relationships/hyperlink" Target="#'K&#7871; ho&#7841;ch thu nh&#7853;p v&#224; chi ti&#234;u'!A1"/><Relationship Id="rId22" Type="http://schemas.openxmlformats.org/officeDocument/2006/relationships/hyperlink" Target="#'T8'!A1"/><Relationship Id="rId27" Type="http://schemas.openxmlformats.org/officeDocument/2006/relationships/hyperlink" Target="#'B&#7843;ng kh&#7843;o s&#225;t'!A1"/></Relationships>
</file>

<file path=xl/drawings/_rels/drawing17.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C&#226;n &#273;&#7889;i l&#7897; tr&#236;nh ngh&#7873; nghi&#7879;p'!A1"/><Relationship Id="rId18" Type="http://schemas.openxmlformats.org/officeDocument/2006/relationships/hyperlink" Target="#'T4'!A1"/><Relationship Id="rId26" Type="http://schemas.openxmlformats.org/officeDocument/2006/relationships/hyperlink" Target="#'T12'!A1"/><Relationship Id="rId3" Type="http://schemas.openxmlformats.org/officeDocument/2006/relationships/image" Target="../media/image2.svg"/><Relationship Id="rId21" Type="http://schemas.openxmlformats.org/officeDocument/2006/relationships/hyperlink" Target="#'T7'!A1"/><Relationship Id="rId7" Type="http://schemas.openxmlformats.org/officeDocument/2006/relationships/image" Target="../media/image5.png"/><Relationship Id="rId12" Type="http://schemas.openxmlformats.org/officeDocument/2006/relationships/hyperlink" Target="#'M&#7909;c ti&#234;u t&#224;i ch&#237;nh'!A1"/><Relationship Id="rId17" Type="http://schemas.openxmlformats.org/officeDocument/2006/relationships/hyperlink" Target="#'T3'!A1"/><Relationship Id="rId25" Type="http://schemas.openxmlformats.org/officeDocument/2006/relationships/hyperlink" Target="#'T11'!A1"/><Relationship Id="rId2" Type="http://schemas.openxmlformats.org/officeDocument/2006/relationships/image" Target="../media/image1.png"/><Relationship Id="rId16" Type="http://schemas.openxmlformats.org/officeDocument/2006/relationships/hyperlink" Target="#'T2'!A1"/><Relationship Id="rId20" Type="http://schemas.openxmlformats.org/officeDocument/2006/relationships/hyperlink" Target="#'T6'!A1"/><Relationship Id="rId1" Type="http://schemas.openxmlformats.org/officeDocument/2006/relationships/hyperlink" Target="#'T11'!E5"/><Relationship Id="rId6" Type="http://schemas.openxmlformats.org/officeDocument/2006/relationships/image" Target="../media/image7.svg"/><Relationship Id="rId11" Type="http://schemas.openxmlformats.org/officeDocument/2006/relationships/hyperlink" Target="#'M&#7909;c ti&#234;u b&#7843;n th&#226;n'!A1"/><Relationship Id="rId24" Type="http://schemas.openxmlformats.org/officeDocument/2006/relationships/hyperlink" Target="#'T10'!A1"/><Relationship Id="rId5" Type="http://schemas.openxmlformats.org/officeDocument/2006/relationships/image" Target="../media/image3.png"/><Relationship Id="rId15" Type="http://schemas.openxmlformats.org/officeDocument/2006/relationships/hyperlink" Target="#'T1'!A1"/><Relationship Id="rId23" Type="http://schemas.openxmlformats.org/officeDocument/2006/relationships/hyperlink" Target="#'T9'!A1"/><Relationship Id="rId10" Type="http://schemas.openxmlformats.org/officeDocument/2006/relationships/hyperlink" Target="#Dashboard!A1"/><Relationship Id="rId19" Type="http://schemas.openxmlformats.org/officeDocument/2006/relationships/hyperlink" Target="#'T5'!A1"/><Relationship Id="rId4" Type="http://schemas.openxmlformats.org/officeDocument/2006/relationships/chart" Target="../charts/chart18.xml"/><Relationship Id="rId9" Type="http://schemas.openxmlformats.org/officeDocument/2006/relationships/hyperlink" Target="#'T&#7915; kh&#243;a'!A1"/><Relationship Id="rId14" Type="http://schemas.openxmlformats.org/officeDocument/2006/relationships/hyperlink" Target="#'K&#7871; ho&#7841;ch thu nh&#7853;p v&#224; chi ti&#234;u'!A1"/><Relationship Id="rId22" Type="http://schemas.openxmlformats.org/officeDocument/2006/relationships/hyperlink" Target="#'T8'!A1"/><Relationship Id="rId27" Type="http://schemas.openxmlformats.org/officeDocument/2006/relationships/hyperlink" Target="#'B&#7843;ng kh&#7843;o s&#225;t'!A1"/></Relationships>
</file>

<file path=xl/drawings/_rels/drawing18.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C&#226;n &#273;&#7889;i l&#7897; tr&#236;nh ngh&#7873; nghi&#7879;p'!A1"/><Relationship Id="rId18" Type="http://schemas.openxmlformats.org/officeDocument/2006/relationships/hyperlink" Target="#'T4'!A1"/><Relationship Id="rId26" Type="http://schemas.openxmlformats.org/officeDocument/2006/relationships/hyperlink" Target="#'T12'!A1"/><Relationship Id="rId3" Type="http://schemas.openxmlformats.org/officeDocument/2006/relationships/image" Target="../media/image2.svg"/><Relationship Id="rId21" Type="http://schemas.openxmlformats.org/officeDocument/2006/relationships/hyperlink" Target="#'T7'!A1"/><Relationship Id="rId7" Type="http://schemas.openxmlformats.org/officeDocument/2006/relationships/image" Target="../media/image5.png"/><Relationship Id="rId12" Type="http://schemas.openxmlformats.org/officeDocument/2006/relationships/hyperlink" Target="#'M&#7909;c ti&#234;u t&#224;i ch&#237;nh'!A1"/><Relationship Id="rId17" Type="http://schemas.openxmlformats.org/officeDocument/2006/relationships/hyperlink" Target="#'T3'!A1"/><Relationship Id="rId25" Type="http://schemas.openxmlformats.org/officeDocument/2006/relationships/hyperlink" Target="#'T11'!A1"/><Relationship Id="rId2" Type="http://schemas.openxmlformats.org/officeDocument/2006/relationships/image" Target="../media/image1.png"/><Relationship Id="rId16" Type="http://schemas.openxmlformats.org/officeDocument/2006/relationships/hyperlink" Target="#'T2'!A1"/><Relationship Id="rId20" Type="http://schemas.openxmlformats.org/officeDocument/2006/relationships/hyperlink" Target="#'T6'!A1"/><Relationship Id="rId1" Type="http://schemas.openxmlformats.org/officeDocument/2006/relationships/hyperlink" Target="#'T12'!E5"/><Relationship Id="rId6" Type="http://schemas.openxmlformats.org/officeDocument/2006/relationships/image" Target="../media/image7.svg"/><Relationship Id="rId11" Type="http://schemas.openxmlformats.org/officeDocument/2006/relationships/hyperlink" Target="#'M&#7909;c ti&#234;u b&#7843;n th&#226;n'!A1"/><Relationship Id="rId24" Type="http://schemas.openxmlformats.org/officeDocument/2006/relationships/hyperlink" Target="#'T10'!A1"/><Relationship Id="rId5" Type="http://schemas.openxmlformats.org/officeDocument/2006/relationships/image" Target="../media/image3.png"/><Relationship Id="rId15" Type="http://schemas.openxmlformats.org/officeDocument/2006/relationships/hyperlink" Target="#'T1'!A1"/><Relationship Id="rId23" Type="http://schemas.openxmlformats.org/officeDocument/2006/relationships/hyperlink" Target="#'T9'!A1"/><Relationship Id="rId10" Type="http://schemas.openxmlformats.org/officeDocument/2006/relationships/hyperlink" Target="#Dashboard!A1"/><Relationship Id="rId19" Type="http://schemas.openxmlformats.org/officeDocument/2006/relationships/hyperlink" Target="#'T5'!A1"/><Relationship Id="rId4" Type="http://schemas.openxmlformats.org/officeDocument/2006/relationships/chart" Target="../charts/chart19.xml"/><Relationship Id="rId9" Type="http://schemas.openxmlformats.org/officeDocument/2006/relationships/hyperlink" Target="#'T&#7915; kh&#243;a'!A1"/><Relationship Id="rId14" Type="http://schemas.openxmlformats.org/officeDocument/2006/relationships/hyperlink" Target="#'K&#7871; ho&#7841;ch thu nh&#7853;p v&#224; chi ti&#234;u'!A1"/><Relationship Id="rId22" Type="http://schemas.openxmlformats.org/officeDocument/2006/relationships/hyperlink" Target="#'T8'!A1"/><Relationship Id="rId27" Type="http://schemas.openxmlformats.org/officeDocument/2006/relationships/hyperlink" Target="#'B&#7843;ng kh&#7843;o s&#225;t'!A1"/></Relationships>
</file>

<file path=xl/drawings/_rels/drawing19.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190500</xdr:colOff>
      <xdr:row>0</xdr:row>
      <xdr:rowOff>103688</xdr:rowOff>
    </xdr:from>
    <xdr:to>
      <xdr:col>2</xdr:col>
      <xdr:colOff>472440</xdr:colOff>
      <xdr:row>3</xdr:row>
      <xdr:rowOff>24759</xdr:rowOff>
    </xdr:to>
    <xdr:grpSp>
      <xdr:nvGrpSpPr>
        <xdr:cNvPr id="23" name="Group 22">
          <a:hlinkClick xmlns:r="http://schemas.openxmlformats.org/officeDocument/2006/relationships" r:id="rId1"/>
          <a:extLst>
            <a:ext uri="{FF2B5EF4-FFF2-40B4-BE49-F238E27FC236}">
              <a16:creationId xmlns:a16="http://schemas.microsoft.com/office/drawing/2014/main" id="{728943CE-2303-4C65-80BF-D5B5457CC225}"/>
            </a:ext>
          </a:extLst>
        </xdr:cNvPr>
        <xdr:cNvGrpSpPr/>
      </xdr:nvGrpSpPr>
      <xdr:grpSpPr>
        <a:xfrm>
          <a:off x="190500" y="103688"/>
          <a:ext cx="1591628" cy="480665"/>
          <a:chOff x="190500" y="103688"/>
          <a:chExt cx="1501140" cy="492571"/>
        </a:xfrm>
      </xdr:grpSpPr>
      <xdr:sp macro="" textlink="">
        <xdr:nvSpPr>
          <xdr:cNvPr id="18" name="TextBox 17">
            <a:extLst>
              <a:ext uri="{FF2B5EF4-FFF2-40B4-BE49-F238E27FC236}">
                <a16:creationId xmlns:a16="http://schemas.microsoft.com/office/drawing/2014/main" id="{064A38D7-DDB9-4ECC-9324-D9B39BB7207E}"/>
              </a:ext>
            </a:extLst>
          </xdr:cNvPr>
          <xdr:cNvSpPr txBox="1"/>
        </xdr:nvSpPr>
        <xdr:spPr>
          <a:xfrm>
            <a:off x="457200" y="103688"/>
            <a:ext cx="1234440" cy="4925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300" b="1" baseline="0">
                <a:solidFill>
                  <a:schemeClr val="bg1"/>
                </a:solidFill>
                <a:latin typeface="Roboto" pitchFamily="2" charset="0"/>
                <a:ea typeface="Roboto" pitchFamily="2" charset="0"/>
                <a:cs typeface="Times New Roman" panose="02020603050405020304" pitchFamily="18" charset="0"/>
              </a:rPr>
              <a:t>TÀI CHÍNH</a:t>
            </a:r>
          </a:p>
          <a:p>
            <a:pPr algn="ctr"/>
            <a:r>
              <a:rPr lang="en-US" sz="1300" b="1" baseline="0">
                <a:solidFill>
                  <a:schemeClr val="bg1"/>
                </a:solidFill>
                <a:latin typeface="Roboto" pitchFamily="2" charset="0"/>
                <a:ea typeface="Roboto" pitchFamily="2" charset="0"/>
                <a:cs typeface="Times New Roman" panose="02020603050405020304" pitchFamily="18" charset="0"/>
              </a:rPr>
              <a:t>CÁ NHÂN</a:t>
            </a:r>
            <a:endParaRPr lang="en-US" sz="1300" b="1">
              <a:solidFill>
                <a:schemeClr val="bg1"/>
              </a:solidFill>
              <a:latin typeface="Roboto" pitchFamily="2" charset="0"/>
              <a:ea typeface="Roboto" pitchFamily="2" charset="0"/>
              <a:cs typeface="Times New Roman" panose="02020603050405020304" pitchFamily="18" charset="0"/>
            </a:endParaRPr>
          </a:p>
        </xdr:txBody>
      </xdr:sp>
      <xdr:pic>
        <xdr:nvPicPr>
          <xdr:cNvPr id="22" name="Graphic 21" descr="Diamond">
            <a:extLst>
              <a:ext uri="{FF2B5EF4-FFF2-40B4-BE49-F238E27FC236}">
                <a16:creationId xmlns:a16="http://schemas.microsoft.com/office/drawing/2014/main" id="{E6C91869-D23F-4B2F-8D89-B2D00543DD4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90500" y="167093"/>
            <a:ext cx="365760" cy="365760"/>
          </a:xfrm>
          <a:prstGeom prst="rect">
            <a:avLst/>
          </a:prstGeom>
        </xdr:spPr>
      </xdr:pic>
    </xdr:grpSp>
    <xdr:clientData/>
  </xdr:twoCellAnchor>
  <xdr:twoCellAnchor>
    <xdr:from>
      <xdr:col>0</xdr:col>
      <xdr:colOff>345278</xdr:colOff>
      <xdr:row>4</xdr:row>
      <xdr:rowOff>0</xdr:rowOff>
    </xdr:from>
    <xdr:to>
      <xdr:col>3</xdr:col>
      <xdr:colOff>9210</xdr:colOff>
      <xdr:row>57</xdr:row>
      <xdr:rowOff>126962</xdr:rowOff>
    </xdr:to>
    <xdr:grpSp>
      <xdr:nvGrpSpPr>
        <xdr:cNvPr id="276" name="Group 275">
          <a:extLst>
            <a:ext uri="{FF2B5EF4-FFF2-40B4-BE49-F238E27FC236}">
              <a16:creationId xmlns:a16="http://schemas.microsoft.com/office/drawing/2014/main" id="{1FC4A725-FB2E-42D9-847F-258FB4D45D17}"/>
            </a:ext>
          </a:extLst>
        </xdr:cNvPr>
        <xdr:cNvGrpSpPr/>
      </xdr:nvGrpSpPr>
      <xdr:grpSpPr>
        <a:xfrm>
          <a:off x="345278" y="738188"/>
          <a:ext cx="1628463" cy="9640055"/>
          <a:chOff x="350042" y="654846"/>
          <a:chExt cx="1485588" cy="10223462"/>
        </a:xfrm>
      </xdr:grpSpPr>
      <xdr:pic>
        <xdr:nvPicPr>
          <xdr:cNvPr id="278" name="Graphic 277">
            <a:extLst>
              <a:ext uri="{FF2B5EF4-FFF2-40B4-BE49-F238E27FC236}">
                <a16:creationId xmlns:a16="http://schemas.microsoft.com/office/drawing/2014/main" id="{9B87E484-FCBE-4725-B70F-1886DCB339DD}"/>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1155347"/>
            <a:ext cx="1485588" cy="1214436"/>
          </a:xfrm>
          <a:prstGeom prst="rect">
            <a:avLst/>
          </a:prstGeom>
        </xdr:spPr>
      </xdr:pic>
      <xdr:pic>
        <xdr:nvPicPr>
          <xdr:cNvPr id="277" name="Graphic 276">
            <a:extLst>
              <a:ext uri="{FF2B5EF4-FFF2-40B4-BE49-F238E27FC236}">
                <a16:creationId xmlns:a16="http://schemas.microsoft.com/office/drawing/2014/main" id="{9972D4E8-647F-4C6B-A6A8-69EC88C4F84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r="28388"/>
          <a:stretch/>
        </xdr:blipFill>
        <xdr:spPr>
          <a:xfrm>
            <a:off x="350042" y="654846"/>
            <a:ext cx="1485588" cy="1214436"/>
          </a:xfrm>
          <a:prstGeom prst="rect">
            <a:avLst/>
          </a:prstGeom>
        </xdr:spPr>
      </xdr:pic>
      <xdr:pic>
        <xdr:nvPicPr>
          <xdr:cNvPr id="279" name="Graphic 278">
            <a:extLst>
              <a:ext uri="{FF2B5EF4-FFF2-40B4-BE49-F238E27FC236}">
                <a16:creationId xmlns:a16="http://schemas.microsoft.com/office/drawing/2014/main" id="{511A43F3-EAA6-49A3-8F65-330E61C6B3C4}"/>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1655848"/>
            <a:ext cx="1485588" cy="1214436"/>
          </a:xfrm>
          <a:prstGeom prst="rect">
            <a:avLst/>
          </a:prstGeom>
        </xdr:spPr>
      </xdr:pic>
      <xdr:pic>
        <xdr:nvPicPr>
          <xdr:cNvPr id="280" name="Graphic 279">
            <a:extLst>
              <a:ext uri="{FF2B5EF4-FFF2-40B4-BE49-F238E27FC236}">
                <a16:creationId xmlns:a16="http://schemas.microsoft.com/office/drawing/2014/main" id="{9030DD3A-8315-4DF8-89AD-967E8B51A791}"/>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2156349"/>
            <a:ext cx="1485588" cy="1214436"/>
          </a:xfrm>
          <a:prstGeom prst="rect">
            <a:avLst/>
          </a:prstGeom>
        </xdr:spPr>
      </xdr:pic>
      <xdr:pic>
        <xdr:nvPicPr>
          <xdr:cNvPr id="281" name="Graphic 280">
            <a:extLst>
              <a:ext uri="{FF2B5EF4-FFF2-40B4-BE49-F238E27FC236}">
                <a16:creationId xmlns:a16="http://schemas.microsoft.com/office/drawing/2014/main" id="{3AAC2A8C-D0C1-4B0D-A811-C40B616FB45B}"/>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2656850"/>
            <a:ext cx="1485588" cy="1214436"/>
          </a:xfrm>
          <a:prstGeom prst="rect">
            <a:avLst/>
          </a:prstGeom>
        </xdr:spPr>
      </xdr:pic>
      <xdr:pic>
        <xdr:nvPicPr>
          <xdr:cNvPr id="282" name="Graphic 281">
            <a:extLst>
              <a:ext uri="{FF2B5EF4-FFF2-40B4-BE49-F238E27FC236}">
                <a16:creationId xmlns:a16="http://schemas.microsoft.com/office/drawing/2014/main" id="{FBF6B943-6510-4716-B0D1-D045C394133D}"/>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3157351"/>
            <a:ext cx="1485588" cy="1214436"/>
          </a:xfrm>
          <a:prstGeom prst="rect">
            <a:avLst/>
          </a:prstGeom>
        </xdr:spPr>
      </xdr:pic>
      <xdr:pic>
        <xdr:nvPicPr>
          <xdr:cNvPr id="283" name="Graphic 282">
            <a:extLst>
              <a:ext uri="{FF2B5EF4-FFF2-40B4-BE49-F238E27FC236}">
                <a16:creationId xmlns:a16="http://schemas.microsoft.com/office/drawing/2014/main" id="{24110C53-54BC-4F24-9676-11A90388D127}"/>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3657852"/>
            <a:ext cx="1485588" cy="1214436"/>
          </a:xfrm>
          <a:prstGeom prst="rect">
            <a:avLst/>
          </a:prstGeom>
        </xdr:spPr>
      </xdr:pic>
      <xdr:pic>
        <xdr:nvPicPr>
          <xdr:cNvPr id="284" name="Graphic 283">
            <a:extLst>
              <a:ext uri="{FF2B5EF4-FFF2-40B4-BE49-F238E27FC236}">
                <a16:creationId xmlns:a16="http://schemas.microsoft.com/office/drawing/2014/main" id="{621B79CE-4522-414A-BE75-0EEC52D58588}"/>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4158353"/>
            <a:ext cx="1485588" cy="1214436"/>
          </a:xfrm>
          <a:prstGeom prst="rect">
            <a:avLst/>
          </a:prstGeom>
        </xdr:spPr>
      </xdr:pic>
      <xdr:pic>
        <xdr:nvPicPr>
          <xdr:cNvPr id="285" name="Graphic 284">
            <a:extLst>
              <a:ext uri="{FF2B5EF4-FFF2-40B4-BE49-F238E27FC236}">
                <a16:creationId xmlns:a16="http://schemas.microsoft.com/office/drawing/2014/main" id="{6CE18448-E372-40DF-8260-49CB35302A2A}"/>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4658854"/>
            <a:ext cx="1485588" cy="1214436"/>
          </a:xfrm>
          <a:prstGeom prst="rect">
            <a:avLst/>
          </a:prstGeom>
        </xdr:spPr>
      </xdr:pic>
      <xdr:pic>
        <xdr:nvPicPr>
          <xdr:cNvPr id="286" name="Graphic 285">
            <a:extLst>
              <a:ext uri="{FF2B5EF4-FFF2-40B4-BE49-F238E27FC236}">
                <a16:creationId xmlns:a16="http://schemas.microsoft.com/office/drawing/2014/main" id="{5325552D-F43A-4B03-A261-1D71F4C5BD9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5159355"/>
            <a:ext cx="1485588" cy="1214436"/>
          </a:xfrm>
          <a:prstGeom prst="rect">
            <a:avLst/>
          </a:prstGeom>
        </xdr:spPr>
      </xdr:pic>
      <xdr:pic>
        <xdr:nvPicPr>
          <xdr:cNvPr id="287" name="Graphic 286">
            <a:extLst>
              <a:ext uri="{FF2B5EF4-FFF2-40B4-BE49-F238E27FC236}">
                <a16:creationId xmlns:a16="http://schemas.microsoft.com/office/drawing/2014/main" id="{FB092AB9-0291-45B5-A982-EAD696369856}"/>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5659856"/>
            <a:ext cx="1485588" cy="1214436"/>
          </a:xfrm>
          <a:prstGeom prst="rect">
            <a:avLst/>
          </a:prstGeom>
        </xdr:spPr>
      </xdr:pic>
      <xdr:pic>
        <xdr:nvPicPr>
          <xdr:cNvPr id="288" name="Graphic 287">
            <a:extLst>
              <a:ext uri="{FF2B5EF4-FFF2-40B4-BE49-F238E27FC236}">
                <a16:creationId xmlns:a16="http://schemas.microsoft.com/office/drawing/2014/main" id="{DD9BE994-A014-4EEA-9C6F-B4A867AD0474}"/>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6160357"/>
            <a:ext cx="1485588" cy="1214436"/>
          </a:xfrm>
          <a:prstGeom prst="rect">
            <a:avLst/>
          </a:prstGeom>
        </xdr:spPr>
      </xdr:pic>
      <xdr:pic>
        <xdr:nvPicPr>
          <xdr:cNvPr id="289" name="Graphic 288">
            <a:extLst>
              <a:ext uri="{FF2B5EF4-FFF2-40B4-BE49-F238E27FC236}">
                <a16:creationId xmlns:a16="http://schemas.microsoft.com/office/drawing/2014/main" id="{874ED72B-E662-45FD-A383-38D13C20CE1C}"/>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6660858"/>
            <a:ext cx="1485588" cy="1214436"/>
          </a:xfrm>
          <a:prstGeom prst="rect">
            <a:avLst/>
          </a:prstGeom>
        </xdr:spPr>
      </xdr:pic>
      <xdr:pic>
        <xdr:nvPicPr>
          <xdr:cNvPr id="290" name="Graphic 289">
            <a:extLst>
              <a:ext uri="{FF2B5EF4-FFF2-40B4-BE49-F238E27FC236}">
                <a16:creationId xmlns:a16="http://schemas.microsoft.com/office/drawing/2014/main" id="{6DEA7CD5-B7BC-4DCF-9069-A0283DF886E4}"/>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7161359"/>
            <a:ext cx="1485588" cy="1214436"/>
          </a:xfrm>
          <a:prstGeom prst="rect">
            <a:avLst/>
          </a:prstGeom>
        </xdr:spPr>
      </xdr:pic>
      <xdr:pic>
        <xdr:nvPicPr>
          <xdr:cNvPr id="291" name="Graphic 290">
            <a:extLst>
              <a:ext uri="{FF2B5EF4-FFF2-40B4-BE49-F238E27FC236}">
                <a16:creationId xmlns:a16="http://schemas.microsoft.com/office/drawing/2014/main" id="{DB440F75-235C-45D8-9885-01C512167E9D}"/>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7661860"/>
            <a:ext cx="1485588" cy="1214436"/>
          </a:xfrm>
          <a:prstGeom prst="rect">
            <a:avLst/>
          </a:prstGeom>
        </xdr:spPr>
      </xdr:pic>
      <xdr:pic>
        <xdr:nvPicPr>
          <xdr:cNvPr id="292" name="Graphic 291">
            <a:extLst>
              <a:ext uri="{FF2B5EF4-FFF2-40B4-BE49-F238E27FC236}">
                <a16:creationId xmlns:a16="http://schemas.microsoft.com/office/drawing/2014/main" id="{87E0055C-A8C1-42CD-949E-414F47DE68D8}"/>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8162361"/>
            <a:ext cx="1485588" cy="1214436"/>
          </a:xfrm>
          <a:prstGeom prst="rect">
            <a:avLst/>
          </a:prstGeom>
        </xdr:spPr>
      </xdr:pic>
      <xdr:pic>
        <xdr:nvPicPr>
          <xdr:cNvPr id="293" name="Graphic 292">
            <a:extLst>
              <a:ext uri="{FF2B5EF4-FFF2-40B4-BE49-F238E27FC236}">
                <a16:creationId xmlns:a16="http://schemas.microsoft.com/office/drawing/2014/main" id="{4FFA491B-1CB4-4DBC-B3B5-6172927F72C3}"/>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8662862"/>
            <a:ext cx="1485588" cy="1214436"/>
          </a:xfrm>
          <a:prstGeom prst="rect">
            <a:avLst/>
          </a:prstGeom>
        </xdr:spPr>
      </xdr:pic>
      <xdr:pic>
        <xdr:nvPicPr>
          <xdr:cNvPr id="294" name="Graphic 293">
            <a:extLst>
              <a:ext uri="{FF2B5EF4-FFF2-40B4-BE49-F238E27FC236}">
                <a16:creationId xmlns:a16="http://schemas.microsoft.com/office/drawing/2014/main" id="{54B05062-5625-46AD-93EE-539AD635CE2E}"/>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9163363"/>
            <a:ext cx="1485588" cy="1214436"/>
          </a:xfrm>
          <a:prstGeom prst="rect">
            <a:avLst/>
          </a:prstGeom>
        </xdr:spPr>
      </xdr:pic>
      <xdr:pic>
        <xdr:nvPicPr>
          <xdr:cNvPr id="295" name="Graphic 294">
            <a:extLst>
              <a:ext uri="{FF2B5EF4-FFF2-40B4-BE49-F238E27FC236}">
                <a16:creationId xmlns:a16="http://schemas.microsoft.com/office/drawing/2014/main" id="{A7D0714A-6F94-4930-9F7A-4D57B28FE486}"/>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9663872"/>
            <a:ext cx="1485588" cy="1214436"/>
          </a:xfrm>
          <a:prstGeom prst="rect">
            <a:avLst/>
          </a:prstGeom>
        </xdr:spPr>
      </xdr:pic>
    </xdr:grpSp>
    <xdr:clientData/>
  </xdr:twoCellAnchor>
  <xdr:twoCellAnchor>
    <xdr:from>
      <xdr:col>0</xdr:col>
      <xdr:colOff>453617</xdr:colOff>
      <xdr:row>6</xdr:row>
      <xdr:rowOff>93938</xdr:rowOff>
    </xdr:from>
    <xdr:to>
      <xdr:col>2</xdr:col>
      <xdr:colOff>508089</xdr:colOff>
      <xdr:row>55</xdr:row>
      <xdr:rowOff>33024</xdr:rowOff>
    </xdr:to>
    <xdr:grpSp>
      <xdr:nvGrpSpPr>
        <xdr:cNvPr id="296" name="Group 295">
          <a:extLst>
            <a:ext uri="{FF2B5EF4-FFF2-40B4-BE49-F238E27FC236}">
              <a16:creationId xmlns:a16="http://schemas.microsoft.com/office/drawing/2014/main" id="{80A711BB-E912-431C-93E3-7E0CFE530566}"/>
            </a:ext>
          </a:extLst>
        </xdr:cNvPr>
        <xdr:cNvGrpSpPr/>
      </xdr:nvGrpSpPr>
      <xdr:grpSpPr>
        <a:xfrm>
          <a:off x="453617" y="1213126"/>
          <a:ext cx="1364160" cy="8713992"/>
          <a:chOff x="487686" y="1129784"/>
          <a:chExt cx="1268910" cy="9273586"/>
        </a:xfrm>
      </xdr:grpSpPr>
      <xdr:sp macro="" textlink="">
        <xdr:nvSpPr>
          <xdr:cNvPr id="297" name="TextBox 296">
            <a:hlinkClick xmlns:r="http://schemas.openxmlformats.org/officeDocument/2006/relationships" r:id="rId8"/>
            <a:extLst>
              <a:ext uri="{FF2B5EF4-FFF2-40B4-BE49-F238E27FC236}">
                <a16:creationId xmlns:a16="http://schemas.microsoft.com/office/drawing/2014/main" id="{87FB390F-BE2C-41A6-83E9-99554B914076}"/>
              </a:ext>
            </a:extLst>
          </xdr:cNvPr>
          <xdr:cNvSpPr txBox="1"/>
        </xdr:nvSpPr>
        <xdr:spPr>
          <a:xfrm>
            <a:off x="784825" y="1129784"/>
            <a:ext cx="67317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ysClr val="windowText" lastClr="000000"/>
                </a:solidFill>
              </a:rPr>
              <a:t>Từ</a:t>
            </a:r>
            <a:r>
              <a:rPr lang="en-US" sz="1100" b="1" baseline="0">
                <a:solidFill>
                  <a:sysClr val="windowText" lastClr="000000"/>
                </a:solidFill>
              </a:rPr>
              <a:t> khóa</a:t>
            </a:r>
            <a:endParaRPr lang="en-US" sz="1100" b="1">
              <a:solidFill>
                <a:sysClr val="windowText" lastClr="000000"/>
              </a:solidFill>
            </a:endParaRPr>
          </a:p>
        </xdr:txBody>
      </xdr:sp>
      <xdr:sp macro="" textlink="">
        <xdr:nvSpPr>
          <xdr:cNvPr id="298" name="TextBox 297">
            <a:hlinkClick xmlns:r="http://schemas.openxmlformats.org/officeDocument/2006/relationships" r:id="rId9"/>
            <a:extLst>
              <a:ext uri="{FF2B5EF4-FFF2-40B4-BE49-F238E27FC236}">
                <a16:creationId xmlns:a16="http://schemas.microsoft.com/office/drawing/2014/main" id="{F9E7E10D-2025-4BF9-AB08-69779F1B88B1}"/>
              </a:ext>
            </a:extLst>
          </xdr:cNvPr>
          <xdr:cNvSpPr txBox="1"/>
        </xdr:nvSpPr>
        <xdr:spPr>
          <a:xfrm>
            <a:off x="708434" y="1630285"/>
            <a:ext cx="82595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Dashboard</a:t>
            </a:r>
          </a:p>
        </xdr:txBody>
      </xdr:sp>
      <xdr:sp macro="" textlink="">
        <xdr:nvSpPr>
          <xdr:cNvPr id="299" name="TextBox 298">
            <a:hlinkClick xmlns:r="http://schemas.openxmlformats.org/officeDocument/2006/relationships" r:id="rId10"/>
            <a:extLst>
              <a:ext uri="{FF2B5EF4-FFF2-40B4-BE49-F238E27FC236}">
                <a16:creationId xmlns:a16="http://schemas.microsoft.com/office/drawing/2014/main" id="{0F2DA31F-1B10-4F00-B9F6-B5EF2B2EAF7C}"/>
              </a:ext>
            </a:extLst>
          </xdr:cNvPr>
          <xdr:cNvSpPr txBox="1"/>
        </xdr:nvSpPr>
        <xdr:spPr>
          <a:xfrm>
            <a:off x="495750" y="2130786"/>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Mục</a:t>
            </a:r>
            <a:r>
              <a:rPr lang="en-US" sz="1100" b="1" baseline="0">
                <a:solidFill>
                  <a:schemeClr val="bg1"/>
                </a:solidFill>
                <a:effectLst/>
                <a:latin typeface="+mn-lt"/>
                <a:ea typeface="+mn-ea"/>
                <a:cs typeface="+mn-cs"/>
              </a:rPr>
              <a:t> tiêu bản thân</a:t>
            </a:r>
            <a:endParaRPr lang="en-US">
              <a:solidFill>
                <a:schemeClr val="bg1"/>
              </a:solidFill>
              <a:effectLst/>
            </a:endParaRPr>
          </a:p>
        </xdr:txBody>
      </xdr:sp>
      <xdr:sp macro="" textlink="">
        <xdr:nvSpPr>
          <xdr:cNvPr id="300" name="TextBox 299">
            <a:hlinkClick xmlns:r="http://schemas.openxmlformats.org/officeDocument/2006/relationships" r:id="rId11"/>
            <a:extLst>
              <a:ext uri="{FF2B5EF4-FFF2-40B4-BE49-F238E27FC236}">
                <a16:creationId xmlns:a16="http://schemas.microsoft.com/office/drawing/2014/main" id="{0314A078-88D7-4454-9419-F4BD68A49256}"/>
              </a:ext>
            </a:extLst>
          </xdr:cNvPr>
          <xdr:cNvSpPr txBox="1"/>
        </xdr:nvSpPr>
        <xdr:spPr>
          <a:xfrm>
            <a:off x="495750" y="2631287"/>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Mục</a:t>
            </a:r>
            <a:r>
              <a:rPr lang="en-US" sz="1100" b="1" baseline="0">
                <a:solidFill>
                  <a:schemeClr val="bg1"/>
                </a:solidFill>
                <a:effectLst/>
                <a:latin typeface="+mn-lt"/>
                <a:ea typeface="+mn-ea"/>
                <a:cs typeface="+mn-cs"/>
              </a:rPr>
              <a:t> tiêu tài chính</a:t>
            </a:r>
            <a:endParaRPr lang="en-US">
              <a:solidFill>
                <a:schemeClr val="bg1"/>
              </a:solidFill>
              <a:effectLst/>
            </a:endParaRPr>
          </a:p>
        </xdr:txBody>
      </xdr:sp>
      <xdr:sp macro="" textlink="">
        <xdr:nvSpPr>
          <xdr:cNvPr id="301" name="TextBox 300">
            <a:hlinkClick xmlns:r="http://schemas.openxmlformats.org/officeDocument/2006/relationships" r:id="rId12"/>
            <a:extLst>
              <a:ext uri="{FF2B5EF4-FFF2-40B4-BE49-F238E27FC236}">
                <a16:creationId xmlns:a16="http://schemas.microsoft.com/office/drawing/2014/main" id="{FA2A5082-994F-4CEF-9113-90F089875EA4}"/>
              </a:ext>
            </a:extLst>
          </xdr:cNvPr>
          <xdr:cNvSpPr txBox="1"/>
        </xdr:nvSpPr>
        <xdr:spPr>
          <a:xfrm>
            <a:off x="487686" y="3020663"/>
            <a:ext cx="1260846" cy="459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b="1">
                <a:solidFill>
                  <a:schemeClr val="bg1"/>
                </a:solidFill>
                <a:effectLst/>
                <a:latin typeface="+mn-lt"/>
                <a:ea typeface="+mn-ea"/>
                <a:cs typeface="+mn-cs"/>
              </a:rPr>
              <a:t>Cân</a:t>
            </a:r>
            <a:r>
              <a:rPr lang="en-US" sz="1100" b="1" baseline="0">
                <a:solidFill>
                  <a:schemeClr val="bg1"/>
                </a:solidFill>
                <a:effectLst/>
                <a:latin typeface="+mn-lt"/>
                <a:ea typeface="+mn-ea"/>
                <a:cs typeface="+mn-cs"/>
              </a:rPr>
              <a:t> đối</a:t>
            </a:r>
            <a:endParaRPr lang="en-US">
              <a:solidFill>
                <a:schemeClr val="bg1"/>
              </a:solidFill>
              <a:effectLst/>
            </a:endParaRPr>
          </a:p>
          <a:p>
            <a:pPr algn="ctr"/>
            <a:r>
              <a:rPr lang="en-US" sz="1100" b="1" baseline="0">
                <a:solidFill>
                  <a:schemeClr val="bg1"/>
                </a:solidFill>
                <a:effectLst/>
                <a:latin typeface="+mn-lt"/>
                <a:ea typeface="+mn-ea"/>
                <a:cs typeface="+mn-cs"/>
              </a:rPr>
              <a:t>l</a:t>
            </a:r>
            <a:r>
              <a:rPr lang="en-US" sz="1100" b="1">
                <a:solidFill>
                  <a:schemeClr val="bg1"/>
                </a:solidFill>
                <a:effectLst/>
                <a:latin typeface="+mn-lt"/>
                <a:ea typeface="+mn-ea"/>
                <a:cs typeface="+mn-cs"/>
              </a:rPr>
              <a:t>ộ</a:t>
            </a:r>
            <a:r>
              <a:rPr lang="en-US" sz="1100" b="1" baseline="0">
                <a:solidFill>
                  <a:schemeClr val="bg1"/>
                </a:solidFill>
                <a:effectLst/>
                <a:latin typeface="+mn-lt"/>
                <a:ea typeface="+mn-ea"/>
                <a:cs typeface="+mn-cs"/>
              </a:rPr>
              <a:t> trình nghề nghiệp</a:t>
            </a:r>
            <a:endParaRPr lang="en-US">
              <a:solidFill>
                <a:schemeClr val="bg1"/>
              </a:solidFill>
              <a:effectLst/>
            </a:endParaRPr>
          </a:p>
        </xdr:txBody>
      </xdr:sp>
      <xdr:sp macro="" textlink="">
        <xdr:nvSpPr>
          <xdr:cNvPr id="302" name="TextBox 301">
            <a:hlinkClick xmlns:r="http://schemas.openxmlformats.org/officeDocument/2006/relationships" r:id="rId13"/>
            <a:extLst>
              <a:ext uri="{FF2B5EF4-FFF2-40B4-BE49-F238E27FC236}">
                <a16:creationId xmlns:a16="http://schemas.microsoft.com/office/drawing/2014/main" id="{9A8B9F83-B14F-4B2B-B5D1-97C891F61B54}"/>
              </a:ext>
            </a:extLst>
          </xdr:cNvPr>
          <xdr:cNvSpPr txBox="1"/>
        </xdr:nvSpPr>
        <xdr:spPr>
          <a:xfrm>
            <a:off x="487686" y="3521164"/>
            <a:ext cx="1260846" cy="459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100" b="1">
                <a:solidFill>
                  <a:schemeClr val="bg1"/>
                </a:solidFill>
                <a:effectLst/>
                <a:latin typeface="+mn-lt"/>
                <a:ea typeface="+mn-ea"/>
                <a:cs typeface="+mn-cs"/>
              </a:rPr>
              <a:t>Kế</a:t>
            </a:r>
            <a:r>
              <a:rPr lang="en-US" sz="1100" b="1" baseline="0">
                <a:solidFill>
                  <a:schemeClr val="bg1"/>
                </a:solidFill>
                <a:effectLst/>
                <a:latin typeface="+mn-lt"/>
                <a:ea typeface="+mn-ea"/>
                <a:cs typeface="+mn-cs"/>
              </a:rPr>
              <a:t> hoạch </a:t>
            </a:r>
          </a:p>
          <a:p>
            <a:pPr algn="ctr"/>
            <a:r>
              <a:rPr lang="en-US" sz="1100" b="1" baseline="0">
                <a:solidFill>
                  <a:schemeClr val="bg1"/>
                </a:solidFill>
                <a:effectLst/>
                <a:latin typeface="+mn-lt"/>
                <a:ea typeface="+mn-ea"/>
                <a:cs typeface="+mn-cs"/>
              </a:rPr>
              <a:t>thu nhập &amp; chi tiêu</a:t>
            </a:r>
            <a:endParaRPr lang="en-US">
              <a:solidFill>
                <a:schemeClr val="bg1"/>
              </a:solidFill>
              <a:effectLst/>
            </a:endParaRPr>
          </a:p>
        </xdr:txBody>
      </xdr:sp>
      <xdr:sp macro="" textlink="">
        <xdr:nvSpPr>
          <xdr:cNvPr id="303" name="TextBox 302">
            <a:hlinkClick xmlns:r="http://schemas.openxmlformats.org/officeDocument/2006/relationships" r:id="rId14"/>
            <a:extLst>
              <a:ext uri="{FF2B5EF4-FFF2-40B4-BE49-F238E27FC236}">
                <a16:creationId xmlns:a16="http://schemas.microsoft.com/office/drawing/2014/main" id="{C5EFFE18-CD7C-46C3-B782-AD203BD4F6BF}"/>
              </a:ext>
            </a:extLst>
          </xdr:cNvPr>
          <xdr:cNvSpPr txBox="1"/>
        </xdr:nvSpPr>
        <xdr:spPr>
          <a:xfrm>
            <a:off x="495750" y="413279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a:t>
            </a:r>
            <a:endParaRPr lang="en-US">
              <a:solidFill>
                <a:schemeClr val="bg1"/>
              </a:solidFill>
              <a:effectLst/>
            </a:endParaRPr>
          </a:p>
        </xdr:txBody>
      </xdr:sp>
      <xdr:sp macro="" textlink="">
        <xdr:nvSpPr>
          <xdr:cNvPr id="304" name="TextBox 303">
            <a:hlinkClick xmlns:r="http://schemas.openxmlformats.org/officeDocument/2006/relationships" r:id="rId15"/>
            <a:extLst>
              <a:ext uri="{FF2B5EF4-FFF2-40B4-BE49-F238E27FC236}">
                <a16:creationId xmlns:a16="http://schemas.microsoft.com/office/drawing/2014/main" id="{41A8C7B8-95FC-477B-9450-FAB78ED6E88E}"/>
              </a:ext>
            </a:extLst>
          </xdr:cNvPr>
          <xdr:cNvSpPr txBox="1"/>
        </xdr:nvSpPr>
        <xdr:spPr>
          <a:xfrm>
            <a:off x="495750" y="4633291"/>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2</a:t>
            </a:r>
            <a:endParaRPr lang="en-US">
              <a:solidFill>
                <a:schemeClr val="bg1"/>
              </a:solidFill>
              <a:effectLst/>
            </a:endParaRPr>
          </a:p>
        </xdr:txBody>
      </xdr:sp>
      <xdr:sp macro="" textlink="">
        <xdr:nvSpPr>
          <xdr:cNvPr id="305" name="TextBox 304">
            <a:hlinkClick xmlns:r="http://schemas.openxmlformats.org/officeDocument/2006/relationships" r:id="rId16"/>
            <a:extLst>
              <a:ext uri="{FF2B5EF4-FFF2-40B4-BE49-F238E27FC236}">
                <a16:creationId xmlns:a16="http://schemas.microsoft.com/office/drawing/2014/main" id="{4206AFD4-0D53-4EB2-A6DB-1F2892000FF8}"/>
              </a:ext>
            </a:extLst>
          </xdr:cNvPr>
          <xdr:cNvSpPr txBox="1"/>
        </xdr:nvSpPr>
        <xdr:spPr>
          <a:xfrm>
            <a:off x="495750" y="5133792"/>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3</a:t>
            </a:r>
            <a:endParaRPr lang="en-US">
              <a:solidFill>
                <a:schemeClr val="bg1"/>
              </a:solidFill>
              <a:effectLst/>
            </a:endParaRPr>
          </a:p>
        </xdr:txBody>
      </xdr:sp>
      <xdr:sp macro="" textlink="">
        <xdr:nvSpPr>
          <xdr:cNvPr id="306" name="TextBox 305">
            <a:hlinkClick xmlns:r="http://schemas.openxmlformats.org/officeDocument/2006/relationships" r:id="rId17"/>
            <a:extLst>
              <a:ext uri="{FF2B5EF4-FFF2-40B4-BE49-F238E27FC236}">
                <a16:creationId xmlns:a16="http://schemas.microsoft.com/office/drawing/2014/main" id="{A785B901-9D26-407B-B5CB-CF446CFC7EC1}"/>
              </a:ext>
            </a:extLst>
          </xdr:cNvPr>
          <xdr:cNvSpPr txBox="1"/>
        </xdr:nvSpPr>
        <xdr:spPr>
          <a:xfrm>
            <a:off x="495750" y="5634293"/>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4</a:t>
            </a:r>
            <a:endParaRPr lang="en-US">
              <a:solidFill>
                <a:schemeClr val="bg1"/>
              </a:solidFill>
              <a:effectLst/>
            </a:endParaRPr>
          </a:p>
        </xdr:txBody>
      </xdr:sp>
      <xdr:sp macro="" textlink="">
        <xdr:nvSpPr>
          <xdr:cNvPr id="307" name="TextBox 306">
            <a:hlinkClick xmlns:r="http://schemas.openxmlformats.org/officeDocument/2006/relationships" r:id="rId18"/>
            <a:extLst>
              <a:ext uri="{FF2B5EF4-FFF2-40B4-BE49-F238E27FC236}">
                <a16:creationId xmlns:a16="http://schemas.microsoft.com/office/drawing/2014/main" id="{3A8429BB-AB04-4BFE-8D99-200604FC8C99}"/>
              </a:ext>
            </a:extLst>
          </xdr:cNvPr>
          <xdr:cNvSpPr txBox="1"/>
        </xdr:nvSpPr>
        <xdr:spPr>
          <a:xfrm>
            <a:off x="495750" y="6134794"/>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5</a:t>
            </a:r>
            <a:endParaRPr lang="en-US">
              <a:solidFill>
                <a:schemeClr val="bg1"/>
              </a:solidFill>
              <a:effectLst/>
            </a:endParaRPr>
          </a:p>
        </xdr:txBody>
      </xdr:sp>
      <xdr:sp macro="" textlink="">
        <xdr:nvSpPr>
          <xdr:cNvPr id="308" name="TextBox 307">
            <a:hlinkClick xmlns:r="http://schemas.openxmlformats.org/officeDocument/2006/relationships" r:id="rId19"/>
            <a:extLst>
              <a:ext uri="{FF2B5EF4-FFF2-40B4-BE49-F238E27FC236}">
                <a16:creationId xmlns:a16="http://schemas.microsoft.com/office/drawing/2014/main" id="{6DE36B71-E839-425E-982A-2971FEB9DEA4}"/>
              </a:ext>
            </a:extLst>
          </xdr:cNvPr>
          <xdr:cNvSpPr txBox="1"/>
        </xdr:nvSpPr>
        <xdr:spPr>
          <a:xfrm>
            <a:off x="495750" y="6635295"/>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6</a:t>
            </a:r>
            <a:endParaRPr lang="en-US">
              <a:solidFill>
                <a:schemeClr val="bg1"/>
              </a:solidFill>
              <a:effectLst/>
            </a:endParaRPr>
          </a:p>
        </xdr:txBody>
      </xdr:sp>
      <xdr:sp macro="" textlink="">
        <xdr:nvSpPr>
          <xdr:cNvPr id="309" name="TextBox 308">
            <a:hlinkClick xmlns:r="http://schemas.openxmlformats.org/officeDocument/2006/relationships" r:id="rId20"/>
            <a:extLst>
              <a:ext uri="{FF2B5EF4-FFF2-40B4-BE49-F238E27FC236}">
                <a16:creationId xmlns:a16="http://schemas.microsoft.com/office/drawing/2014/main" id="{FBC894EF-2EFE-4FF2-8B02-4588D5F5C486}"/>
              </a:ext>
            </a:extLst>
          </xdr:cNvPr>
          <xdr:cNvSpPr txBox="1"/>
        </xdr:nvSpPr>
        <xdr:spPr>
          <a:xfrm>
            <a:off x="495750" y="7135796"/>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7</a:t>
            </a:r>
            <a:endParaRPr lang="en-US">
              <a:solidFill>
                <a:schemeClr val="bg1"/>
              </a:solidFill>
              <a:effectLst/>
            </a:endParaRPr>
          </a:p>
        </xdr:txBody>
      </xdr:sp>
      <xdr:sp macro="" textlink="">
        <xdr:nvSpPr>
          <xdr:cNvPr id="310" name="TextBox 309">
            <a:hlinkClick xmlns:r="http://schemas.openxmlformats.org/officeDocument/2006/relationships" r:id="rId21"/>
            <a:extLst>
              <a:ext uri="{FF2B5EF4-FFF2-40B4-BE49-F238E27FC236}">
                <a16:creationId xmlns:a16="http://schemas.microsoft.com/office/drawing/2014/main" id="{29CA393E-DC6E-48EB-9AF6-F8806F3DFBBB}"/>
              </a:ext>
            </a:extLst>
          </xdr:cNvPr>
          <xdr:cNvSpPr txBox="1"/>
        </xdr:nvSpPr>
        <xdr:spPr>
          <a:xfrm>
            <a:off x="495750" y="7636297"/>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8</a:t>
            </a:r>
            <a:endParaRPr lang="en-US">
              <a:solidFill>
                <a:schemeClr val="bg1"/>
              </a:solidFill>
              <a:effectLst/>
            </a:endParaRPr>
          </a:p>
        </xdr:txBody>
      </xdr:sp>
      <xdr:sp macro="" textlink="">
        <xdr:nvSpPr>
          <xdr:cNvPr id="311" name="TextBox 310">
            <a:hlinkClick xmlns:r="http://schemas.openxmlformats.org/officeDocument/2006/relationships" r:id="rId22"/>
            <a:extLst>
              <a:ext uri="{FF2B5EF4-FFF2-40B4-BE49-F238E27FC236}">
                <a16:creationId xmlns:a16="http://schemas.microsoft.com/office/drawing/2014/main" id="{0A61B15C-82D9-4962-8D5B-E1FCB34EB822}"/>
              </a:ext>
            </a:extLst>
          </xdr:cNvPr>
          <xdr:cNvSpPr txBox="1"/>
        </xdr:nvSpPr>
        <xdr:spPr>
          <a:xfrm>
            <a:off x="495750" y="8136798"/>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9</a:t>
            </a:r>
            <a:endParaRPr lang="en-US">
              <a:solidFill>
                <a:schemeClr val="bg1"/>
              </a:solidFill>
              <a:effectLst/>
            </a:endParaRPr>
          </a:p>
        </xdr:txBody>
      </xdr:sp>
      <xdr:sp macro="" textlink="">
        <xdr:nvSpPr>
          <xdr:cNvPr id="312" name="TextBox 311">
            <a:hlinkClick xmlns:r="http://schemas.openxmlformats.org/officeDocument/2006/relationships" r:id="rId23"/>
            <a:extLst>
              <a:ext uri="{FF2B5EF4-FFF2-40B4-BE49-F238E27FC236}">
                <a16:creationId xmlns:a16="http://schemas.microsoft.com/office/drawing/2014/main" id="{C2485DF1-1F79-480D-82F0-F62840E801EF}"/>
              </a:ext>
            </a:extLst>
          </xdr:cNvPr>
          <xdr:cNvSpPr txBox="1"/>
        </xdr:nvSpPr>
        <xdr:spPr>
          <a:xfrm>
            <a:off x="495750" y="8637299"/>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10</a:t>
            </a:r>
            <a:endParaRPr lang="en-US">
              <a:solidFill>
                <a:schemeClr val="bg1"/>
              </a:solidFill>
              <a:effectLst/>
            </a:endParaRPr>
          </a:p>
        </xdr:txBody>
      </xdr:sp>
      <xdr:sp macro="" textlink="">
        <xdr:nvSpPr>
          <xdr:cNvPr id="313" name="TextBox 312">
            <a:hlinkClick xmlns:r="http://schemas.openxmlformats.org/officeDocument/2006/relationships" r:id="rId24"/>
            <a:extLst>
              <a:ext uri="{FF2B5EF4-FFF2-40B4-BE49-F238E27FC236}">
                <a16:creationId xmlns:a16="http://schemas.microsoft.com/office/drawing/2014/main" id="{BAF3B6B0-7671-4DAC-BBC4-319A6CD71938}"/>
              </a:ext>
            </a:extLst>
          </xdr:cNvPr>
          <xdr:cNvSpPr txBox="1"/>
        </xdr:nvSpPr>
        <xdr:spPr>
          <a:xfrm>
            <a:off x="495750" y="913780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11</a:t>
            </a:r>
            <a:endParaRPr lang="en-US">
              <a:solidFill>
                <a:schemeClr val="bg1"/>
              </a:solidFill>
              <a:effectLst/>
            </a:endParaRPr>
          </a:p>
        </xdr:txBody>
      </xdr:sp>
      <xdr:sp macro="" textlink="">
        <xdr:nvSpPr>
          <xdr:cNvPr id="314" name="TextBox 313">
            <a:hlinkClick xmlns:r="http://schemas.openxmlformats.org/officeDocument/2006/relationships" r:id="rId25"/>
            <a:extLst>
              <a:ext uri="{FF2B5EF4-FFF2-40B4-BE49-F238E27FC236}">
                <a16:creationId xmlns:a16="http://schemas.microsoft.com/office/drawing/2014/main" id="{944E1830-8487-4D58-86EC-2FE1C2DA9FC0}"/>
              </a:ext>
            </a:extLst>
          </xdr:cNvPr>
          <xdr:cNvSpPr txBox="1"/>
        </xdr:nvSpPr>
        <xdr:spPr>
          <a:xfrm>
            <a:off x="495750" y="9638301"/>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12</a:t>
            </a:r>
            <a:endParaRPr lang="en-US">
              <a:solidFill>
                <a:schemeClr val="bg1"/>
              </a:solidFill>
              <a:effectLst/>
            </a:endParaRPr>
          </a:p>
        </xdr:txBody>
      </xdr:sp>
      <xdr:sp macro="" textlink="">
        <xdr:nvSpPr>
          <xdr:cNvPr id="315" name="TextBox 314">
            <a:hlinkClick xmlns:r="http://schemas.openxmlformats.org/officeDocument/2006/relationships" r:id="rId26"/>
            <a:extLst>
              <a:ext uri="{FF2B5EF4-FFF2-40B4-BE49-F238E27FC236}">
                <a16:creationId xmlns:a16="http://schemas.microsoft.com/office/drawing/2014/main" id="{618233C3-56A9-49E3-9625-136BF46478E0}"/>
              </a:ext>
            </a:extLst>
          </xdr:cNvPr>
          <xdr:cNvSpPr txBox="1"/>
        </xdr:nvSpPr>
        <xdr:spPr>
          <a:xfrm>
            <a:off x="495750" y="1013881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b="1">
                <a:solidFill>
                  <a:schemeClr val="bg1"/>
                </a:solidFill>
                <a:effectLst/>
                <a:latin typeface="+mn-lt"/>
                <a:ea typeface="+mn-ea"/>
                <a:cs typeface="+mn-cs"/>
              </a:rPr>
              <a:t>Bảng</a:t>
            </a:r>
            <a:r>
              <a:rPr lang="en-US" sz="1100" b="1" baseline="0">
                <a:solidFill>
                  <a:schemeClr val="bg1"/>
                </a:solidFill>
                <a:effectLst/>
                <a:latin typeface="+mn-lt"/>
                <a:ea typeface="+mn-ea"/>
                <a:cs typeface="+mn-cs"/>
              </a:rPr>
              <a:t> khảo sát</a:t>
            </a:r>
            <a:endParaRPr lang="en-US">
              <a:solidFill>
                <a:schemeClr val="bg1"/>
              </a:solidFill>
              <a:effectLst/>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101717</xdr:colOff>
      <xdr:row>8</xdr:row>
      <xdr:rowOff>59531</xdr:rowOff>
    </xdr:from>
    <xdr:to>
      <xdr:col>19</xdr:col>
      <xdr:colOff>511968</xdr:colOff>
      <xdr:row>23</xdr:row>
      <xdr:rowOff>95250</xdr:rowOff>
    </xdr:to>
    <xdr:sp macro="" textlink="">
      <xdr:nvSpPr>
        <xdr:cNvPr id="9" name="Rectangle: Rounded Corners 8">
          <a:extLst>
            <a:ext uri="{FF2B5EF4-FFF2-40B4-BE49-F238E27FC236}">
              <a16:creationId xmlns:a16="http://schemas.microsoft.com/office/drawing/2014/main" id="{F553D608-6D9E-4121-83C2-2A78568A3CDA}"/>
            </a:ext>
          </a:extLst>
        </xdr:cNvPr>
        <xdr:cNvSpPr/>
      </xdr:nvSpPr>
      <xdr:spPr>
        <a:xfrm>
          <a:off x="7936030" y="1583531"/>
          <a:ext cx="8030251" cy="2893219"/>
        </a:xfrm>
        <a:prstGeom prst="roundRect">
          <a:avLst/>
        </a:prstGeom>
        <a:solidFill>
          <a:schemeClr val="bg1">
            <a:lumMod val="95000"/>
            <a:alpha val="7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0</xdr:row>
      <xdr:rowOff>103688</xdr:rowOff>
    </xdr:from>
    <xdr:to>
      <xdr:col>2</xdr:col>
      <xdr:colOff>472440</xdr:colOff>
      <xdr:row>3</xdr:row>
      <xdr:rowOff>24759</xdr:rowOff>
    </xdr:to>
    <xdr:grpSp>
      <xdr:nvGrpSpPr>
        <xdr:cNvPr id="2" name="Group 1">
          <a:hlinkClick xmlns:r="http://schemas.openxmlformats.org/officeDocument/2006/relationships" r:id="rId1"/>
          <a:extLst>
            <a:ext uri="{FF2B5EF4-FFF2-40B4-BE49-F238E27FC236}">
              <a16:creationId xmlns:a16="http://schemas.microsoft.com/office/drawing/2014/main" id="{73A5FA90-6305-44F7-AC1E-8BD0EABAA208}"/>
            </a:ext>
          </a:extLst>
        </xdr:cNvPr>
        <xdr:cNvGrpSpPr/>
      </xdr:nvGrpSpPr>
      <xdr:grpSpPr>
        <a:xfrm>
          <a:off x="190500" y="103688"/>
          <a:ext cx="1591628" cy="492571"/>
          <a:chOff x="190500" y="103688"/>
          <a:chExt cx="1501140" cy="492571"/>
        </a:xfrm>
      </xdr:grpSpPr>
      <xdr:sp macro="" textlink="">
        <xdr:nvSpPr>
          <xdr:cNvPr id="3" name="TextBox 2">
            <a:hlinkClick xmlns:r="http://schemas.openxmlformats.org/officeDocument/2006/relationships" r:id="rId1"/>
            <a:extLst>
              <a:ext uri="{FF2B5EF4-FFF2-40B4-BE49-F238E27FC236}">
                <a16:creationId xmlns:a16="http://schemas.microsoft.com/office/drawing/2014/main" id="{ABA8AC44-D7A0-4EB6-A3BC-35A9BF8DCE5B}"/>
              </a:ext>
            </a:extLst>
          </xdr:cNvPr>
          <xdr:cNvSpPr txBox="1"/>
        </xdr:nvSpPr>
        <xdr:spPr>
          <a:xfrm>
            <a:off x="457200" y="103688"/>
            <a:ext cx="1234440" cy="4925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300" b="1" baseline="0">
                <a:solidFill>
                  <a:schemeClr val="bg1"/>
                </a:solidFill>
                <a:latin typeface="Roboto" pitchFamily="2" charset="0"/>
                <a:ea typeface="Roboto" pitchFamily="2" charset="0"/>
                <a:cs typeface="Times New Roman" panose="02020603050405020304" pitchFamily="18" charset="0"/>
              </a:rPr>
              <a:t>TÀI CHÍNH</a:t>
            </a:r>
          </a:p>
          <a:p>
            <a:pPr algn="ctr"/>
            <a:r>
              <a:rPr lang="en-US" sz="1300" b="1" baseline="0">
                <a:solidFill>
                  <a:schemeClr val="bg1"/>
                </a:solidFill>
                <a:latin typeface="Roboto" pitchFamily="2" charset="0"/>
                <a:ea typeface="Roboto" pitchFamily="2" charset="0"/>
                <a:cs typeface="Times New Roman" panose="02020603050405020304" pitchFamily="18" charset="0"/>
              </a:rPr>
              <a:t>CÁ NHÂN</a:t>
            </a:r>
            <a:endParaRPr lang="en-US" sz="1300" b="1">
              <a:solidFill>
                <a:schemeClr val="bg1"/>
              </a:solidFill>
              <a:latin typeface="Roboto" pitchFamily="2" charset="0"/>
              <a:ea typeface="Roboto" pitchFamily="2" charset="0"/>
              <a:cs typeface="Times New Roman" panose="02020603050405020304" pitchFamily="18" charset="0"/>
            </a:endParaRPr>
          </a:p>
        </xdr:txBody>
      </xdr:sp>
      <xdr:pic>
        <xdr:nvPicPr>
          <xdr:cNvPr id="4" name="Graphic 3" descr="Diamond">
            <a:extLst>
              <a:ext uri="{FF2B5EF4-FFF2-40B4-BE49-F238E27FC236}">
                <a16:creationId xmlns:a16="http://schemas.microsoft.com/office/drawing/2014/main" id="{ABD7B289-F925-4A40-8BFF-D154E871C53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90500" y="167093"/>
            <a:ext cx="365760" cy="365760"/>
          </a:xfrm>
          <a:prstGeom prst="rect">
            <a:avLst/>
          </a:prstGeom>
        </xdr:spPr>
      </xdr:pic>
    </xdr:grpSp>
    <xdr:clientData/>
  </xdr:twoCellAnchor>
  <xdr:twoCellAnchor>
    <xdr:from>
      <xdr:col>9</xdr:col>
      <xdr:colOff>226223</xdr:colOff>
      <xdr:row>8</xdr:row>
      <xdr:rowOff>146446</xdr:rowOff>
    </xdr:from>
    <xdr:to>
      <xdr:col>19</xdr:col>
      <xdr:colOff>404812</xdr:colOff>
      <xdr:row>23</xdr:row>
      <xdr:rowOff>32146</xdr:rowOff>
    </xdr:to>
    <xdr:graphicFrame macro="">
      <xdr:nvGraphicFramePr>
        <xdr:cNvPr id="7" name="Chart 4">
          <a:extLst>
            <a:ext uri="{FF2B5EF4-FFF2-40B4-BE49-F238E27FC236}">
              <a16:creationId xmlns:a16="http://schemas.microsoft.com/office/drawing/2014/main" id="{840B8C4D-2B98-4610-814B-1722CFCC52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606427</xdr:colOff>
      <xdr:row>8</xdr:row>
      <xdr:rowOff>75406</xdr:rowOff>
    </xdr:from>
    <xdr:to>
      <xdr:col>8</xdr:col>
      <xdr:colOff>611188</xdr:colOff>
      <xdr:row>23</xdr:row>
      <xdr:rowOff>111125</xdr:rowOff>
    </xdr:to>
    <xdr:sp macro="" textlink="">
      <xdr:nvSpPr>
        <xdr:cNvPr id="8" name="Rectangle: Rounded Corners 7">
          <a:extLst>
            <a:ext uri="{FF2B5EF4-FFF2-40B4-BE49-F238E27FC236}">
              <a16:creationId xmlns:a16="http://schemas.microsoft.com/office/drawing/2014/main" id="{9CD83C91-673B-42D1-9E4F-BB7AFBA7C1A7}"/>
            </a:ext>
          </a:extLst>
        </xdr:cNvPr>
        <xdr:cNvSpPr/>
      </xdr:nvSpPr>
      <xdr:spPr>
        <a:xfrm>
          <a:off x="2428083" y="1599406"/>
          <a:ext cx="5291136" cy="2893219"/>
        </a:xfrm>
        <a:prstGeom prst="roundRect">
          <a:avLst/>
        </a:prstGeom>
        <a:solidFill>
          <a:schemeClr val="bg1">
            <a:lumMod val="95000"/>
            <a:alpha val="7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595313</xdr:colOff>
      <xdr:row>8</xdr:row>
      <xdr:rowOff>59532</xdr:rowOff>
    </xdr:from>
    <xdr:to>
      <xdr:col>8</xdr:col>
      <xdr:colOff>535781</xdr:colOff>
      <xdr:row>23</xdr:row>
      <xdr:rowOff>47626</xdr:rowOff>
    </xdr:to>
    <xdr:graphicFrame macro="">
      <xdr:nvGraphicFramePr>
        <xdr:cNvPr id="10" name="Chart 4">
          <a:extLst>
            <a:ext uri="{FF2B5EF4-FFF2-40B4-BE49-F238E27FC236}">
              <a16:creationId xmlns:a16="http://schemas.microsoft.com/office/drawing/2014/main" id="{79E26082-77EB-47A6-BFD1-525BDACAE9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142874</xdr:colOff>
      <xdr:row>45</xdr:row>
      <xdr:rowOff>104093</xdr:rowOff>
    </xdr:from>
    <xdr:to>
      <xdr:col>19</xdr:col>
      <xdr:colOff>519672</xdr:colOff>
      <xdr:row>60</xdr:row>
      <xdr:rowOff>139812</xdr:rowOff>
    </xdr:to>
    <xdr:sp macro="" textlink="">
      <xdr:nvSpPr>
        <xdr:cNvPr id="71" name="Rectangle: Rounded Corners 70">
          <a:extLst>
            <a:ext uri="{FF2B5EF4-FFF2-40B4-BE49-F238E27FC236}">
              <a16:creationId xmlns:a16="http://schemas.microsoft.com/office/drawing/2014/main" id="{562F161E-ED3E-41B0-901A-1C54B755DC78}"/>
            </a:ext>
          </a:extLst>
        </xdr:cNvPr>
        <xdr:cNvSpPr/>
      </xdr:nvSpPr>
      <xdr:spPr>
        <a:xfrm>
          <a:off x="10156030" y="8676593"/>
          <a:ext cx="5817955" cy="2893219"/>
        </a:xfrm>
        <a:prstGeom prst="roundRect">
          <a:avLst/>
        </a:prstGeom>
        <a:solidFill>
          <a:schemeClr val="bg1">
            <a:lumMod val="95000"/>
            <a:alpha val="7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604837</xdr:colOff>
      <xdr:row>45</xdr:row>
      <xdr:rowOff>104093</xdr:rowOff>
    </xdr:from>
    <xdr:to>
      <xdr:col>8</xdr:col>
      <xdr:colOff>585406</xdr:colOff>
      <xdr:row>60</xdr:row>
      <xdr:rowOff>139812</xdr:rowOff>
    </xdr:to>
    <xdr:sp macro="" textlink="">
      <xdr:nvSpPr>
        <xdr:cNvPr id="70" name="Rectangle: Rounded Corners 69">
          <a:extLst>
            <a:ext uri="{FF2B5EF4-FFF2-40B4-BE49-F238E27FC236}">
              <a16:creationId xmlns:a16="http://schemas.microsoft.com/office/drawing/2014/main" id="{415D16EC-A3C1-4719-9437-EE32E3FD7A7D}"/>
            </a:ext>
          </a:extLst>
        </xdr:cNvPr>
        <xdr:cNvSpPr/>
      </xdr:nvSpPr>
      <xdr:spPr>
        <a:xfrm>
          <a:off x="2426493" y="8676593"/>
          <a:ext cx="5266944" cy="2893219"/>
        </a:xfrm>
        <a:prstGeom prst="roundRect">
          <a:avLst/>
        </a:prstGeom>
        <a:solidFill>
          <a:schemeClr val="bg1">
            <a:lumMod val="95000"/>
            <a:alpha val="7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345278</xdr:colOff>
      <xdr:row>4</xdr:row>
      <xdr:rowOff>0</xdr:rowOff>
    </xdr:from>
    <xdr:to>
      <xdr:col>3</xdr:col>
      <xdr:colOff>9210</xdr:colOff>
      <xdr:row>57</xdr:row>
      <xdr:rowOff>126962</xdr:rowOff>
    </xdr:to>
    <xdr:grpSp>
      <xdr:nvGrpSpPr>
        <xdr:cNvPr id="11" name="Group 10">
          <a:extLst>
            <a:ext uri="{FF2B5EF4-FFF2-40B4-BE49-F238E27FC236}">
              <a16:creationId xmlns:a16="http://schemas.microsoft.com/office/drawing/2014/main" id="{65B9CFAE-5236-4C34-916F-7F2625972AD2}"/>
            </a:ext>
          </a:extLst>
        </xdr:cNvPr>
        <xdr:cNvGrpSpPr/>
      </xdr:nvGrpSpPr>
      <xdr:grpSpPr>
        <a:xfrm>
          <a:off x="345278" y="750094"/>
          <a:ext cx="1628463" cy="9699587"/>
          <a:chOff x="350042" y="654846"/>
          <a:chExt cx="1485588" cy="10223462"/>
        </a:xfrm>
      </xdr:grpSpPr>
      <xdr:pic>
        <xdr:nvPicPr>
          <xdr:cNvPr id="12" name="Graphic 11">
            <a:extLst>
              <a:ext uri="{FF2B5EF4-FFF2-40B4-BE49-F238E27FC236}">
                <a16:creationId xmlns:a16="http://schemas.microsoft.com/office/drawing/2014/main" id="{421837F5-FB83-420B-95AC-5F671B81151E}"/>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r="28388"/>
          <a:stretch/>
        </xdr:blipFill>
        <xdr:spPr>
          <a:xfrm>
            <a:off x="350042" y="654846"/>
            <a:ext cx="1485588" cy="1214436"/>
          </a:xfrm>
          <a:prstGeom prst="rect">
            <a:avLst/>
          </a:prstGeom>
        </xdr:spPr>
      </xdr:pic>
      <xdr:pic>
        <xdr:nvPicPr>
          <xdr:cNvPr id="14" name="Graphic 13">
            <a:extLst>
              <a:ext uri="{FF2B5EF4-FFF2-40B4-BE49-F238E27FC236}">
                <a16:creationId xmlns:a16="http://schemas.microsoft.com/office/drawing/2014/main" id="{077E6433-FB47-4F60-B366-FF1B41F56AE4}"/>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r="28388"/>
          <a:stretch/>
        </xdr:blipFill>
        <xdr:spPr>
          <a:xfrm>
            <a:off x="350042" y="1655848"/>
            <a:ext cx="1485588" cy="1214436"/>
          </a:xfrm>
          <a:prstGeom prst="rect">
            <a:avLst/>
          </a:prstGeom>
        </xdr:spPr>
      </xdr:pic>
      <xdr:pic>
        <xdr:nvPicPr>
          <xdr:cNvPr id="13" name="Graphic 12">
            <a:extLst>
              <a:ext uri="{FF2B5EF4-FFF2-40B4-BE49-F238E27FC236}">
                <a16:creationId xmlns:a16="http://schemas.microsoft.com/office/drawing/2014/main" id="{FA4A6468-FC0F-443A-9D9D-2227E1CD0330}"/>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rcRect r="28388"/>
          <a:stretch/>
        </xdr:blipFill>
        <xdr:spPr>
          <a:xfrm>
            <a:off x="350042" y="1155347"/>
            <a:ext cx="1485588" cy="1214436"/>
          </a:xfrm>
          <a:prstGeom prst="rect">
            <a:avLst/>
          </a:prstGeom>
        </xdr:spPr>
      </xdr:pic>
      <xdr:pic>
        <xdr:nvPicPr>
          <xdr:cNvPr id="15" name="Graphic 14">
            <a:extLst>
              <a:ext uri="{FF2B5EF4-FFF2-40B4-BE49-F238E27FC236}">
                <a16:creationId xmlns:a16="http://schemas.microsoft.com/office/drawing/2014/main" id="{0258B74F-75E2-4C9E-B924-EB6D52EB044D}"/>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r="28388"/>
          <a:stretch/>
        </xdr:blipFill>
        <xdr:spPr>
          <a:xfrm>
            <a:off x="350042" y="2156349"/>
            <a:ext cx="1485588" cy="1214436"/>
          </a:xfrm>
          <a:prstGeom prst="rect">
            <a:avLst/>
          </a:prstGeom>
        </xdr:spPr>
      </xdr:pic>
      <xdr:pic>
        <xdr:nvPicPr>
          <xdr:cNvPr id="16" name="Graphic 15">
            <a:extLst>
              <a:ext uri="{FF2B5EF4-FFF2-40B4-BE49-F238E27FC236}">
                <a16:creationId xmlns:a16="http://schemas.microsoft.com/office/drawing/2014/main" id="{86A4116D-BECA-4536-9D25-3777113C1B85}"/>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r="28388"/>
          <a:stretch/>
        </xdr:blipFill>
        <xdr:spPr>
          <a:xfrm>
            <a:off x="350042" y="2656850"/>
            <a:ext cx="1485588" cy="1214436"/>
          </a:xfrm>
          <a:prstGeom prst="rect">
            <a:avLst/>
          </a:prstGeom>
        </xdr:spPr>
      </xdr:pic>
      <xdr:pic>
        <xdr:nvPicPr>
          <xdr:cNvPr id="17" name="Graphic 16">
            <a:extLst>
              <a:ext uri="{FF2B5EF4-FFF2-40B4-BE49-F238E27FC236}">
                <a16:creationId xmlns:a16="http://schemas.microsoft.com/office/drawing/2014/main" id="{3E94A412-8B19-41B5-8004-6C1F4B641AD3}"/>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r="28388"/>
          <a:stretch/>
        </xdr:blipFill>
        <xdr:spPr>
          <a:xfrm>
            <a:off x="350042" y="3157351"/>
            <a:ext cx="1485588" cy="1214436"/>
          </a:xfrm>
          <a:prstGeom prst="rect">
            <a:avLst/>
          </a:prstGeom>
        </xdr:spPr>
      </xdr:pic>
      <xdr:pic>
        <xdr:nvPicPr>
          <xdr:cNvPr id="18" name="Graphic 17">
            <a:extLst>
              <a:ext uri="{FF2B5EF4-FFF2-40B4-BE49-F238E27FC236}">
                <a16:creationId xmlns:a16="http://schemas.microsoft.com/office/drawing/2014/main" id="{27FDCFF6-58DB-4B27-BA18-5887B5299F3A}"/>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r="28388"/>
          <a:stretch/>
        </xdr:blipFill>
        <xdr:spPr>
          <a:xfrm>
            <a:off x="350042" y="3657852"/>
            <a:ext cx="1485588" cy="1214436"/>
          </a:xfrm>
          <a:prstGeom prst="rect">
            <a:avLst/>
          </a:prstGeom>
        </xdr:spPr>
      </xdr:pic>
      <xdr:pic>
        <xdr:nvPicPr>
          <xdr:cNvPr id="19" name="Graphic 18">
            <a:extLst>
              <a:ext uri="{FF2B5EF4-FFF2-40B4-BE49-F238E27FC236}">
                <a16:creationId xmlns:a16="http://schemas.microsoft.com/office/drawing/2014/main" id="{E39B6E16-2085-4B88-AD8A-153C2E6ED6F7}"/>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r="28388"/>
          <a:stretch/>
        </xdr:blipFill>
        <xdr:spPr>
          <a:xfrm>
            <a:off x="350042" y="4158353"/>
            <a:ext cx="1485588" cy="1214436"/>
          </a:xfrm>
          <a:prstGeom prst="rect">
            <a:avLst/>
          </a:prstGeom>
        </xdr:spPr>
      </xdr:pic>
      <xdr:pic>
        <xdr:nvPicPr>
          <xdr:cNvPr id="20" name="Graphic 19">
            <a:extLst>
              <a:ext uri="{FF2B5EF4-FFF2-40B4-BE49-F238E27FC236}">
                <a16:creationId xmlns:a16="http://schemas.microsoft.com/office/drawing/2014/main" id="{3CCCC476-B908-4C7E-89A7-FC5C3586D887}"/>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r="28388"/>
          <a:stretch/>
        </xdr:blipFill>
        <xdr:spPr>
          <a:xfrm>
            <a:off x="350042" y="4658854"/>
            <a:ext cx="1485588" cy="1214436"/>
          </a:xfrm>
          <a:prstGeom prst="rect">
            <a:avLst/>
          </a:prstGeom>
        </xdr:spPr>
      </xdr:pic>
      <xdr:pic>
        <xdr:nvPicPr>
          <xdr:cNvPr id="21" name="Graphic 20">
            <a:extLst>
              <a:ext uri="{FF2B5EF4-FFF2-40B4-BE49-F238E27FC236}">
                <a16:creationId xmlns:a16="http://schemas.microsoft.com/office/drawing/2014/main" id="{DF6DB223-8397-445E-8D48-46B010CCC8D3}"/>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r="28388"/>
          <a:stretch/>
        </xdr:blipFill>
        <xdr:spPr>
          <a:xfrm>
            <a:off x="350042" y="5159355"/>
            <a:ext cx="1485588" cy="1214436"/>
          </a:xfrm>
          <a:prstGeom prst="rect">
            <a:avLst/>
          </a:prstGeom>
        </xdr:spPr>
      </xdr:pic>
      <xdr:pic>
        <xdr:nvPicPr>
          <xdr:cNvPr id="22" name="Graphic 21">
            <a:extLst>
              <a:ext uri="{FF2B5EF4-FFF2-40B4-BE49-F238E27FC236}">
                <a16:creationId xmlns:a16="http://schemas.microsoft.com/office/drawing/2014/main" id="{103D9807-BBD6-4950-B6F5-DE90C5F10541}"/>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r="28388"/>
          <a:stretch/>
        </xdr:blipFill>
        <xdr:spPr>
          <a:xfrm>
            <a:off x="350042" y="5659856"/>
            <a:ext cx="1485588" cy="1214436"/>
          </a:xfrm>
          <a:prstGeom prst="rect">
            <a:avLst/>
          </a:prstGeom>
        </xdr:spPr>
      </xdr:pic>
      <xdr:pic>
        <xdr:nvPicPr>
          <xdr:cNvPr id="23" name="Graphic 22">
            <a:extLst>
              <a:ext uri="{FF2B5EF4-FFF2-40B4-BE49-F238E27FC236}">
                <a16:creationId xmlns:a16="http://schemas.microsoft.com/office/drawing/2014/main" id="{05472990-8AE0-48B0-AE14-1657CA19A419}"/>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r="28388"/>
          <a:stretch/>
        </xdr:blipFill>
        <xdr:spPr>
          <a:xfrm>
            <a:off x="350042" y="6160357"/>
            <a:ext cx="1485588" cy="1214436"/>
          </a:xfrm>
          <a:prstGeom prst="rect">
            <a:avLst/>
          </a:prstGeom>
        </xdr:spPr>
      </xdr:pic>
      <xdr:pic>
        <xdr:nvPicPr>
          <xdr:cNvPr id="24" name="Graphic 23">
            <a:extLst>
              <a:ext uri="{FF2B5EF4-FFF2-40B4-BE49-F238E27FC236}">
                <a16:creationId xmlns:a16="http://schemas.microsoft.com/office/drawing/2014/main" id="{32C774ED-3F08-4EF3-8BC6-567CFD66F83E}"/>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r="28388"/>
          <a:stretch/>
        </xdr:blipFill>
        <xdr:spPr>
          <a:xfrm>
            <a:off x="350042" y="6660858"/>
            <a:ext cx="1485588" cy="1214436"/>
          </a:xfrm>
          <a:prstGeom prst="rect">
            <a:avLst/>
          </a:prstGeom>
        </xdr:spPr>
      </xdr:pic>
      <xdr:pic>
        <xdr:nvPicPr>
          <xdr:cNvPr id="25" name="Graphic 24">
            <a:extLst>
              <a:ext uri="{FF2B5EF4-FFF2-40B4-BE49-F238E27FC236}">
                <a16:creationId xmlns:a16="http://schemas.microsoft.com/office/drawing/2014/main" id="{391FE5F2-69EC-463E-B0B1-587FF6993CBE}"/>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r="28388"/>
          <a:stretch/>
        </xdr:blipFill>
        <xdr:spPr>
          <a:xfrm>
            <a:off x="350042" y="7161359"/>
            <a:ext cx="1485588" cy="1214436"/>
          </a:xfrm>
          <a:prstGeom prst="rect">
            <a:avLst/>
          </a:prstGeom>
        </xdr:spPr>
      </xdr:pic>
      <xdr:pic>
        <xdr:nvPicPr>
          <xdr:cNvPr id="26" name="Graphic 25">
            <a:extLst>
              <a:ext uri="{FF2B5EF4-FFF2-40B4-BE49-F238E27FC236}">
                <a16:creationId xmlns:a16="http://schemas.microsoft.com/office/drawing/2014/main" id="{7BA9EB9F-B62E-46D6-9760-FF0168383A4E}"/>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r="28388"/>
          <a:stretch/>
        </xdr:blipFill>
        <xdr:spPr>
          <a:xfrm>
            <a:off x="350042" y="7661860"/>
            <a:ext cx="1485588" cy="1214436"/>
          </a:xfrm>
          <a:prstGeom prst="rect">
            <a:avLst/>
          </a:prstGeom>
        </xdr:spPr>
      </xdr:pic>
      <xdr:pic>
        <xdr:nvPicPr>
          <xdr:cNvPr id="27" name="Graphic 26">
            <a:extLst>
              <a:ext uri="{FF2B5EF4-FFF2-40B4-BE49-F238E27FC236}">
                <a16:creationId xmlns:a16="http://schemas.microsoft.com/office/drawing/2014/main" id="{8168A876-2B2F-426C-AFAB-304A4444404F}"/>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r="28388"/>
          <a:stretch/>
        </xdr:blipFill>
        <xdr:spPr>
          <a:xfrm>
            <a:off x="350042" y="8162361"/>
            <a:ext cx="1485588" cy="1214436"/>
          </a:xfrm>
          <a:prstGeom prst="rect">
            <a:avLst/>
          </a:prstGeom>
        </xdr:spPr>
      </xdr:pic>
      <xdr:pic>
        <xdr:nvPicPr>
          <xdr:cNvPr id="28" name="Graphic 27">
            <a:extLst>
              <a:ext uri="{FF2B5EF4-FFF2-40B4-BE49-F238E27FC236}">
                <a16:creationId xmlns:a16="http://schemas.microsoft.com/office/drawing/2014/main" id="{978B0D32-313E-40D5-98C0-E8E197915D68}"/>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r="28388"/>
          <a:stretch/>
        </xdr:blipFill>
        <xdr:spPr>
          <a:xfrm>
            <a:off x="350042" y="8662862"/>
            <a:ext cx="1485588" cy="1214436"/>
          </a:xfrm>
          <a:prstGeom prst="rect">
            <a:avLst/>
          </a:prstGeom>
        </xdr:spPr>
      </xdr:pic>
      <xdr:pic>
        <xdr:nvPicPr>
          <xdr:cNvPr id="29" name="Graphic 28">
            <a:extLst>
              <a:ext uri="{FF2B5EF4-FFF2-40B4-BE49-F238E27FC236}">
                <a16:creationId xmlns:a16="http://schemas.microsoft.com/office/drawing/2014/main" id="{9F8C987D-1B7C-41E0-AA06-23F363DF22D6}"/>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r="28388"/>
          <a:stretch/>
        </xdr:blipFill>
        <xdr:spPr>
          <a:xfrm>
            <a:off x="350042" y="9163363"/>
            <a:ext cx="1485588" cy="1214436"/>
          </a:xfrm>
          <a:prstGeom prst="rect">
            <a:avLst/>
          </a:prstGeom>
        </xdr:spPr>
      </xdr:pic>
      <xdr:pic>
        <xdr:nvPicPr>
          <xdr:cNvPr id="30" name="Graphic 29">
            <a:extLst>
              <a:ext uri="{FF2B5EF4-FFF2-40B4-BE49-F238E27FC236}">
                <a16:creationId xmlns:a16="http://schemas.microsoft.com/office/drawing/2014/main" id="{00035244-D291-4C56-880B-91F6151EB8C6}"/>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r="28388"/>
          <a:stretch/>
        </xdr:blipFill>
        <xdr:spPr>
          <a:xfrm>
            <a:off x="350042" y="9663872"/>
            <a:ext cx="1485588" cy="1214436"/>
          </a:xfrm>
          <a:prstGeom prst="rect">
            <a:avLst/>
          </a:prstGeom>
        </xdr:spPr>
      </xdr:pic>
    </xdr:grpSp>
    <xdr:clientData/>
  </xdr:twoCellAnchor>
  <xdr:twoCellAnchor>
    <xdr:from>
      <xdr:col>0</xdr:col>
      <xdr:colOff>453617</xdr:colOff>
      <xdr:row>6</xdr:row>
      <xdr:rowOff>93938</xdr:rowOff>
    </xdr:from>
    <xdr:to>
      <xdr:col>2</xdr:col>
      <xdr:colOff>508089</xdr:colOff>
      <xdr:row>55</xdr:row>
      <xdr:rowOff>33024</xdr:rowOff>
    </xdr:to>
    <xdr:grpSp>
      <xdr:nvGrpSpPr>
        <xdr:cNvPr id="31" name="Group 30">
          <a:extLst>
            <a:ext uri="{FF2B5EF4-FFF2-40B4-BE49-F238E27FC236}">
              <a16:creationId xmlns:a16="http://schemas.microsoft.com/office/drawing/2014/main" id="{6E659D5A-1887-44FE-948B-D66BE05B7DC4}"/>
            </a:ext>
          </a:extLst>
        </xdr:cNvPr>
        <xdr:cNvGrpSpPr/>
      </xdr:nvGrpSpPr>
      <xdr:grpSpPr>
        <a:xfrm>
          <a:off x="453617" y="1225032"/>
          <a:ext cx="1364160" cy="8773523"/>
          <a:chOff x="487686" y="1129784"/>
          <a:chExt cx="1268910" cy="9273586"/>
        </a:xfrm>
      </xdr:grpSpPr>
      <xdr:sp macro="" textlink="">
        <xdr:nvSpPr>
          <xdr:cNvPr id="32" name="TextBox 31">
            <a:hlinkClick xmlns:r="http://schemas.openxmlformats.org/officeDocument/2006/relationships" r:id="rId10"/>
            <a:extLst>
              <a:ext uri="{FF2B5EF4-FFF2-40B4-BE49-F238E27FC236}">
                <a16:creationId xmlns:a16="http://schemas.microsoft.com/office/drawing/2014/main" id="{81808A53-59AF-4003-85B2-CEBAEF81B859}"/>
              </a:ext>
            </a:extLst>
          </xdr:cNvPr>
          <xdr:cNvSpPr txBox="1"/>
        </xdr:nvSpPr>
        <xdr:spPr>
          <a:xfrm>
            <a:off x="784825" y="1129784"/>
            <a:ext cx="67317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Từ</a:t>
            </a:r>
            <a:r>
              <a:rPr lang="en-US" sz="1100" b="1" baseline="0">
                <a:solidFill>
                  <a:schemeClr val="bg1"/>
                </a:solidFill>
              </a:rPr>
              <a:t> khóa</a:t>
            </a:r>
            <a:endParaRPr lang="en-US" sz="1100" b="1">
              <a:solidFill>
                <a:schemeClr val="bg1"/>
              </a:solidFill>
            </a:endParaRPr>
          </a:p>
        </xdr:txBody>
      </xdr:sp>
      <xdr:sp macro="" textlink="">
        <xdr:nvSpPr>
          <xdr:cNvPr id="33" name="TextBox 32">
            <a:hlinkClick xmlns:r="http://schemas.openxmlformats.org/officeDocument/2006/relationships" r:id="rId11"/>
            <a:extLst>
              <a:ext uri="{FF2B5EF4-FFF2-40B4-BE49-F238E27FC236}">
                <a16:creationId xmlns:a16="http://schemas.microsoft.com/office/drawing/2014/main" id="{F1CF56D7-332C-4775-8843-2983F618069A}"/>
              </a:ext>
            </a:extLst>
          </xdr:cNvPr>
          <xdr:cNvSpPr txBox="1"/>
        </xdr:nvSpPr>
        <xdr:spPr>
          <a:xfrm>
            <a:off x="708434" y="1630285"/>
            <a:ext cx="82595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ysClr val="windowText" lastClr="000000"/>
                </a:solidFill>
              </a:rPr>
              <a:t>Dashboard</a:t>
            </a:r>
          </a:p>
        </xdr:txBody>
      </xdr:sp>
      <xdr:sp macro="" textlink="">
        <xdr:nvSpPr>
          <xdr:cNvPr id="34" name="TextBox 33">
            <a:hlinkClick xmlns:r="http://schemas.openxmlformats.org/officeDocument/2006/relationships" r:id="rId12"/>
            <a:extLst>
              <a:ext uri="{FF2B5EF4-FFF2-40B4-BE49-F238E27FC236}">
                <a16:creationId xmlns:a16="http://schemas.microsoft.com/office/drawing/2014/main" id="{3BEA6E9A-F41B-4EF2-B86F-F9D5F40D04CF}"/>
              </a:ext>
            </a:extLst>
          </xdr:cNvPr>
          <xdr:cNvSpPr txBox="1"/>
        </xdr:nvSpPr>
        <xdr:spPr>
          <a:xfrm>
            <a:off x="495750" y="2130786"/>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Mục</a:t>
            </a:r>
            <a:r>
              <a:rPr lang="en-US" sz="1100" b="1" baseline="0">
                <a:solidFill>
                  <a:schemeClr val="bg1"/>
                </a:solidFill>
                <a:effectLst/>
                <a:latin typeface="+mn-lt"/>
                <a:ea typeface="+mn-ea"/>
                <a:cs typeface="+mn-cs"/>
              </a:rPr>
              <a:t> tiêu bản thân</a:t>
            </a:r>
            <a:endParaRPr lang="en-US">
              <a:solidFill>
                <a:schemeClr val="bg1"/>
              </a:solidFill>
              <a:effectLst/>
            </a:endParaRPr>
          </a:p>
        </xdr:txBody>
      </xdr:sp>
      <xdr:sp macro="" textlink="">
        <xdr:nvSpPr>
          <xdr:cNvPr id="35" name="TextBox 34">
            <a:hlinkClick xmlns:r="http://schemas.openxmlformats.org/officeDocument/2006/relationships" r:id="rId13"/>
            <a:extLst>
              <a:ext uri="{FF2B5EF4-FFF2-40B4-BE49-F238E27FC236}">
                <a16:creationId xmlns:a16="http://schemas.microsoft.com/office/drawing/2014/main" id="{6929CD77-EA47-4D57-9A17-8ECDD3EE654C}"/>
              </a:ext>
            </a:extLst>
          </xdr:cNvPr>
          <xdr:cNvSpPr txBox="1"/>
        </xdr:nvSpPr>
        <xdr:spPr>
          <a:xfrm>
            <a:off x="495750" y="2631287"/>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Mục</a:t>
            </a:r>
            <a:r>
              <a:rPr lang="en-US" sz="1100" b="1" baseline="0">
                <a:solidFill>
                  <a:schemeClr val="bg1"/>
                </a:solidFill>
                <a:effectLst/>
                <a:latin typeface="+mn-lt"/>
                <a:ea typeface="+mn-ea"/>
                <a:cs typeface="+mn-cs"/>
              </a:rPr>
              <a:t> tiêu tài chính</a:t>
            </a:r>
            <a:endParaRPr lang="en-US">
              <a:solidFill>
                <a:schemeClr val="bg1"/>
              </a:solidFill>
              <a:effectLst/>
            </a:endParaRPr>
          </a:p>
        </xdr:txBody>
      </xdr:sp>
      <xdr:sp macro="" textlink="">
        <xdr:nvSpPr>
          <xdr:cNvPr id="36" name="TextBox 35">
            <a:hlinkClick xmlns:r="http://schemas.openxmlformats.org/officeDocument/2006/relationships" r:id="rId14"/>
            <a:extLst>
              <a:ext uri="{FF2B5EF4-FFF2-40B4-BE49-F238E27FC236}">
                <a16:creationId xmlns:a16="http://schemas.microsoft.com/office/drawing/2014/main" id="{0BE703AC-26E9-4DF1-86A0-774502533508}"/>
              </a:ext>
            </a:extLst>
          </xdr:cNvPr>
          <xdr:cNvSpPr txBox="1"/>
        </xdr:nvSpPr>
        <xdr:spPr>
          <a:xfrm>
            <a:off x="487686" y="3020663"/>
            <a:ext cx="1260846" cy="459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b="1">
                <a:solidFill>
                  <a:schemeClr val="bg1"/>
                </a:solidFill>
                <a:effectLst/>
                <a:latin typeface="+mn-lt"/>
                <a:ea typeface="+mn-ea"/>
                <a:cs typeface="+mn-cs"/>
              </a:rPr>
              <a:t>Cân</a:t>
            </a:r>
            <a:r>
              <a:rPr lang="en-US" sz="1100" b="1" baseline="0">
                <a:solidFill>
                  <a:schemeClr val="bg1"/>
                </a:solidFill>
                <a:effectLst/>
                <a:latin typeface="+mn-lt"/>
                <a:ea typeface="+mn-ea"/>
                <a:cs typeface="+mn-cs"/>
              </a:rPr>
              <a:t> đối</a:t>
            </a:r>
            <a:endParaRPr lang="en-US">
              <a:solidFill>
                <a:schemeClr val="bg1"/>
              </a:solidFill>
              <a:effectLst/>
            </a:endParaRPr>
          </a:p>
          <a:p>
            <a:pPr algn="ctr"/>
            <a:r>
              <a:rPr lang="en-US" sz="1100" b="1" baseline="0">
                <a:solidFill>
                  <a:schemeClr val="bg1"/>
                </a:solidFill>
                <a:effectLst/>
                <a:latin typeface="+mn-lt"/>
                <a:ea typeface="+mn-ea"/>
                <a:cs typeface="+mn-cs"/>
              </a:rPr>
              <a:t>l</a:t>
            </a:r>
            <a:r>
              <a:rPr lang="en-US" sz="1100" b="1">
                <a:solidFill>
                  <a:schemeClr val="bg1"/>
                </a:solidFill>
                <a:effectLst/>
                <a:latin typeface="+mn-lt"/>
                <a:ea typeface="+mn-ea"/>
                <a:cs typeface="+mn-cs"/>
              </a:rPr>
              <a:t>ộ</a:t>
            </a:r>
            <a:r>
              <a:rPr lang="en-US" sz="1100" b="1" baseline="0">
                <a:solidFill>
                  <a:schemeClr val="bg1"/>
                </a:solidFill>
                <a:effectLst/>
                <a:latin typeface="+mn-lt"/>
                <a:ea typeface="+mn-ea"/>
                <a:cs typeface="+mn-cs"/>
              </a:rPr>
              <a:t> trình nghề nghiệp</a:t>
            </a:r>
            <a:endParaRPr lang="en-US">
              <a:solidFill>
                <a:schemeClr val="bg1"/>
              </a:solidFill>
              <a:effectLst/>
            </a:endParaRPr>
          </a:p>
        </xdr:txBody>
      </xdr:sp>
      <xdr:sp macro="" textlink="">
        <xdr:nvSpPr>
          <xdr:cNvPr id="37" name="TextBox 36">
            <a:hlinkClick xmlns:r="http://schemas.openxmlformats.org/officeDocument/2006/relationships" r:id="rId15"/>
            <a:extLst>
              <a:ext uri="{FF2B5EF4-FFF2-40B4-BE49-F238E27FC236}">
                <a16:creationId xmlns:a16="http://schemas.microsoft.com/office/drawing/2014/main" id="{D70DE4E9-34C4-4BB6-91E1-776EF650E63B}"/>
              </a:ext>
            </a:extLst>
          </xdr:cNvPr>
          <xdr:cNvSpPr txBox="1"/>
        </xdr:nvSpPr>
        <xdr:spPr>
          <a:xfrm>
            <a:off x="487686" y="3521164"/>
            <a:ext cx="1260846" cy="459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100" b="1">
                <a:solidFill>
                  <a:schemeClr val="bg1"/>
                </a:solidFill>
                <a:effectLst/>
                <a:latin typeface="+mn-lt"/>
                <a:ea typeface="+mn-ea"/>
                <a:cs typeface="+mn-cs"/>
              </a:rPr>
              <a:t>Kế</a:t>
            </a:r>
            <a:r>
              <a:rPr lang="en-US" sz="1100" b="1" baseline="0">
                <a:solidFill>
                  <a:schemeClr val="bg1"/>
                </a:solidFill>
                <a:effectLst/>
                <a:latin typeface="+mn-lt"/>
                <a:ea typeface="+mn-ea"/>
                <a:cs typeface="+mn-cs"/>
              </a:rPr>
              <a:t> hoạch </a:t>
            </a:r>
          </a:p>
          <a:p>
            <a:pPr algn="ctr"/>
            <a:r>
              <a:rPr lang="en-US" sz="1100" b="1" baseline="0">
                <a:solidFill>
                  <a:schemeClr val="bg1"/>
                </a:solidFill>
                <a:effectLst/>
                <a:latin typeface="+mn-lt"/>
                <a:ea typeface="+mn-ea"/>
                <a:cs typeface="+mn-cs"/>
              </a:rPr>
              <a:t>thu nhập &amp; chi tiêu</a:t>
            </a:r>
            <a:endParaRPr lang="en-US">
              <a:solidFill>
                <a:schemeClr val="bg1"/>
              </a:solidFill>
              <a:effectLst/>
            </a:endParaRPr>
          </a:p>
        </xdr:txBody>
      </xdr:sp>
      <xdr:sp macro="" textlink="">
        <xdr:nvSpPr>
          <xdr:cNvPr id="38" name="TextBox 37">
            <a:hlinkClick xmlns:r="http://schemas.openxmlformats.org/officeDocument/2006/relationships" r:id="rId16"/>
            <a:extLst>
              <a:ext uri="{FF2B5EF4-FFF2-40B4-BE49-F238E27FC236}">
                <a16:creationId xmlns:a16="http://schemas.microsoft.com/office/drawing/2014/main" id="{9FA0C964-0623-42F5-954F-BD111BA28BA4}"/>
              </a:ext>
            </a:extLst>
          </xdr:cNvPr>
          <xdr:cNvSpPr txBox="1"/>
        </xdr:nvSpPr>
        <xdr:spPr>
          <a:xfrm>
            <a:off x="495750" y="413279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a:t>
            </a:r>
            <a:endParaRPr lang="en-US">
              <a:solidFill>
                <a:schemeClr val="bg1"/>
              </a:solidFill>
              <a:effectLst/>
            </a:endParaRPr>
          </a:p>
        </xdr:txBody>
      </xdr:sp>
      <xdr:sp macro="" textlink="">
        <xdr:nvSpPr>
          <xdr:cNvPr id="39" name="TextBox 38">
            <a:hlinkClick xmlns:r="http://schemas.openxmlformats.org/officeDocument/2006/relationships" r:id="rId17"/>
            <a:extLst>
              <a:ext uri="{FF2B5EF4-FFF2-40B4-BE49-F238E27FC236}">
                <a16:creationId xmlns:a16="http://schemas.microsoft.com/office/drawing/2014/main" id="{876F763E-5B02-41A3-B0EA-1F39F20BD286}"/>
              </a:ext>
            </a:extLst>
          </xdr:cNvPr>
          <xdr:cNvSpPr txBox="1"/>
        </xdr:nvSpPr>
        <xdr:spPr>
          <a:xfrm>
            <a:off x="495750" y="4633291"/>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2</a:t>
            </a:r>
            <a:endParaRPr lang="en-US">
              <a:solidFill>
                <a:schemeClr val="bg1"/>
              </a:solidFill>
              <a:effectLst/>
            </a:endParaRPr>
          </a:p>
        </xdr:txBody>
      </xdr:sp>
      <xdr:sp macro="" textlink="">
        <xdr:nvSpPr>
          <xdr:cNvPr id="40" name="TextBox 39">
            <a:hlinkClick xmlns:r="http://schemas.openxmlformats.org/officeDocument/2006/relationships" r:id="rId18"/>
            <a:extLst>
              <a:ext uri="{FF2B5EF4-FFF2-40B4-BE49-F238E27FC236}">
                <a16:creationId xmlns:a16="http://schemas.microsoft.com/office/drawing/2014/main" id="{3057BA63-5877-456E-8B42-3F41F3608B63}"/>
              </a:ext>
            </a:extLst>
          </xdr:cNvPr>
          <xdr:cNvSpPr txBox="1"/>
        </xdr:nvSpPr>
        <xdr:spPr>
          <a:xfrm>
            <a:off x="495750" y="5133792"/>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3</a:t>
            </a:r>
            <a:endParaRPr lang="en-US">
              <a:solidFill>
                <a:schemeClr val="bg1"/>
              </a:solidFill>
              <a:effectLst/>
            </a:endParaRPr>
          </a:p>
        </xdr:txBody>
      </xdr:sp>
      <xdr:sp macro="" textlink="">
        <xdr:nvSpPr>
          <xdr:cNvPr id="41" name="TextBox 40">
            <a:hlinkClick xmlns:r="http://schemas.openxmlformats.org/officeDocument/2006/relationships" r:id="rId19"/>
            <a:extLst>
              <a:ext uri="{FF2B5EF4-FFF2-40B4-BE49-F238E27FC236}">
                <a16:creationId xmlns:a16="http://schemas.microsoft.com/office/drawing/2014/main" id="{03AFC374-EC35-4DFA-9080-61DBB6238F9D}"/>
              </a:ext>
            </a:extLst>
          </xdr:cNvPr>
          <xdr:cNvSpPr txBox="1"/>
        </xdr:nvSpPr>
        <xdr:spPr>
          <a:xfrm>
            <a:off x="495750" y="5634293"/>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4</a:t>
            </a:r>
            <a:endParaRPr lang="en-US">
              <a:solidFill>
                <a:schemeClr val="bg1"/>
              </a:solidFill>
              <a:effectLst/>
            </a:endParaRPr>
          </a:p>
        </xdr:txBody>
      </xdr:sp>
      <xdr:sp macro="" textlink="">
        <xdr:nvSpPr>
          <xdr:cNvPr id="42" name="TextBox 41">
            <a:hlinkClick xmlns:r="http://schemas.openxmlformats.org/officeDocument/2006/relationships" r:id="rId20"/>
            <a:extLst>
              <a:ext uri="{FF2B5EF4-FFF2-40B4-BE49-F238E27FC236}">
                <a16:creationId xmlns:a16="http://schemas.microsoft.com/office/drawing/2014/main" id="{A046ECDB-F983-4D52-AF12-94460A45B9E3}"/>
              </a:ext>
            </a:extLst>
          </xdr:cNvPr>
          <xdr:cNvSpPr txBox="1"/>
        </xdr:nvSpPr>
        <xdr:spPr>
          <a:xfrm>
            <a:off x="495750" y="6134794"/>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5</a:t>
            </a:r>
            <a:endParaRPr lang="en-US">
              <a:solidFill>
                <a:schemeClr val="bg1"/>
              </a:solidFill>
              <a:effectLst/>
            </a:endParaRPr>
          </a:p>
        </xdr:txBody>
      </xdr:sp>
      <xdr:sp macro="" textlink="">
        <xdr:nvSpPr>
          <xdr:cNvPr id="43" name="TextBox 42">
            <a:hlinkClick xmlns:r="http://schemas.openxmlformats.org/officeDocument/2006/relationships" r:id="rId21"/>
            <a:extLst>
              <a:ext uri="{FF2B5EF4-FFF2-40B4-BE49-F238E27FC236}">
                <a16:creationId xmlns:a16="http://schemas.microsoft.com/office/drawing/2014/main" id="{54AF1FAF-C85A-4FA6-BD46-8290E7288FB1}"/>
              </a:ext>
            </a:extLst>
          </xdr:cNvPr>
          <xdr:cNvSpPr txBox="1"/>
        </xdr:nvSpPr>
        <xdr:spPr>
          <a:xfrm>
            <a:off x="495750" y="6635295"/>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6</a:t>
            </a:r>
            <a:endParaRPr lang="en-US">
              <a:solidFill>
                <a:schemeClr val="bg1"/>
              </a:solidFill>
              <a:effectLst/>
            </a:endParaRPr>
          </a:p>
        </xdr:txBody>
      </xdr:sp>
      <xdr:sp macro="" textlink="">
        <xdr:nvSpPr>
          <xdr:cNvPr id="44" name="TextBox 43">
            <a:hlinkClick xmlns:r="http://schemas.openxmlformats.org/officeDocument/2006/relationships" r:id="rId22"/>
            <a:extLst>
              <a:ext uri="{FF2B5EF4-FFF2-40B4-BE49-F238E27FC236}">
                <a16:creationId xmlns:a16="http://schemas.microsoft.com/office/drawing/2014/main" id="{1EF3F16E-6FA5-422D-BC95-CF969BD21B3B}"/>
              </a:ext>
            </a:extLst>
          </xdr:cNvPr>
          <xdr:cNvSpPr txBox="1"/>
        </xdr:nvSpPr>
        <xdr:spPr>
          <a:xfrm>
            <a:off x="495750" y="7135796"/>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7</a:t>
            </a:r>
            <a:endParaRPr lang="en-US">
              <a:solidFill>
                <a:schemeClr val="bg1"/>
              </a:solidFill>
              <a:effectLst/>
            </a:endParaRPr>
          </a:p>
        </xdr:txBody>
      </xdr:sp>
      <xdr:sp macro="" textlink="">
        <xdr:nvSpPr>
          <xdr:cNvPr id="45" name="TextBox 44">
            <a:hlinkClick xmlns:r="http://schemas.openxmlformats.org/officeDocument/2006/relationships" r:id="rId23"/>
            <a:extLst>
              <a:ext uri="{FF2B5EF4-FFF2-40B4-BE49-F238E27FC236}">
                <a16:creationId xmlns:a16="http://schemas.microsoft.com/office/drawing/2014/main" id="{72773BD8-1956-4053-9409-E47A7CDCF62D}"/>
              </a:ext>
            </a:extLst>
          </xdr:cNvPr>
          <xdr:cNvSpPr txBox="1"/>
        </xdr:nvSpPr>
        <xdr:spPr>
          <a:xfrm>
            <a:off x="495750" y="7636297"/>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8</a:t>
            </a:r>
            <a:endParaRPr lang="en-US">
              <a:solidFill>
                <a:schemeClr val="bg1"/>
              </a:solidFill>
              <a:effectLst/>
            </a:endParaRPr>
          </a:p>
        </xdr:txBody>
      </xdr:sp>
      <xdr:sp macro="" textlink="">
        <xdr:nvSpPr>
          <xdr:cNvPr id="46" name="TextBox 45">
            <a:hlinkClick xmlns:r="http://schemas.openxmlformats.org/officeDocument/2006/relationships" r:id="rId24"/>
            <a:extLst>
              <a:ext uri="{FF2B5EF4-FFF2-40B4-BE49-F238E27FC236}">
                <a16:creationId xmlns:a16="http://schemas.microsoft.com/office/drawing/2014/main" id="{8DB5AC5A-0DA0-4386-8546-69EE321B8769}"/>
              </a:ext>
            </a:extLst>
          </xdr:cNvPr>
          <xdr:cNvSpPr txBox="1"/>
        </xdr:nvSpPr>
        <xdr:spPr>
          <a:xfrm>
            <a:off x="495750" y="8136798"/>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9</a:t>
            </a:r>
            <a:endParaRPr lang="en-US">
              <a:solidFill>
                <a:schemeClr val="bg1"/>
              </a:solidFill>
              <a:effectLst/>
            </a:endParaRPr>
          </a:p>
        </xdr:txBody>
      </xdr:sp>
      <xdr:sp macro="" textlink="">
        <xdr:nvSpPr>
          <xdr:cNvPr id="47" name="TextBox 46">
            <a:hlinkClick xmlns:r="http://schemas.openxmlformats.org/officeDocument/2006/relationships" r:id="rId25"/>
            <a:extLst>
              <a:ext uri="{FF2B5EF4-FFF2-40B4-BE49-F238E27FC236}">
                <a16:creationId xmlns:a16="http://schemas.microsoft.com/office/drawing/2014/main" id="{D81F2BEB-41CB-45D5-A7C4-326AE49214FE}"/>
              </a:ext>
            </a:extLst>
          </xdr:cNvPr>
          <xdr:cNvSpPr txBox="1"/>
        </xdr:nvSpPr>
        <xdr:spPr>
          <a:xfrm>
            <a:off x="495750" y="8637299"/>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10</a:t>
            </a:r>
            <a:endParaRPr lang="en-US">
              <a:solidFill>
                <a:schemeClr val="bg1"/>
              </a:solidFill>
              <a:effectLst/>
            </a:endParaRPr>
          </a:p>
        </xdr:txBody>
      </xdr:sp>
      <xdr:sp macro="" textlink="">
        <xdr:nvSpPr>
          <xdr:cNvPr id="48" name="TextBox 47">
            <a:hlinkClick xmlns:r="http://schemas.openxmlformats.org/officeDocument/2006/relationships" r:id="rId26"/>
            <a:extLst>
              <a:ext uri="{FF2B5EF4-FFF2-40B4-BE49-F238E27FC236}">
                <a16:creationId xmlns:a16="http://schemas.microsoft.com/office/drawing/2014/main" id="{4789F6F1-C40F-47C8-88EA-EE4A56A23CC5}"/>
              </a:ext>
            </a:extLst>
          </xdr:cNvPr>
          <xdr:cNvSpPr txBox="1"/>
        </xdr:nvSpPr>
        <xdr:spPr>
          <a:xfrm>
            <a:off x="495750" y="913780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11</a:t>
            </a:r>
            <a:endParaRPr lang="en-US">
              <a:solidFill>
                <a:schemeClr val="bg1"/>
              </a:solidFill>
              <a:effectLst/>
            </a:endParaRPr>
          </a:p>
        </xdr:txBody>
      </xdr:sp>
      <xdr:sp macro="" textlink="">
        <xdr:nvSpPr>
          <xdr:cNvPr id="49" name="TextBox 48">
            <a:hlinkClick xmlns:r="http://schemas.openxmlformats.org/officeDocument/2006/relationships" r:id="rId27"/>
            <a:extLst>
              <a:ext uri="{FF2B5EF4-FFF2-40B4-BE49-F238E27FC236}">
                <a16:creationId xmlns:a16="http://schemas.microsoft.com/office/drawing/2014/main" id="{46A26C2F-24A9-43C3-A305-A63CAFBDED58}"/>
              </a:ext>
            </a:extLst>
          </xdr:cNvPr>
          <xdr:cNvSpPr txBox="1"/>
        </xdr:nvSpPr>
        <xdr:spPr>
          <a:xfrm>
            <a:off x="495750" y="9638301"/>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12</a:t>
            </a:r>
            <a:endParaRPr lang="en-US">
              <a:solidFill>
                <a:schemeClr val="bg1"/>
              </a:solidFill>
              <a:effectLst/>
            </a:endParaRPr>
          </a:p>
        </xdr:txBody>
      </xdr:sp>
      <xdr:sp macro="" textlink="">
        <xdr:nvSpPr>
          <xdr:cNvPr id="50" name="TextBox 49">
            <a:hlinkClick xmlns:r="http://schemas.openxmlformats.org/officeDocument/2006/relationships" r:id="rId28"/>
            <a:extLst>
              <a:ext uri="{FF2B5EF4-FFF2-40B4-BE49-F238E27FC236}">
                <a16:creationId xmlns:a16="http://schemas.microsoft.com/office/drawing/2014/main" id="{27CF4138-41A8-43B7-9E46-E3EF18A10F49}"/>
              </a:ext>
            </a:extLst>
          </xdr:cNvPr>
          <xdr:cNvSpPr txBox="1"/>
        </xdr:nvSpPr>
        <xdr:spPr>
          <a:xfrm>
            <a:off x="495750" y="1013881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b="1">
                <a:solidFill>
                  <a:schemeClr val="bg1"/>
                </a:solidFill>
                <a:effectLst/>
                <a:latin typeface="+mn-lt"/>
                <a:ea typeface="+mn-ea"/>
                <a:cs typeface="+mn-cs"/>
              </a:rPr>
              <a:t>Bảng</a:t>
            </a:r>
            <a:r>
              <a:rPr lang="en-US" sz="1100" b="1" baseline="0">
                <a:solidFill>
                  <a:schemeClr val="bg1"/>
                </a:solidFill>
                <a:effectLst/>
                <a:latin typeface="+mn-lt"/>
                <a:ea typeface="+mn-ea"/>
                <a:cs typeface="+mn-cs"/>
              </a:rPr>
              <a:t> khảo sát</a:t>
            </a:r>
            <a:endParaRPr lang="en-US">
              <a:solidFill>
                <a:schemeClr val="bg1"/>
              </a:solidFill>
              <a:effectLst/>
            </a:endParaRPr>
          </a:p>
        </xdr:txBody>
      </xdr:sp>
    </xdr:grpSp>
    <xdr:clientData/>
  </xdr:twoCellAnchor>
  <xdr:twoCellAnchor>
    <xdr:from>
      <xdr:col>3</xdr:col>
      <xdr:colOff>595313</xdr:colOff>
      <xdr:row>28</xdr:row>
      <xdr:rowOff>189819</xdr:rowOff>
    </xdr:from>
    <xdr:to>
      <xdr:col>8</xdr:col>
      <xdr:colOff>575882</xdr:colOff>
      <xdr:row>44</xdr:row>
      <xdr:rowOff>35038</xdr:rowOff>
    </xdr:to>
    <xdr:sp macro="" textlink="">
      <xdr:nvSpPr>
        <xdr:cNvPr id="51" name="Rectangle: Rounded Corners 50">
          <a:extLst>
            <a:ext uri="{FF2B5EF4-FFF2-40B4-BE49-F238E27FC236}">
              <a16:creationId xmlns:a16="http://schemas.microsoft.com/office/drawing/2014/main" id="{35D30CE5-9187-4A0D-96E2-969D62634B77}"/>
            </a:ext>
          </a:extLst>
        </xdr:cNvPr>
        <xdr:cNvSpPr/>
      </xdr:nvSpPr>
      <xdr:spPr>
        <a:xfrm>
          <a:off x="2416969" y="5523819"/>
          <a:ext cx="5266944" cy="2893219"/>
        </a:xfrm>
        <a:prstGeom prst="roundRect">
          <a:avLst/>
        </a:prstGeom>
        <a:solidFill>
          <a:schemeClr val="bg1">
            <a:lumMod val="95000"/>
            <a:alpha val="7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101717</xdr:colOff>
      <xdr:row>28</xdr:row>
      <xdr:rowOff>189819</xdr:rowOff>
    </xdr:from>
    <xdr:to>
      <xdr:col>19</xdr:col>
      <xdr:colOff>510149</xdr:colOff>
      <xdr:row>44</xdr:row>
      <xdr:rowOff>35038</xdr:rowOff>
    </xdr:to>
    <xdr:sp macro="" textlink="">
      <xdr:nvSpPr>
        <xdr:cNvPr id="53" name="Rectangle: Rounded Corners 52">
          <a:extLst>
            <a:ext uri="{FF2B5EF4-FFF2-40B4-BE49-F238E27FC236}">
              <a16:creationId xmlns:a16="http://schemas.microsoft.com/office/drawing/2014/main" id="{68BBE778-2C93-4A3C-B258-6F008653824D}"/>
            </a:ext>
          </a:extLst>
        </xdr:cNvPr>
        <xdr:cNvSpPr/>
      </xdr:nvSpPr>
      <xdr:spPr>
        <a:xfrm>
          <a:off x="7936030" y="5523819"/>
          <a:ext cx="8028432" cy="2893219"/>
        </a:xfrm>
        <a:prstGeom prst="roundRect">
          <a:avLst/>
        </a:prstGeom>
        <a:solidFill>
          <a:schemeClr val="bg1">
            <a:lumMod val="95000"/>
            <a:alpha val="7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59531</xdr:colOff>
      <xdr:row>29</xdr:row>
      <xdr:rowOff>95250</xdr:rowOff>
    </xdr:from>
    <xdr:to>
      <xdr:col>19</xdr:col>
      <xdr:colOff>500062</xdr:colOff>
      <xdr:row>44</xdr:row>
      <xdr:rowOff>11906</xdr:rowOff>
    </xdr:to>
    <xdr:graphicFrame macro="">
      <xdr:nvGraphicFramePr>
        <xdr:cNvPr id="60" name="Chart 59">
          <a:extLst>
            <a:ext uri="{FF2B5EF4-FFF2-40B4-BE49-F238E27FC236}">
              <a16:creationId xmlns:a16="http://schemas.microsoft.com/office/drawing/2014/main" id="{0C6EF00E-E85A-4624-A70A-2000D7FC52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12</xdr:col>
      <xdr:colOff>166689</xdr:colOff>
      <xdr:row>45</xdr:row>
      <xdr:rowOff>59530</xdr:rowOff>
    </xdr:from>
    <xdr:to>
      <xdr:col>19</xdr:col>
      <xdr:colOff>488156</xdr:colOff>
      <xdr:row>60</xdr:row>
      <xdr:rowOff>154827</xdr:rowOff>
    </xdr:to>
    <xdr:graphicFrame macro="">
      <xdr:nvGraphicFramePr>
        <xdr:cNvPr id="66" name="Chart 65">
          <a:extLst>
            <a:ext uri="{FF2B5EF4-FFF2-40B4-BE49-F238E27FC236}">
              <a16:creationId xmlns:a16="http://schemas.microsoft.com/office/drawing/2014/main" id="{77080791-397F-48D5-B0EE-E0AC9DE0C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editAs="absolute">
    <xdr:from>
      <xdr:col>9</xdr:col>
      <xdr:colOff>190499</xdr:colOff>
      <xdr:row>46</xdr:row>
      <xdr:rowOff>11906</xdr:rowOff>
    </xdr:from>
    <xdr:to>
      <xdr:col>12</xdr:col>
      <xdr:colOff>59531</xdr:colOff>
      <xdr:row>60</xdr:row>
      <xdr:rowOff>119062</xdr:rowOff>
    </xdr:to>
    <mc:AlternateContent xmlns:mc="http://schemas.openxmlformats.org/markup-compatibility/2006" xmlns:sle15="http://schemas.microsoft.com/office/drawing/2012/slicer">
      <mc:Choice Requires="sle15">
        <xdr:graphicFrame macro="">
          <xdr:nvGraphicFramePr>
            <xdr:cNvPr id="67" name="Chi phí phát triển bản thân">
              <a:extLst>
                <a:ext uri="{FF2B5EF4-FFF2-40B4-BE49-F238E27FC236}">
                  <a16:creationId xmlns:a16="http://schemas.microsoft.com/office/drawing/2014/main" id="{1B43FFC2-2FEF-4A8F-9B09-E447FF95E3A0}"/>
                </a:ext>
              </a:extLst>
            </xdr:cNvPr>
            <xdr:cNvGraphicFramePr/>
          </xdr:nvGraphicFramePr>
          <xdr:xfrm>
            <a:off x="0" y="0"/>
            <a:ext cx="0" cy="0"/>
          </xdr:xfrm>
          <a:graphic>
            <a:graphicData uri="http://schemas.microsoft.com/office/drawing/2010/slicer">
              <sle:slicer xmlns:sle="http://schemas.microsoft.com/office/drawing/2010/slicer" name="Chi phí phát triển bản thân"/>
            </a:graphicData>
          </a:graphic>
        </xdr:graphicFrame>
      </mc:Choice>
      <mc:Fallback xmlns="">
        <xdr:sp macro="" textlink="">
          <xdr:nvSpPr>
            <xdr:cNvPr id="5" name="Rectangle 4"/>
            <xdr:cNvSpPr>
              <a:spLocks noTextEdit="1"/>
            </xdr:cNvSpPr>
          </xdr:nvSpPr>
          <xdr:spPr>
            <a:xfrm>
              <a:off x="8024812" y="8774906"/>
              <a:ext cx="2047875" cy="277415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595313</xdr:colOff>
      <xdr:row>45</xdr:row>
      <xdr:rowOff>158352</xdr:rowOff>
    </xdr:from>
    <xdr:to>
      <xdr:col>8</xdr:col>
      <xdr:colOff>583406</xdr:colOff>
      <xdr:row>60</xdr:row>
      <xdr:rowOff>107155</xdr:rowOff>
    </xdr:to>
    <xdr:graphicFrame macro="">
      <xdr:nvGraphicFramePr>
        <xdr:cNvPr id="72" name="Chart 71">
          <a:extLst>
            <a:ext uri="{FF2B5EF4-FFF2-40B4-BE49-F238E27FC236}">
              <a16:creationId xmlns:a16="http://schemas.microsoft.com/office/drawing/2014/main" id="{518ABAD3-8BD4-4E4A-A4C1-ECB45FECA8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3</xdr:col>
      <xdr:colOff>410765</xdr:colOff>
      <xdr:row>29</xdr:row>
      <xdr:rowOff>63102</xdr:rowOff>
    </xdr:from>
    <xdr:to>
      <xdr:col>8</xdr:col>
      <xdr:colOff>391334</xdr:colOff>
      <xdr:row>43</xdr:row>
      <xdr:rowOff>139302</xdr:rowOff>
    </xdr:to>
    <xdr:graphicFrame macro="">
      <xdr:nvGraphicFramePr>
        <xdr:cNvPr id="6" name="Chart 48">
          <a:extLst>
            <a:ext uri="{FF2B5EF4-FFF2-40B4-BE49-F238E27FC236}">
              <a16:creationId xmlns:a16="http://schemas.microsoft.com/office/drawing/2014/main" id="{53F5E3D9-1266-48F7-BD7A-A7C1AC9E7E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190500</xdr:colOff>
      <xdr:row>0</xdr:row>
      <xdr:rowOff>103688</xdr:rowOff>
    </xdr:from>
    <xdr:to>
      <xdr:col>2</xdr:col>
      <xdr:colOff>472440</xdr:colOff>
      <xdr:row>3</xdr:row>
      <xdr:rowOff>24759</xdr:rowOff>
    </xdr:to>
    <xdr:grpSp>
      <xdr:nvGrpSpPr>
        <xdr:cNvPr id="2" name="Group 1">
          <a:hlinkClick xmlns:r="http://schemas.openxmlformats.org/officeDocument/2006/relationships" r:id="rId1"/>
          <a:extLst>
            <a:ext uri="{FF2B5EF4-FFF2-40B4-BE49-F238E27FC236}">
              <a16:creationId xmlns:a16="http://schemas.microsoft.com/office/drawing/2014/main" id="{CBDEB0A2-77D9-4E8E-95F0-A4CBA57F7EC0}"/>
            </a:ext>
          </a:extLst>
        </xdr:cNvPr>
        <xdr:cNvGrpSpPr/>
      </xdr:nvGrpSpPr>
      <xdr:grpSpPr>
        <a:xfrm>
          <a:off x="190500" y="103688"/>
          <a:ext cx="1596390" cy="492571"/>
          <a:chOff x="190500" y="103688"/>
          <a:chExt cx="1501140" cy="492571"/>
        </a:xfrm>
      </xdr:grpSpPr>
      <xdr:sp macro="" textlink="">
        <xdr:nvSpPr>
          <xdr:cNvPr id="3" name="TextBox 2">
            <a:extLst>
              <a:ext uri="{FF2B5EF4-FFF2-40B4-BE49-F238E27FC236}">
                <a16:creationId xmlns:a16="http://schemas.microsoft.com/office/drawing/2014/main" id="{D467E060-7E8C-4607-8984-A8E1EC9FABDF}"/>
              </a:ext>
            </a:extLst>
          </xdr:cNvPr>
          <xdr:cNvSpPr txBox="1"/>
        </xdr:nvSpPr>
        <xdr:spPr>
          <a:xfrm>
            <a:off x="457200" y="103688"/>
            <a:ext cx="1234440" cy="4925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300" b="1" baseline="0">
                <a:solidFill>
                  <a:schemeClr val="bg1"/>
                </a:solidFill>
                <a:latin typeface="Roboto" pitchFamily="2" charset="0"/>
                <a:ea typeface="Roboto" pitchFamily="2" charset="0"/>
                <a:cs typeface="Times New Roman" panose="02020603050405020304" pitchFamily="18" charset="0"/>
              </a:rPr>
              <a:t>TÀI CHÍNH</a:t>
            </a:r>
          </a:p>
          <a:p>
            <a:pPr algn="ctr"/>
            <a:r>
              <a:rPr lang="en-US" sz="1300" b="1" baseline="0">
                <a:solidFill>
                  <a:schemeClr val="bg1"/>
                </a:solidFill>
                <a:latin typeface="Roboto" pitchFamily="2" charset="0"/>
                <a:ea typeface="Roboto" pitchFamily="2" charset="0"/>
                <a:cs typeface="Times New Roman" panose="02020603050405020304" pitchFamily="18" charset="0"/>
              </a:rPr>
              <a:t>CÁ NHÂN</a:t>
            </a:r>
            <a:endParaRPr lang="en-US" sz="1300" b="1">
              <a:solidFill>
                <a:schemeClr val="bg1"/>
              </a:solidFill>
              <a:latin typeface="Roboto" pitchFamily="2" charset="0"/>
              <a:ea typeface="Roboto" pitchFamily="2" charset="0"/>
              <a:cs typeface="Times New Roman" panose="02020603050405020304" pitchFamily="18" charset="0"/>
            </a:endParaRPr>
          </a:p>
        </xdr:txBody>
      </xdr:sp>
      <xdr:pic>
        <xdr:nvPicPr>
          <xdr:cNvPr id="4" name="Graphic 3" descr="Diamond">
            <a:extLst>
              <a:ext uri="{FF2B5EF4-FFF2-40B4-BE49-F238E27FC236}">
                <a16:creationId xmlns:a16="http://schemas.microsoft.com/office/drawing/2014/main" id="{CC1459AB-6E5B-4686-8ADA-7E4A38B8542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90500" y="167093"/>
            <a:ext cx="365760" cy="365760"/>
          </a:xfrm>
          <a:prstGeom prst="rect">
            <a:avLst/>
          </a:prstGeom>
        </xdr:spPr>
      </xdr:pic>
    </xdr:grpSp>
    <xdr:clientData/>
  </xdr:twoCellAnchor>
  <xdr:twoCellAnchor>
    <xdr:from>
      <xdr:col>0</xdr:col>
      <xdr:colOff>345278</xdr:colOff>
      <xdr:row>4</xdr:row>
      <xdr:rowOff>0</xdr:rowOff>
    </xdr:from>
    <xdr:to>
      <xdr:col>3</xdr:col>
      <xdr:colOff>9210</xdr:colOff>
      <xdr:row>56</xdr:row>
      <xdr:rowOff>115056</xdr:rowOff>
    </xdr:to>
    <xdr:grpSp>
      <xdr:nvGrpSpPr>
        <xdr:cNvPr id="5" name="Group 4">
          <a:extLst>
            <a:ext uri="{FF2B5EF4-FFF2-40B4-BE49-F238E27FC236}">
              <a16:creationId xmlns:a16="http://schemas.microsoft.com/office/drawing/2014/main" id="{07B13A99-04BD-4F1D-9B30-252DD30BF8D0}"/>
            </a:ext>
          </a:extLst>
        </xdr:cNvPr>
        <xdr:cNvGrpSpPr/>
      </xdr:nvGrpSpPr>
      <xdr:grpSpPr>
        <a:xfrm>
          <a:off x="345278" y="752475"/>
          <a:ext cx="1635607" cy="9740069"/>
          <a:chOff x="350042" y="654846"/>
          <a:chExt cx="1485588" cy="10223462"/>
        </a:xfrm>
      </xdr:grpSpPr>
      <xdr:pic>
        <xdr:nvPicPr>
          <xdr:cNvPr id="6" name="Graphic 5">
            <a:extLst>
              <a:ext uri="{FF2B5EF4-FFF2-40B4-BE49-F238E27FC236}">
                <a16:creationId xmlns:a16="http://schemas.microsoft.com/office/drawing/2014/main" id="{6C819B73-E850-47D3-BDA1-FA2F34C13228}"/>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654846"/>
            <a:ext cx="1485588" cy="1214436"/>
          </a:xfrm>
          <a:prstGeom prst="rect">
            <a:avLst/>
          </a:prstGeom>
        </xdr:spPr>
      </xdr:pic>
      <xdr:pic>
        <xdr:nvPicPr>
          <xdr:cNvPr id="7" name="Graphic 6">
            <a:extLst>
              <a:ext uri="{FF2B5EF4-FFF2-40B4-BE49-F238E27FC236}">
                <a16:creationId xmlns:a16="http://schemas.microsoft.com/office/drawing/2014/main" id="{5E82E5D7-56CD-4C9E-BC22-4AE872AA33ED}"/>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1155347"/>
            <a:ext cx="1485588" cy="1214436"/>
          </a:xfrm>
          <a:prstGeom prst="rect">
            <a:avLst/>
          </a:prstGeom>
        </xdr:spPr>
      </xdr:pic>
      <xdr:pic>
        <xdr:nvPicPr>
          <xdr:cNvPr id="9" name="Graphic 8">
            <a:extLst>
              <a:ext uri="{FF2B5EF4-FFF2-40B4-BE49-F238E27FC236}">
                <a16:creationId xmlns:a16="http://schemas.microsoft.com/office/drawing/2014/main" id="{81AD4575-DD8F-4C55-9D28-684F78E0DBE7}"/>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2156349"/>
            <a:ext cx="1485588" cy="1214436"/>
          </a:xfrm>
          <a:prstGeom prst="rect">
            <a:avLst/>
          </a:prstGeom>
        </xdr:spPr>
      </xdr:pic>
      <xdr:pic>
        <xdr:nvPicPr>
          <xdr:cNvPr id="8" name="Graphic 7">
            <a:extLst>
              <a:ext uri="{FF2B5EF4-FFF2-40B4-BE49-F238E27FC236}">
                <a16:creationId xmlns:a16="http://schemas.microsoft.com/office/drawing/2014/main" id="{154D77BF-514E-4624-8F44-D331F407BEF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r="28388"/>
          <a:stretch/>
        </xdr:blipFill>
        <xdr:spPr>
          <a:xfrm>
            <a:off x="350042" y="1655848"/>
            <a:ext cx="1485588" cy="1214436"/>
          </a:xfrm>
          <a:prstGeom prst="rect">
            <a:avLst/>
          </a:prstGeom>
        </xdr:spPr>
      </xdr:pic>
      <xdr:pic>
        <xdr:nvPicPr>
          <xdr:cNvPr id="10" name="Graphic 9">
            <a:extLst>
              <a:ext uri="{FF2B5EF4-FFF2-40B4-BE49-F238E27FC236}">
                <a16:creationId xmlns:a16="http://schemas.microsoft.com/office/drawing/2014/main" id="{63569F09-CF1A-46E8-8184-972EB4238B6A}"/>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2656850"/>
            <a:ext cx="1485588" cy="1214436"/>
          </a:xfrm>
          <a:prstGeom prst="rect">
            <a:avLst/>
          </a:prstGeom>
        </xdr:spPr>
      </xdr:pic>
      <xdr:pic>
        <xdr:nvPicPr>
          <xdr:cNvPr id="11" name="Graphic 10">
            <a:extLst>
              <a:ext uri="{FF2B5EF4-FFF2-40B4-BE49-F238E27FC236}">
                <a16:creationId xmlns:a16="http://schemas.microsoft.com/office/drawing/2014/main" id="{F7CD9939-C924-4E84-8676-C6257038FA38}"/>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3157351"/>
            <a:ext cx="1485588" cy="1214436"/>
          </a:xfrm>
          <a:prstGeom prst="rect">
            <a:avLst/>
          </a:prstGeom>
        </xdr:spPr>
      </xdr:pic>
      <xdr:pic>
        <xdr:nvPicPr>
          <xdr:cNvPr id="12" name="Graphic 11">
            <a:extLst>
              <a:ext uri="{FF2B5EF4-FFF2-40B4-BE49-F238E27FC236}">
                <a16:creationId xmlns:a16="http://schemas.microsoft.com/office/drawing/2014/main" id="{1E0523D0-2AD8-470F-AE41-C1E1999204F9}"/>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3657852"/>
            <a:ext cx="1485588" cy="1214436"/>
          </a:xfrm>
          <a:prstGeom prst="rect">
            <a:avLst/>
          </a:prstGeom>
        </xdr:spPr>
      </xdr:pic>
      <xdr:pic>
        <xdr:nvPicPr>
          <xdr:cNvPr id="13" name="Graphic 12">
            <a:extLst>
              <a:ext uri="{FF2B5EF4-FFF2-40B4-BE49-F238E27FC236}">
                <a16:creationId xmlns:a16="http://schemas.microsoft.com/office/drawing/2014/main" id="{69946E89-561F-43A7-9518-4D175DF595EE}"/>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4158353"/>
            <a:ext cx="1485588" cy="1214436"/>
          </a:xfrm>
          <a:prstGeom prst="rect">
            <a:avLst/>
          </a:prstGeom>
        </xdr:spPr>
      </xdr:pic>
      <xdr:pic>
        <xdr:nvPicPr>
          <xdr:cNvPr id="14" name="Graphic 13">
            <a:extLst>
              <a:ext uri="{FF2B5EF4-FFF2-40B4-BE49-F238E27FC236}">
                <a16:creationId xmlns:a16="http://schemas.microsoft.com/office/drawing/2014/main" id="{2A7CE55C-2A4F-4E57-A0EF-D3CB83AEA249}"/>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4658854"/>
            <a:ext cx="1485588" cy="1214436"/>
          </a:xfrm>
          <a:prstGeom prst="rect">
            <a:avLst/>
          </a:prstGeom>
        </xdr:spPr>
      </xdr:pic>
      <xdr:pic>
        <xdr:nvPicPr>
          <xdr:cNvPr id="15" name="Graphic 14">
            <a:extLst>
              <a:ext uri="{FF2B5EF4-FFF2-40B4-BE49-F238E27FC236}">
                <a16:creationId xmlns:a16="http://schemas.microsoft.com/office/drawing/2014/main" id="{364FC826-91F4-4072-ABDA-21CBF5867F99}"/>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5159355"/>
            <a:ext cx="1485588" cy="1214436"/>
          </a:xfrm>
          <a:prstGeom prst="rect">
            <a:avLst/>
          </a:prstGeom>
        </xdr:spPr>
      </xdr:pic>
      <xdr:pic>
        <xdr:nvPicPr>
          <xdr:cNvPr id="16" name="Graphic 15">
            <a:extLst>
              <a:ext uri="{FF2B5EF4-FFF2-40B4-BE49-F238E27FC236}">
                <a16:creationId xmlns:a16="http://schemas.microsoft.com/office/drawing/2014/main" id="{B34C2C35-4217-4ABE-A815-D996493343A8}"/>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5659856"/>
            <a:ext cx="1485588" cy="1214436"/>
          </a:xfrm>
          <a:prstGeom prst="rect">
            <a:avLst/>
          </a:prstGeom>
        </xdr:spPr>
      </xdr:pic>
      <xdr:pic>
        <xdr:nvPicPr>
          <xdr:cNvPr id="17" name="Graphic 16">
            <a:extLst>
              <a:ext uri="{FF2B5EF4-FFF2-40B4-BE49-F238E27FC236}">
                <a16:creationId xmlns:a16="http://schemas.microsoft.com/office/drawing/2014/main" id="{41935C47-A2AD-441B-A06B-F60C8C0406CD}"/>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6160357"/>
            <a:ext cx="1485588" cy="1214436"/>
          </a:xfrm>
          <a:prstGeom prst="rect">
            <a:avLst/>
          </a:prstGeom>
        </xdr:spPr>
      </xdr:pic>
      <xdr:pic>
        <xdr:nvPicPr>
          <xdr:cNvPr id="18" name="Graphic 17">
            <a:extLst>
              <a:ext uri="{FF2B5EF4-FFF2-40B4-BE49-F238E27FC236}">
                <a16:creationId xmlns:a16="http://schemas.microsoft.com/office/drawing/2014/main" id="{15A50264-23C6-4C40-984F-511B1299144A}"/>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6660858"/>
            <a:ext cx="1485588" cy="1214436"/>
          </a:xfrm>
          <a:prstGeom prst="rect">
            <a:avLst/>
          </a:prstGeom>
        </xdr:spPr>
      </xdr:pic>
      <xdr:pic>
        <xdr:nvPicPr>
          <xdr:cNvPr id="19" name="Graphic 18">
            <a:extLst>
              <a:ext uri="{FF2B5EF4-FFF2-40B4-BE49-F238E27FC236}">
                <a16:creationId xmlns:a16="http://schemas.microsoft.com/office/drawing/2014/main" id="{457717EC-7E7D-416A-9C37-1AB97CC7235A}"/>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7161359"/>
            <a:ext cx="1485588" cy="1214436"/>
          </a:xfrm>
          <a:prstGeom prst="rect">
            <a:avLst/>
          </a:prstGeom>
        </xdr:spPr>
      </xdr:pic>
      <xdr:pic>
        <xdr:nvPicPr>
          <xdr:cNvPr id="20" name="Graphic 19">
            <a:extLst>
              <a:ext uri="{FF2B5EF4-FFF2-40B4-BE49-F238E27FC236}">
                <a16:creationId xmlns:a16="http://schemas.microsoft.com/office/drawing/2014/main" id="{D5F4EA62-68D2-4BDB-8DB5-106B0143EF86}"/>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7661860"/>
            <a:ext cx="1485588" cy="1214436"/>
          </a:xfrm>
          <a:prstGeom prst="rect">
            <a:avLst/>
          </a:prstGeom>
        </xdr:spPr>
      </xdr:pic>
      <xdr:pic>
        <xdr:nvPicPr>
          <xdr:cNvPr id="21" name="Graphic 20">
            <a:extLst>
              <a:ext uri="{FF2B5EF4-FFF2-40B4-BE49-F238E27FC236}">
                <a16:creationId xmlns:a16="http://schemas.microsoft.com/office/drawing/2014/main" id="{B5894115-3488-4A93-8060-6531D2787745}"/>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8162361"/>
            <a:ext cx="1485588" cy="1214436"/>
          </a:xfrm>
          <a:prstGeom prst="rect">
            <a:avLst/>
          </a:prstGeom>
        </xdr:spPr>
      </xdr:pic>
      <xdr:pic>
        <xdr:nvPicPr>
          <xdr:cNvPr id="22" name="Graphic 21">
            <a:extLst>
              <a:ext uri="{FF2B5EF4-FFF2-40B4-BE49-F238E27FC236}">
                <a16:creationId xmlns:a16="http://schemas.microsoft.com/office/drawing/2014/main" id="{CBF8AD4A-AFAD-46EF-98D6-83C38B9181D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8662862"/>
            <a:ext cx="1485588" cy="1214436"/>
          </a:xfrm>
          <a:prstGeom prst="rect">
            <a:avLst/>
          </a:prstGeom>
        </xdr:spPr>
      </xdr:pic>
      <xdr:pic>
        <xdr:nvPicPr>
          <xdr:cNvPr id="23" name="Graphic 22">
            <a:extLst>
              <a:ext uri="{FF2B5EF4-FFF2-40B4-BE49-F238E27FC236}">
                <a16:creationId xmlns:a16="http://schemas.microsoft.com/office/drawing/2014/main" id="{AC154FFE-F01D-4C8A-B870-047093CEA831}"/>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9163363"/>
            <a:ext cx="1485588" cy="1214436"/>
          </a:xfrm>
          <a:prstGeom prst="rect">
            <a:avLst/>
          </a:prstGeom>
        </xdr:spPr>
      </xdr:pic>
      <xdr:pic>
        <xdr:nvPicPr>
          <xdr:cNvPr id="24" name="Graphic 23">
            <a:extLst>
              <a:ext uri="{FF2B5EF4-FFF2-40B4-BE49-F238E27FC236}">
                <a16:creationId xmlns:a16="http://schemas.microsoft.com/office/drawing/2014/main" id="{E0F15B2A-5662-4C62-9BD2-972928BFC591}"/>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9663872"/>
            <a:ext cx="1485588" cy="1214436"/>
          </a:xfrm>
          <a:prstGeom prst="rect">
            <a:avLst/>
          </a:prstGeom>
        </xdr:spPr>
      </xdr:pic>
    </xdr:grpSp>
    <xdr:clientData/>
  </xdr:twoCellAnchor>
  <xdr:twoCellAnchor>
    <xdr:from>
      <xdr:col>0</xdr:col>
      <xdr:colOff>453617</xdr:colOff>
      <xdr:row>6</xdr:row>
      <xdr:rowOff>93938</xdr:rowOff>
    </xdr:from>
    <xdr:to>
      <xdr:col>2</xdr:col>
      <xdr:colOff>508089</xdr:colOff>
      <xdr:row>54</xdr:row>
      <xdr:rowOff>21118</xdr:rowOff>
    </xdr:to>
    <xdr:grpSp>
      <xdr:nvGrpSpPr>
        <xdr:cNvPr id="25" name="Group 24">
          <a:extLst>
            <a:ext uri="{FF2B5EF4-FFF2-40B4-BE49-F238E27FC236}">
              <a16:creationId xmlns:a16="http://schemas.microsoft.com/office/drawing/2014/main" id="{7CD551DB-BC61-4E62-B294-C0B9FBADF8C4}"/>
            </a:ext>
          </a:extLst>
        </xdr:cNvPr>
        <xdr:cNvGrpSpPr/>
      </xdr:nvGrpSpPr>
      <xdr:grpSpPr>
        <a:xfrm>
          <a:off x="453617" y="1227413"/>
          <a:ext cx="1368922" cy="8809243"/>
          <a:chOff x="487686" y="1129784"/>
          <a:chExt cx="1268910" cy="9273586"/>
        </a:xfrm>
      </xdr:grpSpPr>
      <xdr:sp macro="" textlink="">
        <xdr:nvSpPr>
          <xdr:cNvPr id="26" name="TextBox 25">
            <a:hlinkClick xmlns:r="http://schemas.openxmlformats.org/officeDocument/2006/relationships" r:id="rId8"/>
            <a:extLst>
              <a:ext uri="{FF2B5EF4-FFF2-40B4-BE49-F238E27FC236}">
                <a16:creationId xmlns:a16="http://schemas.microsoft.com/office/drawing/2014/main" id="{2545DF14-177F-4F30-8A44-BFAAC14ACEF2}"/>
              </a:ext>
            </a:extLst>
          </xdr:cNvPr>
          <xdr:cNvSpPr txBox="1"/>
        </xdr:nvSpPr>
        <xdr:spPr>
          <a:xfrm>
            <a:off x="784825" y="1129784"/>
            <a:ext cx="67317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Từ</a:t>
            </a:r>
            <a:r>
              <a:rPr lang="en-US" sz="1100" b="1" baseline="0">
                <a:solidFill>
                  <a:schemeClr val="bg1"/>
                </a:solidFill>
              </a:rPr>
              <a:t> khóa</a:t>
            </a:r>
            <a:endParaRPr lang="en-US" sz="1100" b="1">
              <a:solidFill>
                <a:schemeClr val="bg1"/>
              </a:solidFill>
            </a:endParaRPr>
          </a:p>
        </xdr:txBody>
      </xdr:sp>
      <xdr:sp macro="" textlink="">
        <xdr:nvSpPr>
          <xdr:cNvPr id="27" name="TextBox 26">
            <a:hlinkClick xmlns:r="http://schemas.openxmlformats.org/officeDocument/2006/relationships" r:id="rId9"/>
            <a:extLst>
              <a:ext uri="{FF2B5EF4-FFF2-40B4-BE49-F238E27FC236}">
                <a16:creationId xmlns:a16="http://schemas.microsoft.com/office/drawing/2014/main" id="{3DC918C2-E37D-414F-AAD6-12C306D53E24}"/>
              </a:ext>
            </a:extLst>
          </xdr:cNvPr>
          <xdr:cNvSpPr txBox="1"/>
        </xdr:nvSpPr>
        <xdr:spPr>
          <a:xfrm>
            <a:off x="708434" y="1630285"/>
            <a:ext cx="82595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Dashboard</a:t>
            </a:r>
          </a:p>
        </xdr:txBody>
      </xdr:sp>
      <xdr:sp macro="" textlink="">
        <xdr:nvSpPr>
          <xdr:cNvPr id="28" name="TextBox 27">
            <a:hlinkClick xmlns:r="http://schemas.openxmlformats.org/officeDocument/2006/relationships" r:id="rId10"/>
            <a:extLst>
              <a:ext uri="{FF2B5EF4-FFF2-40B4-BE49-F238E27FC236}">
                <a16:creationId xmlns:a16="http://schemas.microsoft.com/office/drawing/2014/main" id="{3652DB61-D5D3-443D-8461-2ED2E281360C}"/>
              </a:ext>
            </a:extLst>
          </xdr:cNvPr>
          <xdr:cNvSpPr txBox="1"/>
        </xdr:nvSpPr>
        <xdr:spPr>
          <a:xfrm>
            <a:off x="495750" y="2130786"/>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ysClr val="windowText" lastClr="000000"/>
                </a:solidFill>
                <a:effectLst/>
                <a:latin typeface="+mn-lt"/>
                <a:ea typeface="+mn-ea"/>
                <a:cs typeface="+mn-cs"/>
              </a:rPr>
              <a:t>Mục</a:t>
            </a:r>
            <a:r>
              <a:rPr lang="en-US" sz="1100" b="1" baseline="0">
                <a:solidFill>
                  <a:sysClr val="windowText" lastClr="000000"/>
                </a:solidFill>
                <a:effectLst/>
                <a:latin typeface="+mn-lt"/>
                <a:ea typeface="+mn-ea"/>
                <a:cs typeface="+mn-cs"/>
              </a:rPr>
              <a:t> tiêu bản thân</a:t>
            </a:r>
            <a:endParaRPr lang="en-US">
              <a:solidFill>
                <a:sysClr val="windowText" lastClr="000000"/>
              </a:solidFill>
              <a:effectLst/>
            </a:endParaRPr>
          </a:p>
        </xdr:txBody>
      </xdr:sp>
      <xdr:sp macro="" textlink="">
        <xdr:nvSpPr>
          <xdr:cNvPr id="29" name="TextBox 28">
            <a:hlinkClick xmlns:r="http://schemas.openxmlformats.org/officeDocument/2006/relationships" r:id="rId11"/>
            <a:extLst>
              <a:ext uri="{FF2B5EF4-FFF2-40B4-BE49-F238E27FC236}">
                <a16:creationId xmlns:a16="http://schemas.microsoft.com/office/drawing/2014/main" id="{990D717D-E5C1-4E5A-85AF-AD4E1C58BD92}"/>
              </a:ext>
            </a:extLst>
          </xdr:cNvPr>
          <xdr:cNvSpPr txBox="1"/>
        </xdr:nvSpPr>
        <xdr:spPr>
          <a:xfrm>
            <a:off x="495750" y="2631287"/>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Mục</a:t>
            </a:r>
            <a:r>
              <a:rPr lang="en-US" sz="1100" b="1" baseline="0">
                <a:solidFill>
                  <a:schemeClr val="bg1"/>
                </a:solidFill>
                <a:effectLst/>
                <a:latin typeface="+mn-lt"/>
                <a:ea typeface="+mn-ea"/>
                <a:cs typeface="+mn-cs"/>
              </a:rPr>
              <a:t> tiêu tài chính</a:t>
            </a:r>
            <a:endParaRPr lang="en-US">
              <a:solidFill>
                <a:schemeClr val="bg1"/>
              </a:solidFill>
              <a:effectLst/>
            </a:endParaRPr>
          </a:p>
        </xdr:txBody>
      </xdr:sp>
      <xdr:sp macro="" textlink="">
        <xdr:nvSpPr>
          <xdr:cNvPr id="30" name="TextBox 29">
            <a:hlinkClick xmlns:r="http://schemas.openxmlformats.org/officeDocument/2006/relationships" r:id="rId12"/>
            <a:extLst>
              <a:ext uri="{FF2B5EF4-FFF2-40B4-BE49-F238E27FC236}">
                <a16:creationId xmlns:a16="http://schemas.microsoft.com/office/drawing/2014/main" id="{D81B4317-479D-4ADD-AD1E-A99CE4A1EF66}"/>
              </a:ext>
            </a:extLst>
          </xdr:cNvPr>
          <xdr:cNvSpPr txBox="1"/>
        </xdr:nvSpPr>
        <xdr:spPr>
          <a:xfrm>
            <a:off x="487686" y="3020663"/>
            <a:ext cx="1260846" cy="459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b="1">
                <a:solidFill>
                  <a:schemeClr val="bg1"/>
                </a:solidFill>
                <a:effectLst/>
                <a:latin typeface="+mn-lt"/>
                <a:ea typeface="+mn-ea"/>
                <a:cs typeface="+mn-cs"/>
              </a:rPr>
              <a:t>Cân</a:t>
            </a:r>
            <a:r>
              <a:rPr lang="en-US" sz="1100" b="1" baseline="0">
                <a:solidFill>
                  <a:schemeClr val="bg1"/>
                </a:solidFill>
                <a:effectLst/>
                <a:latin typeface="+mn-lt"/>
                <a:ea typeface="+mn-ea"/>
                <a:cs typeface="+mn-cs"/>
              </a:rPr>
              <a:t> đối</a:t>
            </a:r>
            <a:endParaRPr lang="en-US">
              <a:solidFill>
                <a:schemeClr val="bg1"/>
              </a:solidFill>
              <a:effectLst/>
            </a:endParaRPr>
          </a:p>
          <a:p>
            <a:pPr algn="ctr"/>
            <a:r>
              <a:rPr lang="en-US" sz="1100" b="1" baseline="0">
                <a:solidFill>
                  <a:schemeClr val="bg1"/>
                </a:solidFill>
                <a:effectLst/>
                <a:latin typeface="+mn-lt"/>
                <a:ea typeface="+mn-ea"/>
                <a:cs typeface="+mn-cs"/>
              </a:rPr>
              <a:t>l</a:t>
            </a:r>
            <a:r>
              <a:rPr lang="en-US" sz="1100" b="1">
                <a:solidFill>
                  <a:schemeClr val="bg1"/>
                </a:solidFill>
                <a:effectLst/>
                <a:latin typeface="+mn-lt"/>
                <a:ea typeface="+mn-ea"/>
                <a:cs typeface="+mn-cs"/>
              </a:rPr>
              <a:t>ộ</a:t>
            </a:r>
            <a:r>
              <a:rPr lang="en-US" sz="1100" b="1" baseline="0">
                <a:solidFill>
                  <a:schemeClr val="bg1"/>
                </a:solidFill>
                <a:effectLst/>
                <a:latin typeface="+mn-lt"/>
                <a:ea typeface="+mn-ea"/>
                <a:cs typeface="+mn-cs"/>
              </a:rPr>
              <a:t> trình nghề nghiệp</a:t>
            </a:r>
            <a:endParaRPr lang="en-US">
              <a:solidFill>
                <a:schemeClr val="bg1"/>
              </a:solidFill>
              <a:effectLst/>
            </a:endParaRPr>
          </a:p>
        </xdr:txBody>
      </xdr:sp>
      <xdr:sp macro="" textlink="">
        <xdr:nvSpPr>
          <xdr:cNvPr id="31" name="TextBox 30">
            <a:hlinkClick xmlns:r="http://schemas.openxmlformats.org/officeDocument/2006/relationships" r:id="rId13"/>
            <a:extLst>
              <a:ext uri="{FF2B5EF4-FFF2-40B4-BE49-F238E27FC236}">
                <a16:creationId xmlns:a16="http://schemas.microsoft.com/office/drawing/2014/main" id="{46CA0C32-D73E-4E5A-A451-2AB67F52DC6D}"/>
              </a:ext>
            </a:extLst>
          </xdr:cNvPr>
          <xdr:cNvSpPr txBox="1"/>
        </xdr:nvSpPr>
        <xdr:spPr>
          <a:xfrm>
            <a:off x="487686" y="3521164"/>
            <a:ext cx="1260846" cy="459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100" b="1">
                <a:solidFill>
                  <a:schemeClr val="bg1"/>
                </a:solidFill>
                <a:effectLst/>
                <a:latin typeface="+mn-lt"/>
                <a:ea typeface="+mn-ea"/>
                <a:cs typeface="+mn-cs"/>
              </a:rPr>
              <a:t>Kế</a:t>
            </a:r>
            <a:r>
              <a:rPr lang="en-US" sz="1100" b="1" baseline="0">
                <a:solidFill>
                  <a:schemeClr val="bg1"/>
                </a:solidFill>
                <a:effectLst/>
                <a:latin typeface="+mn-lt"/>
                <a:ea typeface="+mn-ea"/>
                <a:cs typeface="+mn-cs"/>
              </a:rPr>
              <a:t> hoạch </a:t>
            </a:r>
          </a:p>
          <a:p>
            <a:pPr algn="ctr"/>
            <a:r>
              <a:rPr lang="en-US" sz="1100" b="1" baseline="0">
                <a:solidFill>
                  <a:schemeClr val="bg1"/>
                </a:solidFill>
                <a:effectLst/>
                <a:latin typeface="+mn-lt"/>
                <a:ea typeface="+mn-ea"/>
                <a:cs typeface="+mn-cs"/>
              </a:rPr>
              <a:t>thu nhập &amp; chi tiêu</a:t>
            </a:r>
            <a:endParaRPr lang="en-US">
              <a:solidFill>
                <a:schemeClr val="bg1"/>
              </a:solidFill>
              <a:effectLst/>
            </a:endParaRPr>
          </a:p>
        </xdr:txBody>
      </xdr:sp>
      <xdr:sp macro="" textlink="">
        <xdr:nvSpPr>
          <xdr:cNvPr id="32" name="TextBox 31">
            <a:hlinkClick xmlns:r="http://schemas.openxmlformats.org/officeDocument/2006/relationships" r:id="rId14"/>
            <a:extLst>
              <a:ext uri="{FF2B5EF4-FFF2-40B4-BE49-F238E27FC236}">
                <a16:creationId xmlns:a16="http://schemas.microsoft.com/office/drawing/2014/main" id="{FE3C481A-2625-4FA1-95BB-B8912737E14E}"/>
              </a:ext>
            </a:extLst>
          </xdr:cNvPr>
          <xdr:cNvSpPr txBox="1"/>
        </xdr:nvSpPr>
        <xdr:spPr>
          <a:xfrm>
            <a:off x="495750" y="413279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a:t>
            </a:r>
            <a:endParaRPr lang="en-US">
              <a:solidFill>
                <a:schemeClr val="bg1"/>
              </a:solidFill>
              <a:effectLst/>
            </a:endParaRPr>
          </a:p>
        </xdr:txBody>
      </xdr:sp>
      <xdr:sp macro="" textlink="">
        <xdr:nvSpPr>
          <xdr:cNvPr id="33" name="TextBox 32">
            <a:hlinkClick xmlns:r="http://schemas.openxmlformats.org/officeDocument/2006/relationships" r:id="rId15"/>
            <a:extLst>
              <a:ext uri="{FF2B5EF4-FFF2-40B4-BE49-F238E27FC236}">
                <a16:creationId xmlns:a16="http://schemas.microsoft.com/office/drawing/2014/main" id="{2FC49314-8687-4C91-B3B8-7412A6354FBB}"/>
              </a:ext>
            </a:extLst>
          </xdr:cNvPr>
          <xdr:cNvSpPr txBox="1"/>
        </xdr:nvSpPr>
        <xdr:spPr>
          <a:xfrm>
            <a:off x="495750" y="4633291"/>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2</a:t>
            </a:r>
            <a:endParaRPr lang="en-US">
              <a:solidFill>
                <a:schemeClr val="bg1"/>
              </a:solidFill>
              <a:effectLst/>
            </a:endParaRPr>
          </a:p>
        </xdr:txBody>
      </xdr:sp>
      <xdr:sp macro="" textlink="">
        <xdr:nvSpPr>
          <xdr:cNvPr id="34" name="TextBox 33">
            <a:hlinkClick xmlns:r="http://schemas.openxmlformats.org/officeDocument/2006/relationships" r:id="rId16"/>
            <a:extLst>
              <a:ext uri="{FF2B5EF4-FFF2-40B4-BE49-F238E27FC236}">
                <a16:creationId xmlns:a16="http://schemas.microsoft.com/office/drawing/2014/main" id="{D50C818B-FCEE-4E7F-824D-7E811C67D1BF}"/>
              </a:ext>
            </a:extLst>
          </xdr:cNvPr>
          <xdr:cNvSpPr txBox="1"/>
        </xdr:nvSpPr>
        <xdr:spPr>
          <a:xfrm>
            <a:off x="495750" y="5133792"/>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3</a:t>
            </a:r>
            <a:endParaRPr lang="en-US">
              <a:solidFill>
                <a:schemeClr val="bg1"/>
              </a:solidFill>
              <a:effectLst/>
            </a:endParaRPr>
          </a:p>
        </xdr:txBody>
      </xdr:sp>
      <xdr:sp macro="" textlink="">
        <xdr:nvSpPr>
          <xdr:cNvPr id="35" name="TextBox 34">
            <a:hlinkClick xmlns:r="http://schemas.openxmlformats.org/officeDocument/2006/relationships" r:id="rId17"/>
            <a:extLst>
              <a:ext uri="{FF2B5EF4-FFF2-40B4-BE49-F238E27FC236}">
                <a16:creationId xmlns:a16="http://schemas.microsoft.com/office/drawing/2014/main" id="{52119216-572A-4EDA-997A-1A023482F2ED}"/>
              </a:ext>
            </a:extLst>
          </xdr:cNvPr>
          <xdr:cNvSpPr txBox="1"/>
        </xdr:nvSpPr>
        <xdr:spPr>
          <a:xfrm>
            <a:off x="495750" y="5634293"/>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4</a:t>
            </a:r>
            <a:endParaRPr lang="en-US">
              <a:solidFill>
                <a:schemeClr val="bg1"/>
              </a:solidFill>
              <a:effectLst/>
            </a:endParaRPr>
          </a:p>
        </xdr:txBody>
      </xdr:sp>
      <xdr:sp macro="" textlink="">
        <xdr:nvSpPr>
          <xdr:cNvPr id="36" name="TextBox 35">
            <a:hlinkClick xmlns:r="http://schemas.openxmlformats.org/officeDocument/2006/relationships" r:id="rId18"/>
            <a:extLst>
              <a:ext uri="{FF2B5EF4-FFF2-40B4-BE49-F238E27FC236}">
                <a16:creationId xmlns:a16="http://schemas.microsoft.com/office/drawing/2014/main" id="{3E70EA98-9F0B-46FD-983F-C136FA4AD0CE}"/>
              </a:ext>
            </a:extLst>
          </xdr:cNvPr>
          <xdr:cNvSpPr txBox="1"/>
        </xdr:nvSpPr>
        <xdr:spPr>
          <a:xfrm>
            <a:off x="495750" y="6134794"/>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5</a:t>
            </a:r>
            <a:endParaRPr lang="en-US">
              <a:solidFill>
                <a:schemeClr val="bg1"/>
              </a:solidFill>
              <a:effectLst/>
            </a:endParaRPr>
          </a:p>
        </xdr:txBody>
      </xdr:sp>
      <xdr:sp macro="" textlink="">
        <xdr:nvSpPr>
          <xdr:cNvPr id="37" name="TextBox 36">
            <a:hlinkClick xmlns:r="http://schemas.openxmlformats.org/officeDocument/2006/relationships" r:id="rId19"/>
            <a:extLst>
              <a:ext uri="{FF2B5EF4-FFF2-40B4-BE49-F238E27FC236}">
                <a16:creationId xmlns:a16="http://schemas.microsoft.com/office/drawing/2014/main" id="{51402B3D-E2AF-4C89-87DA-E183C2016C20}"/>
              </a:ext>
            </a:extLst>
          </xdr:cNvPr>
          <xdr:cNvSpPr txBox="1"/>
        </xdr:nvSpPr>
        <xdr:spPr>
          <a:xfrm>
            <a:off x="495750" y="6635295"/>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6</a:t>
            </a:r>
            <a:endParaRPr lang="en-US">
              <a:solidFill>
                <a:schemeClr val="bg1"/>
              </a:solidFill>
              <a:effectLst/>
            </a:endParaRPr>
          </a:p>
        </xdr:txBody>
      </xdr:sp>
      <xdr:sp macro="" textlink="">
        <xdr:nvSpPr>
          <xdr:cNvPr id="38" name="TextBox 37">
            <a:hlinkClick xmlns:r="http://schemas.openxmlformats.org/officeDocument/2006/relationships" r:id="rId20"/>
            <a:extLst>
              <a:ext uri="{FF2B5EF4-FFF2-40B4-BE49-F238E27FC236}">
                <a16:creationId xmlns:a16="http://schemas.microsoft.com/office/drawing/2014/main" id="{F7AA2A25-7D88-46B4-B41F-9DC771ABBE44}"/>
              </a:ext>
            </a:extLst>
          </xdr:cNvPr>
          <xdr:cNvSpPr txBox="1"/>
        </xdr:nvSpPr>
        <xdr:spPr>
          <a:xfrm>
            <a:off x="495750" y="7135796"/>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7</a:t>
            </a:r>
            <a:endParaRPr lang="en-US">
              <a:solidFill>
                <a:schemeClr val="bg1"/>
              </a:solidFill>
              <a:effectLst/>
            </a:endParaRPr>
          </a:p>
        </xdr:txBody>
      </xdr:sp>
      <xdr:sp macro="" textlink="">
        <xdr:nvSpPr>
          <xdr:cNvPr id="39" name="TextBox 38">
            <a:hlinkClick xmlns:r="http://schemas.openxmlformats.org/officeDocument/2006/relationships" r:id="rId21"/>
            <a:extLst>
              <a:ext uri="{FF2B5EF4-FFF2-40B4-BE49-F238E27FC236}">
                <a16:creationId xmlns:a16="http://schemas.microsoft.com/office/drawing/2014/main" id="{F0EC8ADD-502F-437C-98B8-FC307F5F4EE0}"/>
              </a:ext>
            </a:extLst>
          </xdr:cNvPr>
          <xdr:cNvSpPr txBox="1"/>
        </xdr:nvSpPr>
        <xdr:spPr>
          <a:xfrm>
            <a:off x="495750" y="7636297"/>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8</a:t>
            </a:r>
            <a:endParaRPr lang="en-US">
              <a:solidFill>
                <a:schemeClr val="bg1"/>
              </a:solidFill>
              <a:effectLst/>
            </a:endParaRPr>
          </a:p>
        </xdr:txBody>
      </xdr:sp>
      <xdr:sp macro="" textlink="">
        <xdr:nvSpPr>
          <xdr:cNvPr id="40" name="TextBox 39">
            <a:hlinkClick xmlns:r="http://schemas.openxmlformats.org/officeDocument/2006/relationships" r:id="rId22"/>
            <a:extLst>
              <a:ext uri="{FF2B5EF4-FFF2-40B4-BE49-F238E27FC236}">
                <a16:creationId xmlns:a16="http://schemas.microsoft.com/office/drawing/2014/main" id="{E5804F21-44F8-4E50-9387-955D911CAE73}"/>
              </a:ext>
            </a:extLst>
          </xdr:cNvPr>
          <xdr:cNvSpPr txBox="1"/>
        </xdr:nvSpPr>
        <xdr:spPr>
          <a:xfrm>
            <a:off x="495750" y="8136798"/>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9</a:t>
            </a:r>
            <a:endParaRPr lang="en-US">
              <a:solidFill>
                <a:schemeClr val="bg1"/>
              </a:solidFill>
              <a:effectLst/>
            </a:endParaRPr>
          </a:p>
        </xdr:txBody>
      </xdr:sp>
      <xdr:sp macro="" textlink="">
        <xdr:nvSpPr>
          <xdr:cNvPr id="41" name="TextBox 40">
            <a:hlinkClick xmlns:r="http://schemas.openxmlformats.org/officeDocument/2006/relationships" r:id="rId23"/>
            <a:extLst>
              <a:ext uri="{FF2B5EF4-FFF2-40B4-BE49-F238E27FC236}">
                <a16:creationId xmlns:a16="http://schemas.microsoft.com/office/drawing/2014/main" id="{B42FF085-2D0F-4E4C-9217-D0DEB95EB196}"/>
              </a:ext>
            </a:extLst>
          </xdr:cNvPr>
          <xdr:cNvSpPr txBox="1"/>
        </xdr:nvSpPr>
        <xdr:spPr>
          <a:xfrm>
            <a:off x="495750" y="8637299"/>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10</a:t>
            </a:r>
            <a:endParaRPr lang="en-US">
              <a:solidFill>
                <a:schemeClr val="bg1"/>
              </a:solidFill>
              <a:effectLst/>
            </a:endParaRPr>
          </a:p>
        </xdr:txBody>
      </xdr:sp>
      <xdr:sp macro="" textlink="">
        <xdr:nvSpPr>
          <xdr:cNvPr id="42" name="TextBox 41">
            <a:hlinkClick xmlns:r="http://schemas.openxmlformats.org/officeDocument/2006/relationships" r:id="rId24"/>
            <a:extLst>
              <a:ext uri="{FF2B5EF4-FFF2-40B4-BE49-F238E27FC236}">
                <a16:creationId xmlns:a16="http://schemas.microsoft.com/office/drawing/2014/main" id="{08680F5F-DDA8-4627-BDC3-1A83E8ECD34F}"/>
              </a:ext>
            </a:extLst>
          </xdr:cNvPr>
          <xdr:cNvSpPr txBox="1"/>
        </xdr:nvSpPr>
        <xdr:spPr>
          <a:xfrm>
            <a:off x="495750" y="913780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11</a:t>
            </a:r>
            <a:endParaRPr lang="en-US">
              <a:solidFill>
                <a:schemeClr val="bg1"/>
              </a:solidFill>
              <a:effectLst/>
            </a:endParaRPr>
          </a:p>
        </xdr:txBody>
      </xdr:sp>
      <xdr:sp macro="" textlink="">
        <xdr:nvSpPr>
          <xdr:cNvPr id="43" name="TextBox 42">
            <a:hlinkClick xmlns:r="http://schemas.openxmlformats.org/officeDocument/2006/relationships" r:id="rId25"/>
            <a:extLst>
              <a:ext uri="{FF2B5EF4-FFF2-40B4-BE49-F238E27FC236}">
                <a16:creationId xmlns:a16="http://schemas.microsoft.com/office/drawing/2014/main" id="{12D3A698-2183-4F12-A665-53B132C834A6}"/>
              </a:ext>
            </a:extLst>
          </xdr:cNvPr>
          <xdr:cNvSpPr txBox="1"/>
        </xdr:nvSpPr>
        <xdr:spPr>
          <a:xfrm>
            <a:off x="495750" y="9638301"/>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12</a:t>
            </a:r>
            <a:endParaRPr lang="en-US">
              <a:solidFill>
                <a:schemeClr val="bg1"/>
              </a:solidFill>
              <a:effectLst/>
            </a:endParaRPr>
          </a:p>
        </xdr:txBody>
      </xdr:sp>
      <xdr:sp macro="" textlink="">
        <xdr:nvSpPr>
          <xdr:cNvPr id="44" name="TextBox 43">
            <a:hlinkClick xmlns:r="http://schemas.openxmlformats.org/officeDocument/2006/relationships" r:id="rId26"/>
            <a:extLst>
              <a:ext uri="{FF2B5EF4-FFF2-40B4-BE49-F238E27FC236}">
                <a16:creationId xmlns:a16="http://schemas.microsoft.com/office/drawing/2014/main" id="{D69E9F32-64AC-49F1-A053-9A04FF86447A}"/>
              </a:ext>
            </a:extLst>
          </xdr:cNvPr>
          <xdr:cNvSpPr txBox="1"/>
        </xdr:nvSpPr>
        <xdr:spPr>
          <a:xfrm>
            <a:off x="495750" y="1013881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b="1">
                <a:solidFill>
                  <a:schemeClr val="bg1"/>
                </a:solidFill>
                <a:effectLst/>
                <a:latin typeface="+mn-lt"/>
                <a:ea typeface="+mn-ea"/>
                <a:cs typeface="+mn-cs"/>
              </a:rPr>
              <a:t>Bảng</a:t>
            </a:r>
            <a:r>
              <a:rPr lang="en-US" sz="1100" b="1" baseline="0">
                <a:solidFill>
                  <a:schemeClr val="bg1"/>
                </a:solidFill>
                <a:effectLst/>
                <a:latin typeface="+mn-lt"/>
                <a:ea typeface="+mn-ea"/>
                <a:cs typeface="+mn-cs"/>
              </a:rPr>
              <a:t> khảo sát</a:t>
            </a:r>
            <a:endParaRPr lang="en-US">
              <a:solidFill>
                <a:schemeClr val="bg1"/>
              </a:solidFill>
              <a:effectLst/>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190500</xdr:colOff>
      <xdr:row>0</xdr:row>
      <xdr:rowOff>103688</xdr:rowOff>
    </xdr:from>
    <xdr:to>
      <xdr:col>2</xdr:col>
      <xdr:colOff>472440</xdr:colOff>
      <xdr:row>3</xdr:row>
      <xdr:rowOff>24759</xdr:rowOff>
    </xdr:to>
    <xdr:grpSp>
      <xdr:nvGrpSpPr>
        <xdr:cNvPr id="2" name="Group 1">
          <a:hlinkClick xmlns:r="http://schemas.openxmlformats.org/officeDocument/2006/relationships" r:id="rId1"/>
          <a:extLst>
            <a:ext uri="{FF2B5EF4-FFF2-40B4-BE49-F238E27FC236}">
              <a16:creationId xmlns:a16="http://schemas.microsoft.com/office/drawing/2014/main" id="{BFF5160F-A0B0-4716-AE06-FE3104CA360B}"/>
            </a:ext>
          </a:extLst>
        </xdr:cNvPr>
        <xdr:cNvGrpSpPr/>
      </xdr:nvGrpSpPr>
      <xdr:grpSpPr>
        <a:xfrm>
          <a:off x="190500" y="103688"/>
          <a:ext cx="1601833" cy="485768"/>
          <a:chOff x="190500" y="103688"/>
          <a:chExt cx="1501140" cy="492571"/>
        </a:xfrm>
      </xdr:grpSpPr>
      <xdr:sp macro="" textlink="">
        <xdr:nvSpPr>
          <xdr:cNvPr id="3" name="TextBox 2">
            <a:extLst>
              <a:ext uri="{FF2B5EF4-FFF2-40B4-BE49-F238E27FC236}">
                <a16:creationId xmlns:a16="http://schemas.microsoft.com/office/drawing/2014/main" id="{85B3666F-52D0-4886-9CA0-CF5CBFF49E64}"/>
              </a:ext>
            </a:extLst>
          </xdr:cNvPr>
          <xdr:cNvSpPr txBox="1"/>
        </xdr:nvSpPr>
        <xdr:spPr>
          <a:xfrm>
            <a:off x="457200" y="103688"/>
            <a:ext cx="1234440" cy="4925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300" b="1" baseline="0">
                <a:solidFill>
                  <a:schemeClr val="bg1"/>
                </a:solidFill>
                <a:latin typeface="Roboto" pitchFamily="2" charset="0"/>
                <a:ea typeface="Roboto" pitchFamily="2" charset="0"/>
                <a:cs typeface="Times New Roman" panose="02020603050405020304" pitchFamily="18" charset="0"/>
              </a:rPr>
              <a:t>TÀI CHÍNH</a:t>
            </a:r>
          </a:p>
          <a:p>
            <a:pPr algn="ctr"/>
            <a:r>
              <a:rPr lang="en-US" sz="1300" b="1" baseline="0">
                <a:solidFill>
                  <a:schemeClr val="bg1"/>
                </a:solidFill>
                <a:latin typeface="Roboto" pitchFamily="2" charset="0"/>
                <a:ea typeface="Roboto" pitchFamily="2" charset="0"/>
                <a:cs typeface="Times New Roman" panose="02020603050405020304" pitchFamily="18" charset="0"/>
              </a:rPr>
              <a:t>CÁ NHÂN</a:t>
            </a:r>
            <a:endParaRPr lang="en-US" sz="1300" b="1">
              <a:solidFill>
                <a:schemeClr val="bg1"/>
              </a:solidFill>
              <a:latin typeface="Roboto" pitchFamily="2" charset="0"/>
              <a:ea typeface="Roboto" pitchFamily="2" charset="0"/>
              <a:cs typeface="Times New Roman" panose="02020603050405020304" pitchFamily="18" charset="0"/>
            </a:endParaRPr>
          </a:p>
        </xdr:txBody>
      </xdr:sp>
      <xdr:pic>
        <xdr:nvPicPr>
          <xdr:cNvPr id="4" name="Graphic 3" descr="Diamond">
            <a:extLst>
              <a:ext uri="{FF2B5EF4-FFF2-40B4-BE49-F238E27FC236}">
                <a16:creationId xmlns:a16="http://schemas.microsoft.com/office/drawing/2014/main" id="{1B27C261-7DE4-47CE-BDA3-59AD622AE0A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90500" y="167093"/>
            <a:ext cx="365760" cy="365760"/>
          </a:xfrm>
          <a:prstGeom prst="rect">
            <a:avLst/>
          </a:prstGeom>
        </xdr:spPr>
      </xdr:pic>
    </xdr:grpSp>
    <xdr:clientData/>
  </xdr:twoCellAnchor>
  <xdr:twoCellAnchor>
    <xdr:from>
      <xdr:col>0</xdr:col>
      <xdr:colOff>345280</xdr:colOff>
      <xdr:row>4</xdr:row>
      <xdr:rowOff>0</xdr:rowOff>
    </xdr:from>
    <xdr:to>
      <xdr:col>3</xdr:col>
      <xdr:colOff>9212</xdr:colOff>
      <xdr:row>54</xdr:row>
      <xdr:rowOff>138869</xdr:rowOff>
    </xdr:to>
    <xdr:grpSp>
      <xdr:nvGrpSpPr>
        <xdr:cNvPr id="5" name="Group 4">
          <a:extLst>
            <a:ext uri="{FF2B5EF4-FFF2-40B4-BE49-F238E27FC236}">
              <a16:creationId xmlns:a16="http://schemas.microsoft.com/office/drawing/2014/main" id="{CC7BEC4E-9F45-443A-BFF8-C4B7D0B701F8}"/>
            </a:ext>
          </a:extLst>
        </xdr:cNvPr>
        <xdr:cNvGrpSpPr/>
      </xdr:nvGrpSpPr>
      <xdr:grpSpPr>
        <a:xfrm>
          <a:off x="345280" y="796019"/>
          <a:ext cx="1643772" cy="9520993"/>
          <a:chOff x="350042" y="654846"/>
          <a:chExt cx="1485588" cy="10223462"/>
        </a:xfrm>
      </xdr:grpSpPr>
      <xdr:pic>
        <xdr:nvPicPr>
          <xdr:cNvPr id="6" name="Graphic 5">
            <a:extLst>
              <a:ext uri="{FF2B5EF4-FFF2-40B4-BE49-F238E27FC236}">
                <a16:creationId xmlns:a16="http://schemas.microsoft.com/office/drawing/2014/main" id="{F27908D1-3B93-4AC5-9FC5-4D6B8B04F4C8}"/>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654846"/>
            <a:ext cx="1485588" cy="1214436"/>
          </a:xfrm>
          <a:prstGeom prst="rect">
            <a:avLst/>
          </a:prstGeom>
        </xdr:spPr>
      </xdr:pic>
      <xdr:pic>
        <xdr:nvPicPr>
          <xdr:cNvPr id="7" name="Graphic 6">
            <a:extLst>
              <a:ext uri="{FF2B5EF4-FFF2-40B4-BE49-F238E27FC236}">
                <a16:creationId xmlns:a16="http://schemas.microsoft.com/office/drawing/2014/main" id="{4169F95A-9D4B-4C1A-BFF7-E87673660451}"/>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1155347"/>
            <a:ext cx="1485588" cy="1214436"/>
          </a:xfrm>
          <a:prstGeom prst="rect">
            <a:avLst/>
          </a:prstGeom>
        </xdr:spPr>
      </xdr:pic>
      <xdr:pic>
        <xdr:nvPicPr>
          <xdr:cNvPr id="8" name="Graphic 7">
            <a:extLst>
              <a:ext uri="{FF2B5EF4-FFF2-40B4-BE49-F238E27FC236}">
                <a16:creationId xmlns:a16="http://schemas.microsoft.com/office/drawing/2014/main" id="{4000860E-E953-4BE2-B675-33E8AF560EA7}"/>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1655848"/>
            <a:ext cx="1485588" cy="1214436"/>
          </a:xfrm>
          <a:prstGeom prst="rect">
            <a:avLst/>
          </a:prstGeom>
        </xdr:spPr>
      </xdr:pic>
      <xdr:pic>
        <xdr:nvPicPr>
          <xdr:cNvPr id="10" name="Graphic 9">
            <a:extLst>
              <a:ext uri="{FF2B5EF4-FFF2-40B4-BE49-F238E27FC236}">
                <a16:creationId xmlns:a16="http://schemas.microsoft.com/office/drawing/2014/main" id="{34805F24-A5E8-4567-8674-F385CBF6059C}"/>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2656850"/>
            <a:ext cx="1485588" cy="1214436"/>
          </a:xfrm>
          <a:prstGeom prst="rect">
            <a:avLst/>
          </a:prstGeom>
        </xdr:spPr>
      </xdr:pic>
      <xdr:pic>
        <xdr:nvPicPr>
          <xdr:cNvPr id="11" name="Graphic 10">
            <a:extLst>
              <a:ext uri="{FF2B5EF4-FFF2-40B4-BE49-F238E27FC236}">
                <a16:creationId xmlns:a16="http://schemas.microsoft.com/office/drawing/2014/main" id="{62BAC731-59BC-433D-A2B0-FFB8AF16189C}"/>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3157351"/>
            <a:ext cx="1485588" cy="1214436"/>
          </a:xfrm>
          <a:prstGeom prst="rect">
            <a:avLst/>
          </a:prstGeom>
        </xdr:spPr>
      </xdr:pic>
      <xdr:pic>
        <xdr:nvPicPr>
          <xdr:cNvPr id="9" name="Graphic 8">
            <a:extLst>
              <a:ext uri="{FF2B5EF4-FFF2-40B4-BE49-F238E27FC236}">
                <a16:creationId xmlns:a16="http://schemas.microsoft.com/office/drawing/2014/main" id="{2ED93E7A-E552-4148-992E-245E4EFDEA48}"/>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r="28388"/>
          <a:stretch/>
        </xdr:blipFill>
        <xdr:spPr>
          <a:xfrm>
            <a:off x="350042" y="2156349"/>
            <a:ext cx="1485588" cy="1214436"/>
          </a:xfrm>
          <a:prstGeom prst="rect">
            <a:avLst/>
          </a:prstGeom>
        </xdr:spPr>
      </xdr:pic>
      <xdr:pic>
        <xdr:nvPicPr>
          <xdr:cNvPr id="12" name="Graphic 11">
            <a:extLst>
              <a:ext uri="{FF2B5EF4-FFF2-40B4-BE49-F238E27FC236}">
                <a16:creationId xmlns:a16="http://schemas.microsoft.com/office/drawing/2014/main" id="{1DA2DECE-FC9E-4546-B77D-36125CB44E17}"/>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3657852"/>
            <a:ext cx="1485588" cy="1214436"/>
          </a:xfrm>
          <a:prstGeom prst="rect">
            <a:avLst/>
          </a:prstGeom>
        </xdr:spPr>
      </xdr:pic>
      <xdr:pic>
        <xdr:nvPicPr>
          <xdr:cNvPr id="13" name="Graphic 12">
            <a:extLst>
              <a:ext uri="{FF2B5EF4-FFF2-40B4-BE49-F238E27FC236}">
                <a16:creationId xmlns:a16="http://schemas.microsoft.com/office/drawing/2014/main" id="{58562A2C-BCE1-4C66-9907-FA68CB62544F}"/>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4158353"/>
            <a:ext cx="1485588" cy="1214436"/>
          </a:xfrm>
          <a:prstGeom prst="rect">
            <a:avLst/>
          </a:prstGeom>
        </xdr:spPr>
      </xdr:pic>
      <xdr:pic>
        <xdr:nvPicPr>
          <xdr:cNvPr id="14" name="Graphic 13">
            <a:extLst>
              <a:ext uri="{FF2B5EF4-FFF2-40B4-BE49-F238E27FC236}">
                <a16:creationId xmlns:a16="http://schemas.microsoft.com/office/drawing/2014/main" id="{7738B21C-A750-48FF-9F6E-29B8A65E1B5A}"/>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4658854"/>
            <a:ext cx="1485588" cy="1214436"/>
          </a:xfrm>
          <a:prstGeom prst="rect">
            <a:avLst/>
          </a:prstGeom>
        </xdr:spPr>
      </xdr:pic>
      <xdr:pic>
        <xdr:nvPicPr>
          <xdr:cNvPr id="15" name="Graphic 14">
            <a:extLst>
              <a:ext uri="{FF2B5EF4-FFF2-40B4-BE49-F238E27FC236}">
                <a16:creationId xmlns:a16="http://schemas.microsoft.com/office/drawing/2014/main" id="{6A7A62DC-D74A-401D-A0CC-36FC96BFB8E4}"/>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5159355"/>
            <a:ext cx="1485588" cy="1214436"/>
          </a:xfrm>
          <a:prstGeom prst="rect">
            <a:avLst/>
          </a:prstGeom>
        </xdr:spPr>
      </xdr:pic>
      <xdr:pic>
        <xdr:nvPicPr>
          <xdr:cNvPr id="16" name="Graphic 15">
            <a:extLst>
              <a:ext uri="{FF2B5EF4-FFF2-40B4-BE49-F238E27FC236}">
                <a16:creationId xmlns:a16="http://schemas.microsoft.com/office/drawing/2014/main" id="{E7F81876-D9F6-4369-8217-BB8EE0CB581E}"/>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5659856"/>
            <a:ext cx="1485588" cy="1214436"/>
          </a:xfrm>
          <a:prstGeom prst="rect">
            <a:avLst/>
          </a:prstGeom>
        </xdr:spPr>
      </xdr:pic>
      <xdr:pic>
        <xdr:nvPicPr>
          <xdr:cNvPr id="17" name="Graphic 16">
            <a:extLst>
              <a:ext uri="{FF2B5EF4-FFF2-40B4-BE49-F238E27FC236}">
                <a16:creationId xmlns:a16="http://schemas.microsoft.com/office/drawing/2014/main" id="{99D4A212-646F-4679-90B8-A8FEB6E37E14}"/>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6160357"/>
            <a:ext cx="1485588" cy="1214436"/>
          </a:xfrm>
          <a:prstGeom prst="rect">
            <a:avLst/>
          </a:prstGeom>
        </xdr:spPr>
      </xdr:pic>
      <xdr:pic>
        <xdr:nvPicPr>
          <xdr:cNvPr id="18" name="Graphic 17">
            <a:extLst>
              <a:ext uri="{FF2B5EF4-FFF2-40B4-BE49-F238E27FC236}">
                <a16:creationId xmlns:a16="http://schemas.microsoft.com/office/drawing/2014/main" id="{E54DA153-47D3-4B0A-8CD6-3B5BC46C9CDF}"/>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6660858"/>
            <a:ext cx="1485588" cy="1214436"/>
          </a:xfrm>
          <a:prstGeom prst="rect">
            <a:avLst/>
          </a:prstGeom>
        </xdr:spPr>
      </xdr:pic>
      <xdr:pic>
        <xdr:nvPicPr>
          <xdr:cNvPr id="19" name="Graphic 18">
            <a:extLst>
              <a:ext uri="{FF2B5EF4-FFF2-40B4-BE49-F238E27FC236}">
                <a16:creationId xmlns:a16="http://schemas.microsoft.com/office/drawing/2014/main" id="{2039E70D-788C-4359-B835-38F78ABA5ABB}"/>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7161359"/>
            <a:ext cx="1485588" cy="1214436"/>
          </a:xfrm>
          <a:prstGeom prst="rect">
            <a:avLst/>
          </a:prstGeom>
        </xdr:spPr>
      </xdr:pic>
      <xdr:pic>
        <xdr:nvPicPr>
          <xdr:cNvPr id="20" name="Graphic 19">
            <a:extLst>
              <a:ext uri="{FF2B5EF4-FFF2-40B4-BE49-F238E27FC236}">
                <a16:creationId xmlns:a16="http://schemas.microsoft.com/office/drawing/2014/main" id="{E27D97E3-ACE4-440F-9B09-12A123A78156}"/>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7661860"/>
            <a:ext cx="1485588" cy="1214436"/>
          </a:xfrm>
          <a:prstGeom prst="rect">
            <a:avLst/>
          </a:prstGeom>
        </xdr:spPr>
      </xdr:pic>
      <xdr:pic>
        <xdr:nvPicPr>
          <xdr:cNvPr id="21" name="Graphic 20">
            <a:extLst>
              <a:ext uri="{FF2B5EF4-FFF2-40B4-BE49-F238E27FC236}">
                <a16:creationId xmlns:a16="http://schemas.microsoft.com/office/drawing/2014/main" id="{1915183F-7C09-49E2-B974-D4A8489203CF}"/>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8162361"/>
            <a:ext cx="1485588" cy="1214436"/>
          </a:xfrm>
          <a:prstGeom prst="rect">
            <a:avLst/>
          </a:prstGeom>
        </xdr:spPr>
      </xdr:pic>
      <xdr:pic>
        <xdr:nvPicPr>
          <xdr:cNvPr id="22" name="Graphic 21">
            <a:extLst>
              <a:ext uri="{FF2B5EF4-FFF2-40B4-BE49-F238E27FC236}">
                <a16:creationId xmlns:a16="http://schemas.microsoft.com/office/drawing/2014/main" id="{4DB168BB-89E0-4F72-91C5-768584BEDA26}"/>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8662862"/>
            <a:ext cx="1485588" cy="1214436"/>
          </a:xfrm>
          <a:prstGeom prst="rect">
            <a:avLst/>
          </a:prstGeom>
        </xdr:spPr>
      </xdr:pic>
      <xdr:pic>
        <xdr:nvPicPr>
          <xdr:cNvPr id="23" name="Graphic 22">
            <a:extLst>
              <a:ext uri="{FF2B5EF4-FFF2-40B4-BE49-F238E27FC236}">
                <a16:creationId xmlns:a16="http://schemas.microsoft.com/office/drawing/2014/main" id="{52883091-5C25-4B61-B085-0111BCA1698B}"/>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9163363"/>
            <a:ext cx="1485588" cy="1214436"/>
          </a:xfrm>
          <a:prstGeom prst="rect">
            <a:avLst/>
          </a:prstGeom>
        </xdr:spPr>
      </xdr:pic>
      <xdr:pic>
        <xdr:nvPicPr>
          <xdr:cNvPr id="24" name="Graphic 23">
            <a:extLst>
              <a:ext uri="{FF2B5EF4-FFF2-40B4-BE49-F238E27FC236}">
                <a16:creationId xmlns:a16="http://schemas.microsoft.com/office/drawing/2014/main" id="{65687077-0833-40B3-B17E-045A02572D3A}"/>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9663872"/>
            <a:ext cx="1485588" cy="1214436"/>
          </a:xfrm>
          <a:prstGeom prst="rect">
            <a:avLst/>
          </a:prstGeom>
        </xdr:spPr>
      </xdr:pic>
    </xdr:grpSp>
    <xdr:clientData/>
  </xdr:twoCellAnchor>
  <xdr:twoCellAnchor>
    <xdr:from>
      <xdr:col>0</xdr:col>
      <xdr:colOff>453619</xdr:colOff>
      <xdr:row>6</xdr:row>
      <xdr:rowOff>93938</xdr:rowOff>
    </xdr:from>
    <xdr:to>
      <xdr:col>2</xdr:col>
      <xdr:colOff>508091</xdr:colOff>
      <xdr:row>52</xdr:row>
      <xdr:rowOff>92556</xdr:rowOff>
    </xdr:to>
    <xdr:grpSp>
      <xdr:nvGrpSpPr>
        <xdr:cNvPr id="25" name="Group 24">
          <a:extLst>
            <a:ext uri="{FF2B5EF4-FFF2-40B4-BE49-F238E27FC236}">
              <a16:creationId xmlns:a16="http://schemas.microsoft.com/office/drawing/2014/main" id="{E7C4BCB8-0E29-4C3B-8E45-BE2DB0E44E12}"/>
            </a:ext>
          </a:extLst>
        </xdr:cNvPr>
        <xdr:cNvGrpSpPr/>
      </xdr:nvGrpSpPr>
      <xdr:grpSpPr>
        <a:xfrm>
          <a:off x="453619" y="1270957"/>
          <a:ext cx="1374365" cy="8632349"/>
          <a:chOff x="487686" y="1129784"/>
          <a:chExt cx="1268910" cy="9273586"/>
        </a:xfrm>
      </xdr:grpSpPr>
      <xdr:sp macro="" textlink="">
        <xdr:nvSpPr>
          <xdr:cNvPr id="26" name="TextBox 25">
            <a:hlinkClick xmlns:r="http://schemas.openxmlformats.org/officeDocument/2006/relationships" r:id="rId8"/>
            <a:extLst>
              <a:ext uri="{FF2B5EF4-FFF2-40B4-BE49-F238E27FC236}">
                <a16:creationId xmlns:a16="http://schemas.microsoft.com/office/drawing/2014/main" id="{A7EFA4ED-2F63-4122-8198-DAFBB7DD174B}"/>
              </a:ext>
            </a:extLst>
          </xdr:cNvPr>
          <xdr:cNvSpPr txBox="1"/>
        </xdr:nvSpPr>
        <xdr:spPr>
          <a:xfrm>
            <a:off x="784825" y="1129784"/>
            <a:ext cx="67317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Từ</a:t>
            </a:r>
            <a:r>
              <a:rPr lang="en-US" sz="1100" b="1" baseline="0">
                <a:solidFill>
                  <a:schemeClr val="bg1"/>
                </a:solidFill>
              </a:rPr>
              <a:t> khóa</a:t>
            </a:r>
            <a:endParaRPr lang="en-US" sz="1100" b="1">
              <a:solidFill>
                <a:schemeClr val="bg1"/>
              </a:solidFill>
            </a:endParaRPr>
          </a:p>
        </xdr:txBody>
      </xdr:sp>
      <xdr:sp macro="" textlink="">
        <xdr:nvSpPr>
          <xdr:cNvPr id="27" name="TextBox 26">
            <a:hlinkClick xmlns:r="http://schemas.openxmlformats.org/officeDocument/2006/relationships" r:id="rId9"/>
            <a:extLst>
              <a:ext uri="{FF2B5EF4-FFF2-40B4-BE49-F238E27FC236}">
                <a16:creationId xmlns:a16="http://schemas.microsoft.com/office/drawing/2014/main" id="{CDACCC87-5950-4BA3-B231-515C61A026D6}"/>
              </a:ext>
            </a:extLst>
          </xdr:cNvPr>
          <xdr:cNvSpPr txBox="1"/>
        </xdr:nvSpPr>
        <xdr:spPr>
          <a:xfrm>
            <a:off x="708434" y="1630285"/>
            <a:ext cx="82595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Dashboard</a:t>
            </a:r>
          </a:p>
        </xdr:txBody>
      </xdr:sp>
      <xdr:sp macro="" textlink="">
        <xdr:nvSpPr>
          <xdr:cNvPr id="28" name="TextBox 27">
            <a:hlinkClick xmlns:r="http://schemas.openxmlformats.org/officeDocument/2006/relationships" r:id="rId10"/>
            <a:extLst>
              <a:ext uri="{FF2B5EF4-FFF2-40B4-BE49-F238E27FC236}">
                <a16:creationId xmlns:a16="http://schemas.microsoft.com/office/drawing/2014/main" id="{9E4D872C-2032-48E4-B468-A543405A0627}"/>
              </a:ext>
            </a:extLst>
          </xdr:cNvPr>
          <xdr:cNvSpPr txBox="1"/>
        </xdr:nvSpPr>
        <xdr:spPr>
          <a:xfrm>
            <a:off x="495750" y="2130786"/>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Mục</a:t>
            </a:r>
            <a:r>
              <a:rPr lang="en-US" sz="1100" b="1" baseline="0">
                <a:solidFill>
                  <a:schemeClr val="bg1"/>
                </a:solidFill>
                <a:effectLst/>
                <a:latin typeface="+mn-lt"/>
                <a:ea typeface="+mn-ea"/>
                <a:cs typeface="+mn-cs"/>
              </a:rPr>
              <a:t> tiêu bản thân</a:t>
            </a:r>
            <a:endParaRPr lang="en-US">
              <a:solidFill>
                <a:schemeClr val="bg1"/>
              </a:solidFill>
              <a:effectLst/>
            </a:endParaRPr>
          </a:p>
        </xdr:txBody>
      </xdr:sp>
      <xdr:sp macro="" textlink="">
        <xdr:nvSpPr>
          <xdr:cNvPr id="29" name="TextBox 28">
            <a:hlinkClick xmlns:r="http://schemas.openxmlformats.org/officeDocument/2006/relationships" r:id="rId11"/>
            <a:extLst>
              <a:ext uri="{FF2B5EF4-FFF2-40B4-BE49-F238E27FC236}">
                <a16:creationId xmlns:a16="http://schemas.microsoft.com/office/drawing/2014/main" id="{D529202D-A1BC-4D42-8E81-DA1AD075A6DB}"/>
              </a:ext>
            </a:extLst>
          </xdr:cNvPr>
          <xdr:cNvSpPr txBox="1"/>
        </xdr:nvSpPr>
        <xdr:spPr>
          <a:xfrm>
            <a:off x="495750" y="2631287"/>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ysClr val="windowText" lastClr="000000"/>
                </a:solidFill>
                <a:effectLst/>
                <a:latin typeface="+mn-lt"/>
                <a:ea typeface="+mn-ea"/>
                <a:cs typeface="+mn-cs"/>
              </a:rPr>
              <a:t>Mục</a:t>
            </a:r>
            <a:r>
              <a:rPr lang="en-US" sz="1100" b="1" baseline="0">
                <a:solidFill>
                  <a:sysClr val="windowText" lastClr="000000"/>
                </a:solidFill>
                <a:effectLst/>
                <a:latin typeface="+mn-lt"/>
                <a:ea typeface="+mn-ea"/>
                <a:cs typeface="+mn-cs"/>
              </a:rPr>
              <a:t> tiêu tài chính</a:t>
            </a:r>
            <a:endParaRPr lang="en-US">
              <a:solidFill>
                <a:sysClr val="windowText" lastClr="000000"/>
              </a:solidFill>
              <a:effectLst/>
            </a:endParaRPr>
          </a:p>
        </xdr:txBody>
      </xdr:sp>
      <xdr:sp macro="" textlink="">
        <xdr:nvSpPr>
          <xdr:cNvPr id="30" name="TextBox 29">
            <a:hlinkClick xmlns:r="http://schemas.openxmlformats.org/officeDocument/2006/relationships" r:id="rId12"/>
            <a:extLst>
              <a:ext uri="{FF2B5EF4-FFF2-40B4-BE49-F238E27FC236}">
                <a16:creationId xmlns:a16="http://schemas.microsoft.com/office/drawing/2014/main" id="{06805BB9-ED71-4D5B-8BF4-5695C8089465}"/>
              </a:ext>
            </a:extLst>
          </xdr:cNvPr>
          <xdr:cNvSpPr txBox="1"/>
        </xdr:nvSpPr>
        <xdr:spPr>
          <a:xfrm>
            <a:off x="487686" y="3020663"/>
            <a:ext cx="1260846" cy="459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b="1">
                <a:solidFill>
                  <a:schemeClr val="bg1"/>
                </a:solidFill>
                <a:effectLst/>
                <a:latin typeface="+mn-lt"/>
                <a:ea typeface="+mn-ea"/>
                <a:cs typeface="+mn-cs"/>
              </a:rPr>
              <a:t>Cân</a:t>
            </a:r>
            <a:r>
              <a:rPr lang="en-US" sz="1100" b="1" baseline="0">
                <a:solidFill>
                  <a:schemeClr val="bg1"/>
                </a:solidFill>
                <a:effectLst/>
                <a:latin typeface="+mn-lt"/>
                <a:ea typeface="+mn-ea"/>
                <a:cs typeface="+mn-cs"/>
              </a:rPr>
              <a:t> đối</a:t>
            </a:r>
            <a:endParaRPr lang="en-US">
              <a:solidFill>
                <a:schemeClr val="bg1"/>
              </a:solidFill>
              <a:effectLst/>
            </a:endParaRPr>
          </a:p>
          <a:p>
            <a:pPr algn="ctr"/>
            <a:r>
              <a:rPr lang="en-US" sz="1100" b="1" baseline="0">
                <a:solidFill>
                  <a:schemeClr val="bg1"/>
                </a:solidFill>
                <a:effectLst/>
                <a:latin typeface="+mn-lt"/>
                <a:ea typeface="+mn-ea"/>
                <a:cs typeface="+mn-cs"/>
              </a:rPr>
              <a:t>l</a:t>
            </a:r>
            <a:r>
              <a:rPr lang="en-US" sz="1100" b="1">
                <a:solidFill>
                  <a:schemeClr val="bg1"/>
                </a:solidFill>
                <a:effectLst/>
                <a:latin typeface="+mn-lt"/>
                <a:ea typeface="+mn-ea"/>
                <a:cs typeface="+mn-cs"/>
              </a:rPr>
              <a:t>ộ</a:t>
            </a:r>
            <a:r>
              <a:rPr lang="en-US" sz="1100" b="1" baseline="0">
                <a:solidFill>
                  <a:schemeClr val="bg1"/>
                </a:solidFill>
                <a:effectLst/>
                <a:latin typeface="+mn-lt"/>
                <a:ea typeface="+mn-ea"/>
                <a:cs typeface="+mn-cs"/>
              </a:rPr>
              <a:t> trình nghề nghiệp</a:t>
            </a:r>
            <a:endParaRPr lang="en-US">
              <a:solidFill>
                <a:schemeClr val="bg1"/>
              </a:solidFill>
              <a:effectLst/>
            </a:endParaRPr>
          </a:p>
        </xdr:txBody>
      </xdr:sp>
      <xdr:sp macro="" textlink="">
        <xdr:nvSpPr>
          <xdr:cNvPr id="31" name="TextBox 30">
            <a:hlinkClick xmlns:r="http://schemas.openxmlformats.org/officeDocument/2006/relationships" r:id="rId13"/>
            <a:extLst>
              <a:ext uri="{FF2B5EF4-FFF2-40B4-BE49-F238E27FC236}">
                <a16:creationId xmlns:a16="http://schemas.microsoft.com/office/drawing/2014/main" id="{04014AB0-E2F7-44E8-BFF9-1013B666AD78}"/>
              </a:ext>
            </a:extLst>
          </xdr:cNvPr>
          <xdr:cNvSpPr txBox="1"/>
        </xdr:nvSpPr>
        <xdr:spPr>
          <a:xfrm>
            <a:off x="487686" y="3521164"/>
            <a:ext cx="1260846" cy="459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100" b="1">
                <a:solidFill>
                  <a:schemeClr val="bg1"/>
                </a:solidFill>
                <a:effectLst/>
                <a:latin typeface="+mn-lt"/>
                <a:ea typeface="+mn-ea"/>
                <a:cs typeface="+mn-cs"/>
              </a:rPr>
              <a:t>Kế</a:t>
            </a:r>
            <a:r>
              <a:rPr lang="en-US" sz="1100" b="1" baseline="0">
                <a:solidFill>
                  <a:schemeClr val="bg1"/>
                </a:solidFill>
                <a:effectLst/>
                <a:latin typeface="+mn-lt"/>
                <a:ea typeface="+mn-ea"/>
                <a:cs typeface="+mn-cs"/>
              </a:rPr>
              <a:t> hoạch </a:t>
            </a:r>
          </a:p>
          <a:p>
            <a:pPr algn="ctr"/>
            <a:r>
              <a:rPr lang="en-US" sz="1100" b="1" baseline="0">
                <a:solidFill>
                  <a:schemeClr val="bg1"/>
                </a:solidFill>
                <a:effectLst/>
                <a:latin typeface="+mn-lt"/>
                <a:ea typeface="+mn-ea"/>
                <a:cs typeface="+mn-cs"/>
              </a:rPr>
              <a:t>thu nhập &amp; chi tiêu</a:t>
            </a:r>
            <a:endParaRPr lang="en-US">
              <a:solidFill>
                <a:schemeClr val="bg1"/>
              </a:solidFill>
              <a:effectLst/>
            </a:endParaRPr>
          </a:p>
        </xdr:txBody>
      </xdr:sp>
      <xdr:sp macro="" textlink="">
        <xdr:nvSpPr>
          <xdr:cNvPr id="32" name="TextBox 31">
            <a:hlinkClick xmlns:r="http://schemas.openxmlformats.org/officeDocument/2006/relationships" r:id="rId14"/>
            <a:extLst>
              <a:ext uri="{FF2B5EF4-FFF2-40B4-BE49-F238E27FC236}">
                <a16:creationId xmlns:a16="http://schemas.microsoft.com/office/drawing/2014/main" id="{8093F941-88ED-43B2-9BB8-AF217E00C14B}"/>
              </a:ext>
            </a:extLst>
          </xdr:cNvPr>
          <xdr:cNvSpPr txBox="1"/>
        </xdr:nvSpPr>
        <xdr:spPr>
          <a:xfrm>
            <a:off x="495750" y="413279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a:t>
            </a:r>
            <a:endParaRPr lang="en-US">
              <a:solidFill>
                <a:schemeClr val="bg1"/>
              </a:solidFill>
              <a:effectLst/>
            </a:endParaRPr>
          </a:p>
        </xdr:txBody>
      </xdr:sp>
      <xdr:sp macro="" textlink="">
        <xdr:nvSpPr>
          <xdr:cNvPr id="33" name="TextBox 32">
            <a:hlinkClick xmlns:r="http://schemas.openxmlformats.org/officeDocument/2006/relationships" r:id="rId15"/>
            <a:extLst>
              <a:ext uri="{FF2B5EF4-FFF2-40B4-BE49-F238E27FC236}">
                <a16:creationId xmlns:a16="http://schemas.microsoft.com/office/drawing/2014/main" id="{1AC303C0-6C41-48C5-A6C1-A43CFD4D5B64}"/>
              </a:ext>
            </a:extLst>
          </xdr:cNvPr>
          <xdr:cNvSpPr txBox="1"/>
        </xdr:nvSpPr>
        <xdr:spPr>
          <a:xfrm>
            <a:off x="495750" y="4633291"/>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2</a:t>
            </a:r>
            <a:endParaRPr lang="en-US">
              <a:solidFill>
                <a:schemeClr val="bg1"/>
              </a:solidFill>
              <a:effectLst/>
            </a:endParaRPr>
          </a:p>
        </xdr:txBody>
      </xdr:sp>
      <xdr:sp macro="" textlink="">
        <xdr:nvSpPr>
          <xdr:cNvPr id="34" name="TextBox 33">
            <a:hlinkClick xmlns:r="http://schemas.openxmlformats.org/officeDocument/2006/relationships" r:id="rId16"/>
            <a:extLst>
              <a:ext uri="{FF2B5EF4-FFF2-40B4-BE49-F238E27FC236}">
                <a16:creationId xmlns:a16="http://schemas.microsoft.com/office/drawing/2014/main" id="{11BA7810-04CA-4DDE-9934-F9C6A8624FAD}"/>
              </a:ext>
            </a:extLst>
          </xdr:cNvPr>
          <xdr:cNvSpPr txBox="1"/>
        </xdr:nvSpPr>
        <xdr:spPr>
          <a:xfrm>
            <a:off x="495750" y="5133792"/>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3</a:t>
            </a:r>
            <a:endParaRPr lang="en-US">
              <a:solidFill>
                <a:schemeClr val="bg1"/>
              </a:solidFill>
              <a:effectLst/>
            </a:endParaRPr>
          </a:p>
        </xdr:txBody>
      </xdr:sp>
      <xdr:sp macro="" textlink="">
        <xdr:nvSpPr>
          <xdr:cNvPr id="35" name="TextBox 34">
            <a:hlinkClick xmlns:r="http://schemas.openxmlformats.org/officeDocument/2006/relationships" r:id="rId17"/>
            <a:extLst>
              <a:ext uri="{FF2B5EF4-FFF2-40B4-BE49-F238E27FC236}">
                <a16:creationId xmlns:a16="http://schemas.microsoft.com/office/drawing/2014/main" id="{C3319C0C-400A-40F3-A6F9-0F9211E7C488}"/>
              </a:ext>
            </a:extLst>
          </xdr:cNvPr>
          <xdr:cNvSpPr txBox="1"/>
        </xdr:nvSpPr>
        <xdr:spPr>
          <a:xfrm>
            <a:off x="495750" y="5634293"/>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4</a:t>
            </a:r>
            <a:endParaRPr lang="en-US">
              <a:solidFill>
                <a:schemeClr val="bg1"/>
              </a:solidFill>
              <a:effectLst/>
            </a:endParaRPr>
          </a:p>
        </xdr:txBody>
      </xdr:sp>
      <xdr:sp macro="" textlink="">
        <xdr:nvSpPr>
          <xdr:cNvPr id="36" name="TextBox 35">
            <a:hlinkClick xmlns:r="http://schemas.openxmlformats.org/officeDocument/2006/relationships" r:id="rId18"/>
            <a:extLst>
              <a:ext uri="{FF2B5EF4-FFF2-40B4-BE49-F238E27FC236}">
                <a16:creationId xmlns:a16="http://schemas.microsoft.com/office/drawing/2014/main" id="{FD406752-7205-49B0-8705-FE97CB3F3644}"/>
              </a:ext>
            </a:extLst>
          </xdr:cNvPr>
          <xdr:cNvSpPr txBox="1"/>
        </xdr:nvSpPr>
        <xdr:spPr>
          <a:xfrm>
            <a:off x="495750" y="6134794"/>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5</a:t>
            </a:r>
            <a:endParaRPr lang="en-US">
              <a:solidFill>
                <a:schemeClr val="bg1"/>
              </a:solidFill>
              <a:effectLst/>
            </a:endParaRPr>
          </a:p>
        </xdr:txBody>
      </xdr:sp>
      <xdr:sp macro="" textlink="">
        <xdr:nvSpPr>
          <xdr:cNvPr id="37" name="TextBox 36">
            <a:hlinkClick xmlns:r="http://schemas.openxmlformats.org/officeDocument/2006/relationships" r:id="rId19"/>
            <a:extLst>
              <a:ext uri="{FF2B5EF4-FFF2-40B4-BE49-F238E27FC236}">
                <a16:creationId xmlns:a16="http://schemas.microsoft.com/office/drawing/2014/main" id="{35095499-6CE7-4965-AD2D-43FBF80CEDB3}"/>
              </a:ext>
            </a:extLst>
          </xdr:cNvPr>
          <xdr:cNvSpPr txBox="1"/>
        </xdr:nvSpPr>
        <xdr:spPr>
          <a:xfrm>
            <a:off x="495750" y="6635295"/>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6</a:t>
            </a:r>
            <a:endParaRPr lang="en-US">
              <a:solidFill>
                <a:schemeClr val="bg1"/>
              </a:solidFill>
              <a:effectLst/>
            </a:endParaRPr>
          </a:p>
        </xdr:txBody>
      </xdr:sp>
      <xdr:sp macro="" textlink="">
        <xdr:nvSpPr>
          <xdr:cNvPr id="38" name="TextBox 37">
            <a:hlinkClick xmlns:r="http://schemas.openxmlformats.org/officeDocument/2006/relationships" r:id="rId20"/>
            <a:extLst>
              <a:ext uri="{FF2B5EF4-FFF2-40B4-BE49-F238E27FC236}">
                <a16:creationId xmlns:a16="http://schemas.microsoft.com/office/drawing/2014/main" id="{B7E281B2-7B29-42C5-B7FF-4A743B9C641A}"/>
              </a:ext>
            </a:extLst>
          </xdr:cNvPr>
          <xdr:cNvSpPr txBox="1"/>
        </xdr:nvSpPr>
        <xdr:spPr>
          <a:xfrm>
            <a:off x="495750" y="7135796"/>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7</a:t>
            </a:r>
            <a:endParaRPr lang="en-US">
              <a:solidFill>
                <a:schemeClr val="bg1"/>
              </a:solidFill>
              <a:effectLst/>
            </a:endParaRPr>
          </a:p>
        </xdr:txBody>
      </xdr:sp>
      <xdr:sp macro="" textlink="">
        <xdr:nvSpPr>
          <xdr:cNvPr id="39" name="TextBox 38">
            <a:hlinkClick xmlns:r="http://schemas.openxmlformats.org/officeDocument/2006/relationships" r:id="rId21"/>
            <a:extLst>
              <a:ext uri="{FF2B5EF4-FFF2-40B4-BE49-F238E27FC236}">
                <a16:creationId xmlns:a16="http://schemas.microsoft.com/office/drawing/2014/main" id="{FF23F332-A235-42F2-9E8F-CFB0A3B8C49B}"/>
              </a:ext>
            </a:extLst>
          </xdr:cNvPr>
          <xdr:cNvSpPr txBox="1"/>
        </xdr:nvSpPr>
        <xdr:spPr>
          <a:xfrm>
            <a:off x="495750" y="7636297"/>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8</a:t>
            </a:r>
            <a:endParaRPr lang="en-US">
              <a:solidFill>
                <a:schemeClr val="bg1"/>
              </a:solidFill>
              <a:effectLst/>
            </a:endParaRPr>
          </a:p>
        </xdr:txBody>
      </xdr:sp>
      <xdr:sp macro="" textlink="">
        <xdr:nvSpPr>
          <xdr:cNvPr id="40" name="TextBox 39">
            <a:hlinkClick xmlns:r="http://schemas.openxmlformats.org/officeDocument/2006/relationships" r:id="rId22"/>
            <a:extLst>
              <a:ext uri="{FF2B5EF4-FFF2-40B4-BE49-F238E27FC236}">
                <a16:creationId xmlns:a16="http://schemas.microsoft.com/office/drawing/2014/main" id="{488C8F72-267C-4B11-BE77-AA0D6CFFC843}"/>
              </a:ext>
            </a:extLst>
          </xdr:cNvPr>
          <xdr:cNvSpPr txBox="1"/>
        </xdr:nvSpPr>
        <xdr:spPr>
          <a:xfrm>
            <a:off x="495750" y="8136798"/>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9</a:t>
            </a:r>
            <a:endParaRPr lang="en-US">
              <a:solidFill>
                <a:schemeClr val="bg1"/>
              </a:solidFill>
              <a:effectLst/>
            </a:endParaRPr>
          </a:p>
        </xdr:txBody>
      </xdr:sp>
      <xdr:sp macro="" textlink="">
        <xdr:nvSpPr>
          <xdr:cNvPr id="41" name="TextBox 40">
            <a:hlinkClick xmlns:r="http://schemas.openxmlformats.org/officeDocument/2006/relationships" r:id="rId23"/>
            <a:extLst>
              <a:ext uri="{FF2B5EF4-FFF2-40B4-BE49-F238E27FC236}">
                <a16:creationId xmlns:a16="http://schemas.microsoft.com/office/drawing/2014/main" id="{1E7DF5D7-B9D2-4736-9395-433D586CAE49}"/>
              </a:ext>
            </a:extLst>
          </xdr:cNvPr>
          <xdr:cNvSpPr txBox="1"/>
        </xdr:nvSpPr>
        <xdr:spPr>
          <a:xfrm>
            <a:off x="495750" y="8637299"/>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10</a:t>
            </a:r>
            <a:endParaRPr lang="en-US">
              <a:solidFill>
                <a:schemeClr val="bg1"/>
              </a:solidFill>
              <a:effectLst/>
            </a:endParaRPr>
          </a:p>
        </xdr:txBody>
      </xdr:sp>
      <xdr:sp macro="" textlink="">
        <xdr:nvSpPr>
          <xdr:cNvPr id="42" name="TextBox 41">
            <a:hlinkClick xmlns:r="http://schemas.openxmlformats.org/officeDocument/2006/relationships" r:id="rId24"/>
            <a:extLst>
              <a:ext uri="{FF2B5EF4-FFF2-40B4-BE49-F238E27FC236}">
                <a16:creationId xmlns:a16="http://schemas.microsoft.com/office/drawing/2014/main" id="{0F416B65-0A75-4466-929F-60621EDB2399}"/>
              </a:ext>
            </a:extLst>
          </xdr:cNvPr>
          <xdr:cNvSpPr txBox="1"/>
        </xdr:nvSpPr>
        <xdr:spPr>
          <a:xfrm>
            <a:off x="495750" y="913780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11</a:t>
            </a:r>
            <a:endParaRPr lang="en-US">
              <a:solidFill>
                <a:schemeClr val="bg1"/>
              </a:solidFill>
              <a:effectLst/>
            </a:endParaRPr>
          </a:p>
        </xdr:txBody>
      </xdr:sp>
      <xdr:sp macro="" textlink="">
        <xdr:nvSpPr>
          <xdr:cNvPr id="43" name="TextBox 42">
            <a:hlinkClick xmlns:r="http://schemas.openxmlformats.org/officeDocument/2006/relationships" r:id="rId25"/>
            <a:extLst>
              <a:ext uri="{FF2B5EF4-FFF2-40B4-BE49-F238E27FC236}">
                <a16:creationId xmlns:a16="http://schemas.microsoft.com/office/drawing/2014/main" id="{8210ADE9-F972-4E47-ADAC-9221EBFB6228}"/>
              </a:ext>
            </a:extLst>
          </xdr:cNvPr>
          <xdr:cNvSpPr txBox="1"/>
        </xdr:nvSpPr>
        <xdr:spPr>
          <a:xfrm>
            <a:off x="495750" y="9638301"/>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12</a:t>
            </a:r>
            <a:endParaRPr lang="en-US">
              <a:solidFill>
                <a:schemeClr val="bg1"/>
              </a:solidFill>
              <a:effectLst/>
            </a:endParaRPr>
          </a:p>
        </xdr:txBody>
      </xdr:sp>
      <xdr:sp macro="" textlink="">
        <xdr:nvSpPr>
          <xdr:cNvPr id="44" name="TextBox 43">
            <a:hlinkClick xmlns:r="http://schemas.openxmlformats.org/officeDocument/2006/relationships" r:id="rId26"/>
            <a:extLst>
              <a:ext uri="{FF2B5EF4-FFF2-40B4-BE49-F238E27FC236}">
                <a16:creationId xmlns:a16="http://schemas.microsoft.com/office/drawing/2014/main" id="{19867A13-8FDE-4AE3-8DD6-2B194B3E95D6}"/>
              </a:ext>
            </a:extLst>
          </xdr:cNvPr>
          <xdr:cNvSpPr txBox="1"/>
        </xdr:nvSpPr>
        <xdr:spPr>
          <a:xfrm>
            <a:off x="495750" y="1013881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b="1">
                <a:solidFill>
                  <a:schemeClr val="bg1"/>
                </a:solidFill>
                <a:effectLst/>
                <a:latin typeface="+mn-lt"/>
                <a:ea typeface="+mn-ea"/>
                <a:cs typeface="+mn-cs"/>
              </a:rPr>
              <a:t>Bảng</a:t>
            </a:r>
            <a:r>
              <a:rPr lang="en-US" sz="1100" b="1" baseline="0">
                <a:solidFill>
                  <a:schemeClr val="bg1"/>
                </a:solidFill>
                <a:effectLst/>
                <a:latin typeface="+mn-lt"/>
                <a:ea typeface="+mn-ea"/>
                <a:cs typeface="+mn-cs"/>
              </a:rPr>
              <a:t> khảo sát</a:t>
            </a:r>
            <a:endParaRPr lang="en-US">
              <a:solidFill>
                <a:schemeClr val="bg1"/>
              </a:solidFill>
              <a:effectLst/>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190500</xdr:colOff>
      <xdr:row>0</xdr:row>
      <xdr:rowOff>103688</xdr:rowOff>
    </xdr:from>
    <xdr:to>
      <xdr:col>2</xdr:col>
      <xdr:colOff>472440</xdr:colOff>
      <xdr:row>3</xdr:row>
      <xdr:rowOff>24759</xdr:rowOff>
    </xdr:to>
    <xdr:grpSp>
      <xdr:nvGrpSpPr>
        <xdr:cNvPr id="2" name="Group 1">
          <a:hlinkClick xmlns:r="http://schemas.openxmlformats.org/officeDocument/2006/relationships" r:id="rId1"/>
          <a:extLst>
            <a:ext uri="{FF2B5EF4-FFF2-40B4-BE49-F238E27FC236}">
              <a16:creationId xmlns:a16="http://schemas.microsoft.com/office/drawing/2014/main" id="{CA6EB889-2EA3-44C4-8CB4-0E219DF6BC22}"/>
            </a:ext>
          </a:extLst>
        </xdr:cNvPr>
        <xdr:cNvGrpSpPr/>
      </xdr:nvGrpSpPr>
      <xdr:grpSpPr>
        <a:xfrm>
          <a:off x="190500" y="103688"/>
          <a:ext cx="1591628" cy="486619"/>
          <a:chOff x="190500" y="103688"/>
          <a:chExt cx="1501140" cy="492571"/>
        </a:xfrm>
      </xdr:grpSpPr>
      <xdr:sp macro="" textlink="">
        <xdr:nvSpPr>
          <xdr:cNvPr id="3" name="TextBox 2">
            <a:extLst>
              <a:ext uri="{FF2B5EF4-FFF2-40B4-BE49-F238E27FC236}">
                <a16:creationId xmlns:a16="http://schemas.microsoft.com/office/drawing/2014/main" id="{E098158E-2636-4791-9606-A2C7B18F0683}"/>
              </a:ext>
            </a:extLst>
          </xdr:cNvPr>
          <xdr:cNvSpPr txBox="1"/>
        </xdr:nvSpPr>
        <xdr:spPr>
          <a:xfrm>
            <a:off x="457200" y="103688"/>
            <a:ext cx="1234440" cy="4925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300" b="1" baseline="0">
                <a:solidFill>
                  <a:schemeClr val="bg1"/>
                </a:solidFill>
                <a:latin typeface="Roboto" pitchFamily="2" charset="0"/>
                <a:ea typeface="Roboto" pitchFamily="2" charset="0"/>
                <a:cs typeface="Times New Roman" panose="02020603050405020304" pitchFamily="18" charset="0"/>
              </a:rPr>
              <a:t>TÀI CHÍNH</a:t>
            </a:r>
          </a:p>
          <a:p>
            <a:pPr algn="ctr"/>
            <a:r>
              <a:rPr lang="en-US" sz="1300" b="1" baseline="0">
                <a:solidFill>
                  <a:schemeClr val="bg1"/>
                </a:solidFill>
                <a:latin typeface="Roboto" pitchFamily="2" charset="0"/>
                <a:ea typeface="Roboto" pitchFamily="2" charset="0"/>
                <a:cs typeface="Times New Roman" panose="02020603050405020304" pitchFamily="18" charset="0"/>
              </a:rPr>
              <a:t>CÁ NHÂN</a:t>
            </a:r>
            <a:endParaRPr lang="en-US" sz="1300" b="1">
              <a:solidFill>
                <a:schemeClr val="bg1"/>
              </a:solidFill>
              <a:latin typeface="Roboto" pitchFamily="2" charset="0"/>
              <a:ea typeface="Roboto" pitchFamily="2" charset="0"/>
              <a:cs typeface="Times New Roman" panose="02020603050405020304" pitchFamily="18" charset="0"/>
            </a:endParaRPr>
          </a:p>
        </xdr:txBody>
      </xdr:sp>
      <xdr:pic>
        <xdr:nvPicPr>
          <xdr:cNvPr id="4" name="Graphic 3" descr="Diamond">
            <a:extLst>
              <a:ext uri="{FF2B5EF4-FFF2-40B4-BE49-F238E27FC236}">
                <a16:creationId xmlns:a16="http://schemas.microsoft.com/office/drawing/2014/main" id="{241F15D0-0991-4834-81C2-5A8D104DCEF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90500" y="167093"/>
            <a:ext cx="365760" cy="365760"/>
          </a:xfrm>
          <a:prstGeom prst="rect">
            <a:avLst/>
          </a:prstGeom>
        </xdr:spPr>
      </xdr:pic>
    </xdr:grpSp>
    <xdr:clientData/>
  </xdr:twoCellAnchor>
  <xdr:twoCellAnchor>
    <xdr:from>
      <xdr:col>4</xdr:col>
      <xdr:colOff>261938</xdr:colOff>
      <xdr:row>4</xdr:row>
      <xdr:rowOff>51195</xdr:rowOff>
    </xdr:from>
    <xdr:to>
      <xdr:col>21</xdr:col>
      <xdr:colOff>535781</xdr:colOff>
      <xdr:row>18</xdr:row>
      <xdr:rowOff>119062</xdr:rowOff>
    </xdr:to>
    <xdr:graphicFrame macro="">
      <xdr:nvGraphicFramePr>
        <xdr:cNvPr id="100" name="Chart 99">
          <a:extLst>
            <a:ext uri="{FF2B5EF4-FFF2-40B4-BE49-F238E27FC236}">
              <a16:creationId xmlns:a16="http://schemas.microsoft.com/office/drawing/2014/main" id="{DE63F313-E431-4B6F-97F4-D3B1C41958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345278</xdr:colOff>
      <xdr:row>4</xdr:row>
      <xdr:rowOff>0</xdr:rowOff>
    </xdr:from>
    <xdr:to>
      <xdr:col>3</xdr:col>
      <xdr:colOff>9210</xdr:colOff>
      <xdr:row>55</xdr:row>
      <xdr:rowOff>174587</xdr:rowOff>
    </xdr:to>
    <xdr:grpSp>
      <xdr:nvGrpSpPr>
        <xdr:cNvPr id="6" name="Group 5">
          <a:extLst>
            <a:ext uri="{FF2B5EF4-FFF2-40B4-BE49-F238E27FC236}">
              <a16:creationId xmlns:a16="http://schemas.microsoft.com/office/drawing/2014/main" id="{5B8E8894-1253-4503-B5C3-59AE513DEB16}"/>
            </a:ext>
          </a:extLst>
        </xdr:cNvPr>
        <xdr:cNvGrpSpPr/>
      </xdr:nvGrpSpPr>
      <xdr:grpSpPr>
        <a:xfrm>
          <a:off x="345278" y="750094"/>
          <a:ext cx="1628463" cy="9842462"/>
          <a:chOff x="350042" y="654846"/>
          <a:chExt cx="1485588" cy="10223462"/>
        </a:xfrm>
      </xdr:grpSpPr>
      <xdr:pic>
        <xdr:nvPicPr>
          <xdr:cNvPr id="7" name="Graphic 6">
            <a:extLst>
              <a:ext uri="{FF2B5EF4-FFF2-40B4-BE49-F238E27FC236}">
                <a16:creationId xmlns:a16="http://schemas.microsoft.com/office/drawing/2014/main" id="{B4B7D747-DE24-422B-9DE9-2A0A34ED7CDC}"/>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654846"/>
            <a:ext cx="1485588" cy="1214436"/>
          </a:xfrm>
          <a:prstGeom prst="rect">
            <a:avLst/>
          </a:prstGeom>
        </xdr:spPr>
      </xdr:pic>
      <xdr:pic>
        <xdr:nvPicPr>
          <xdr:cNvPr id="8" name="Graphic 7">
            <a:extLst>
              <a:ext uri="{FF2B5EF4-FFF2-40B4-BE49-F238E27FC236}">
                <a16:creationId xmlns:a16="http://schemas.microsoft.com/office/drawing/2014/main" id="{BA942EDA-A733-496D-8915-56B741E55E4F}"/>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1155347"/>
            <a:ext cx="1485588" cy="1214436"/>
          </a:xfrm>
          <a:prstGeom prst="rect">
            <a:avLst/>
          </a:prstGeom>
        </xdr:spPr>
      </xdr:pic>
      <xdr:pic>
        <xdr:nvPicPr>
          <xdr:cNvPr id="9" name="Graphic 8">
            <a:extLst>
              <a:ext uri="{FF2B5EF4-FFF2-40B4-BE49-F238E27FC236}">
                <a16:creationId xmlns:a16="http://schemas.microsoft.com/office/drawing/2014/main" id="{FB45FA14-4D12-4E39-A3E0-351C9719BCD9}"/>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1655848"/>
            <a:ext cx="1485588" cy="1214436"/>
          </a:xfrm>
          <a:prstGeom prst="rect">
            <a:avLst/>
          </a:prstGeom>
        </xdr:spPr>
      </xdr:pic>
      <xdr:pic>
        <xdr:nvPicPr>
          <xdr:cNvPr id="10" name="Graphic 9">
            <a:extLst>
              <a:ext uri="{FF2B5EF4-FFF2-40B4-BE49-F238E27FC236}">
                <a16:creationId xmlns:a16="http://schemas.microsoft.com/office/drawing/2014/main" id="{20FF1A94-71CD-44FD-992B-EA878DDF79B8}"/>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2156349"/>
            <a:ext cx="1485588" cy="1214436"/>
          </a:xfrm>
          <a:prstGeom prst="rect">
            <a:avLst/>
          </a:prstGeom>
        </xdr:spPr>
      </xdr:pic>
      <xdr:pic>
        <xdr:nvPicPr>
          <xdr:cNvPr id="12" name="Graphic 11">
            <a:extLst>
              <a:ext uri="{FF2B5EF4-FFF2-40B4-BE49-F238E27FC236}">
                <a16:creationId xmlns:a16="http://schemas.microsoft.com/office/drawing/2014/main" id="{85E83303-8236-46FC-873B-045E7F2F821A}"/>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3157351"/>
            <a:ext cx="1485588" cy="1214436"/>
          </a:xfrm>
          <a:prstGeom prst="rect">
            <a:avLst/>
          </a:prstGeom>
        </xdr:spPr>
      </xdr:pic>
      <xdr:pic>
        <xdr:nvPicPr>
          <xdr:cNvPr id="13" name="Graphic 12">
            <a:extLst>
              <a:ext uri="{FF2B5EF4-FFF2-40B4-BE49-F238E27FC236}">
                <a16:creationId xmlns:a16="http://schemas.microsoft.com/office/drawing/2014/main" id="{B1FC7FDA-6BC9-4809-BE6D-88DC74602718}"/>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3657852"/>
            <a:ext cx="1485588" cy="1214436"/>
          </a:xfrm>
          <a:prstGeom prst="rect">
            <a:avLst/>
          </a:prstGeom>
        </xdr:spPr>
      </xdr:pic>
      <xdr:pic>
        <xdr:nvPicPr>
          <xdr:cNvPr id="11" name="Graphic 10">
            <a:extLst>
              <a:ext uri="{FF2B5EF4-FFF2-40B4-BE49-F238E27FC236}">
                <a16:creationId xmlns:a16="http://schemas.microsoft.com/office/drawing/2014/main" id="{3FB2C2FE-0CB5-4764-878A-71E5010E2D8B}"/>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rcRect r="28388"/>
          <a:stretch/>
        </xdr:blipFill>
        <xdr:spPr>
          <a:xfrm>
            <a:off x="350042" y="2656850"/>
            <a:ext cx="1485588" cy="1214436"/>
          </a:xfrm>
          <a:prstGeom prst="rect">
            <a:avLst/>
          </a:prstGeom>
        </xdr:spPr>
      </xdr:pic>
      <xdr:pic>
        <xdr:nvPicPr>
          <xdr:cNvPr id="14" name="Graphic 13">
            <a:extLst>
              <a:ext uri="{FF2B5EF4-FFF2-40B4-BE49-F238E27FC236}">
                <a16:creationId xmlns:a16="http://schemas.microsoft.com/office/drawing/2014/main" id="{86D9A97A-444E-4E07-A2B8-CD51999777C7}"/>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4158353"/>
            <a:ext cx="1485588" cy="1214436"/>
          </a:xfrm>
          <a:prstGeom prst="rect">
            <a:avLst/>
          </a:prstGeom>
        </xdr:spPr>
      </xdr:pic>
      <xdr:pic>
        <xdr:nvPicPr>
          <xdr:cNvPr id="15" name="Graphic 14">
            <a:extLst>
              <a:ext uri="{FF2B5EF4-FFF2-40B4-BE49-F238E27FC236}">
                <a16:creationId xmlns:a16="http://schemas.microsoft.com/office/drawing/2014/main" id="{2DD76434-FA09-4CD6-B2B5-33FEEE3C7B12}"/>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4658854"/>
            <a:ext cx="1485588" cy="1214436"/>
          </a:xfrm>
          <a:prstGeom prst="rect">
            <a:avLst/>
          </a:prstGeom>
        </xdr:spPr>
      </xdr:pic>
      <xdr:pic>
        <xdr:nvPicPr>
          <xdr:cNvPr id="16" name="Graphic 15">
            <a:extLst>
              <a:ext uri="{FF2B5EF4-FFF2-40B4-BE49-F238E27FC236}">
                <a16:creationId xmlns:a16="http://schemas.microsoft.com/office/drawing/2014/main" id="{85AEA0D7-A744-49DC-86A8-86530BC2843A}"/>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5159355"/>
            <a:ext cx="1485588" cy="1214436"/>
          </a:xfrm>
          <a:prstGeom prst="rect">
            <a:avLst/>
          </a:prstGeom>
        </xdr:spPr>
      </xdr:pic>
      <xdr:pic>
        <xdr:nvPicPr>
          <xdr:cNvPr id="17" name="Graphic 16">
            <a:extLst>
              <a:ext uri="{FF2B5EF4-FFF2-40B4-BE49-F238E27FC236}">
                <a16:creationId xmlns:a16="http://schemas.microsoft.com/office/drawing/2014/main" id="{4D50668A-3A44-4E9B-B875-1083BCE5667C}"/>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5659856"/>
            <a:ext cx="1485588" cy="1214436"/>
          </a:xfrm>
          <a:prstGeom prst="rect">
            <a:avLst/>
          </a:prstGeom>
        </xdr:spPr>
      </xdr:pic>
      <xdr:pic>
        <xdr:nvPicPr>
          <xdr:cNvPr id="18" name="Graphic 17">
            <a:extLst>
              <a:ext uri="{FF2B5EF4-FFF2-40B4-BE49-F238E27FC236}">
                <a16:creationId xmlns:a16="http://schemas.microsoft.com/office/drawing/2014/main" id="{FCF1A81F-928E-4193-B4A9-640E0C84CE03}"/>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6160357"/>
            <a:ext cx="1485588" cy="1214436"/>
          </a:xfrm>
          <a:prstGeom prst="rect">
            <a:avLst/>
          </a:prstGeom>
        </xdr:spPr>
      </xdr:pic>
      <xdr:pic>
        <xdr:nvPicPr>
          <xdr:cNvPr id="19" name="Graphic 18">
            <a:extLst>
              <a:ext uri="{FF2B5EF4-FFF2-40B4-BE49-F238E27FC236}">
                <a16:creationId xmlns:a16="http://schemas.microsoft.com/office/drawing/2014/main" id="{305D9BB6-EC62-4108-AE01-356498A87DE6}"/>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6660858"/>
            <a:ext cx="1485588" cy="1214436"/>
          </a:xfrm>
          <a:prstGeom prst="rect">
            <a:avLst/>
          </a:prstGeom>
        </xdr:spPr>
      </xdr:pic>
      <xdr:pic>
        <xdr:nvPicPr>
          <xdr:cNvPr id="20" name="Graphic 19">
            <a:extLst>
              <a:ext uri="{FF2B5EF4-FFF2-40B4-BE49-F238E27FC236}">
                <a16:creationId xmlns:a16="http://schemas.microsoft.com/office/drawing/2014/main" id="{90C8CFCA-1B7E-4948-9634-888C6BC7DF54}"/>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7161359"/>
            <a:ext cx="1485588" cy="1214436"/>
          </a:xfrm>
          <a:prstGeom prst="rect">
            <a:avLst/>
          </a:prstGeom>
        </xdr:spPr>
      </xdr:pic>
      <xdr:pic>
        <xdr:nvPicPr>
          <xdr:cNvPr id="21" name="Graphic 20">
            <a:extLst>
              <a:ext uri="{FF2B5EF4-FFF2-40B4-BE49-F238E27FC236}">
                <a16:creationId xmlns:a16="http://schemas.microsoft.com/office/drawing/2014/main" id="{93C2B742-19C8-4C83-ACEA-8ED7DD7C2872}"/>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7661860"/>
            <a:ext cx="1485588" cy="1214436"/>
          </a:xfrm>
          <a:prstGeom prst="rect">
            <a:avLst/>
          </a:prstGeom>
        </xdr:spPr>
      </xdr:pic>
      <xdr:pic>
        <xdr:nvPicPr>
          <xdr:cNvPr id="22" name="Graphic 21">
            <a:extLst>
              <a:ext uri="{FF2B5EF4-FFF2-40B4-BE49-F238E27FC236}">
                <a16:creationId xmlns:a16="http://schemas.microsoft.com/office/drawing/2014/main" id="{7F67D170-8D9D-4B0B-A5C5-1455F112B5CC}"/>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8162361"/>
            <a:ext cx="1485588" cy="1214436"/>
          </a:xfrm>
          <a:prstGeom prst="rect">
            <a:avLst/>
          </a:prstGeom>
        </xdr:spPr>
      </xdr:pic>
      <xdr:pic>
        <xdr:nvPicPr>
          <xdr:cNvPr id="23" name="Graphic 22">
            <a:extLst>
              <a:ext uri="{FF2B5EF4-FFF2-40B4-BE49-F238E27FC236}">
                <a16:creationId xmlns:a16="http://schemas.microsoft.com/office/drawing/2014/main" id="{E8905BA1-EF4E-4B9A-BFED-5E282DECCB85}"/>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8662862"/>
            <a:ext cx="1485588" cy="1214436"/>
          </a:xfrm>
          <a:prstGeom prst="rect">
            <a:avLst/>
          </a:prstGeom>
        </xdr:spPr>
      </xdr:pic>
      <xdr:pic>
        <xdr:nvPicPr>
          <xdr:cNvPr id="24" name="Graphic 23">
            <a:extLst>
              <a:ext uri="{FF2B5EF4-FFF2-40B4-BE49-F238E27FC236}">
                <a16:creationId xmlns:a16="http://schemas.microsoft.com/office/drawing/2014/main" id="{368D69A3-5843-4D72-8892-6F9C7DD61194}"/>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9163363"/>
            <a:ext cx="1485588" cy="1214436"/>
          </a:xfrm>
          <a:prstGeom prst="rect">
            <a:avLst/>
          </a:prstGeom>
        </xdr:spPr>
      </xdr:pic>
      <xdr:pic>
        <xdr:nvPicPr>
          <xdr:cNvPr id="25" name="Graphic 24">
            <a:extLst>
              <a:ext uri="{FF2B5EF4-FFF2-40B4-BE49-F238E27FC236}">
                <a16:creationId xmlns:a16="http://schemas.microsoft.com/office/drawing/2014/main" id="{FC580C3C-4A0C-452C-A922-FF94BA049AED}"/>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9663872"/>
            <a:ext cx="1485588" cy="1214436"/>
          </a:xfrm>
          <a:prstGeom prst="rect">
            <a:avLst/>
          </a:prstGeom>
        </xdr:spPr>
      </xdr:pic>
    </xdr:grpSp>
    <xdr:clientData/>
  </xdr:twoCellAnchor>
  <xdr:twoCellAnchor>
    <xdr:from>
      <xdr:col>0</xdr:col>
      <xdr:colOff>453617</xdr:colOff>
      <xdr:row>6</xdr:row>
      <xdr:rowOff>93938</xdr:rowOff>
    </xdr:from>
    <xdr:to>
      <xdr:col>2</xdr:col>
      <xdr:colOff>508089</xdr:colOff>
      <xdr:row>53</xdr:row>
      <xdr:rowOff>104462</xdr:rowOff>
    </xdr:to>
    <xdr:grpSp>
      <xdr:nvGrpSpPr>
        <xdr:cNvPr id="26" name="Group 25">
          <a:extLst>
            <a:ext uri="{FF2B5EF4-FFF2-40B4-BE49-F238E27FC236}">
              <a16:creationId xmlns:a16="http://schemas.microsoft.com/office/drawing/2014/main" id="{557EFC66-D89C-4409-91CB-746FCAEE6E62}"/>
            </a:ext>
          </a:extLst>
        </xdr:cNvPr>
        <xdr:cNvGrpSpPr/>
      </xdr:nvGrpSpPr>
      <xdr:grpSpPr>
        <a:xfrm>
          <a:off x="453617" y="1225032"/>
          <a:ext cx="1364160" cy="8916399"/>
          <a:chOff x="487686" y="1129784"/>
          <a:chExt cx="1268910" cy="9273586"/>
        </a:xfrm>
      </xdr:grpSpPr>
      <xdr:sp macro="" textlink="">
        <xdr:nvSpPr>
          <xdr:cNvPr id="27" name="TextBox 26">
            <a:hlinkClick xmlns:r="http://schemas.openxmlformats.org/officeDocument/2006/relationships" r:id="rId9"/>
            <a:extLst>
              <a:ext uri="{FF2B5EF4-FFF2-40B4-BE49-F238E27FC236}">
                <a16:creationId xmlns:a16="http://schemas.microsoft.com/office/drawing/2014/main" id="{C09DD67B-0602-42FF-9CFF-7C84D574F4F6}"/>
              </a:ext>
            </a:extLst>
          </xdr:cNvPr>
          <xdr:cNvSpPr txBox="1"/>
        </xdr:nvSpPr>
        <xdr:spPr>
          <a:xfrm>
            <a:off x="784825" y="1129784"/>
            <a:ext cx="67317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Từ</a:t>
            </a:r>
            <a:r>
              <a:rPr lang="en-US" sz="1100" b="1" baseline="0">
                <a:solidFill>
                  <a:schemeClr val="bg1"/>
                </a:solidFill>
              </a:rPr>
              <a:t> khóa</a:t>
            </a:r>
            <a:endParaRPr lang="en-US" sz="1100" b="1">
              <a:solidFill>
                <a:schemeClr val="bg1"/>
              </a:solidFill>
            </a:endParaRPr>
          </a:p>
        </xdr:txBody>
      </xdr:sp>
      <xdr:sp macro="" textlink="">
        <xdr:nvSpPr>
          <xdr:cNvPr id="28" name="TextBox 27">
            <a:hlinkClick xmlns:r="http://schemas.openxmlformats.org/officeDocument/2006/relationships" r:id="rId10"/>
            <a:extLst>
              <a:ext uri="{FF2B5EF4-FFF2-40B4-BE49-F238E27FC236}">
                <a16:creationId xmlns:a16="http://schemas.microsoft.com/office/drawing/2014/main" id="{D910BD7B-5509-492E-8F6C-84A6185B6688}"/>
              </a:ext>
            </a:extLst>
          </xdr:cNvPr>
          <xdr:cNvSpPr txBox="1"/>
        </xdr:nvSpPr>
        <xdr:spPr>
          <a:xfrm>
            <a:off x="708434" y="1630285"/>
            <a:ext cx="82595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Dashboard</a:t>
            </a:r>
          </a:p>
        </xdr:txBody>
      </xdr:sp>
      <xdr:sp macro="" textlink="">
        <xdr:nvSpPr>
          <xdr:cNvPr id="29" name="TextBox 28">
            <a:hlinkClick xmlns:r="http://schemas.openxmlformats.org/officeDocument/2006/relationships" r:id="rId11"/>
            <a:extLst>
              <a:ext uri="{FF2B5EF4-FFF2-40B4-BE49-F238E27FC236}">
                <a16:creationId xmlns:a16="http://schemas.microsoft.com/office/drawing/2014/main" id="{F24163CB-4988-4990-9AFD-65D8F3367949}"/>
              </a:ext>
            </a:extLst>
          </xdr:cNvPr>
          <xdr:cNvSpPr txBox="1"/>
        </xdr:nvSpPr>
        <xdr:spPr>
          <a:xfrm>
            <a:off x="495750" y="2130786"/>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Mục</a:t>
            </a:r>
            <a:r>
              <a:rPr lang="en-US" sz="1100" b="1" baseline="0">
                <a:solidFill>
                  <a:schemeClr val="bg1"/>
                </a:solidFill>
                <a:effectLst/>
                <a:latin typeface="+mn-lt"/>
                <a:ea typeface="+mn-ea"/>
                <a:cs typeface="+mn-cs"/>
              </a:rPr>
              <a:t> tiêu bản thân</a:t>
            </a:r>
            <a:endParaRPr lang="en-US">
              <a:solidFill>
                <a:schemeClr val="bg1"/>
              </a:solidFill>
              <a:effectLst/>
            </a:endParaRPr>
          </a:p>
        </xdr:txBody>
      </xdr:sp>
      <xdr:sp macro="" textlink="">
        <xdr:nvSpPr>
          <xdr:cNvPr id="30" name="TextBox 29">
            <a:hlinkClick xmlns:r="http://schemas.openxmlformats.org/officeDocument/2006/relationships" r:id="rId12"/>
            <a:extLst>
              <a:ext uri="{FF2B5EF4-FFF2-40B4-BE49-F238E27FC236}">
                <a16:creationId xmlns:a16="http://schemas.microsoft.com/office/drawing/2014/main" id="{EE34AA9C-9CCB-40B4-B273-C9F78AFB6F7B}"/>
              </a:ext>
            </a:extLst>
          </xdr:cNvPr>
          <xdr:cNvSpPr txBox="1"/>
        </xdr:nvSpPr>
        <xdr:spPr>
          <a:xfrm>
            <a:off x="495750" y="2631287"/>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Mục</a:t>
            </a:r>
            <a:r>
              <a:rPr lang="en-US" sz="1100" b="1" baseline="0">
                <a:solidFill>
                  <a:schemeClr val="bg1"/>
                </a:solidFill>
                <a:effectLst/>
                <a:latin typeface="+mn-lt"/>
                <a:ea typeface="+mn-ea"/>
                <a:cs typeface="+mn-cs"/>
              </a:rPr>
              <a:t> tiêu tài chính</a:t>
            </a:r>
            <a:endParaRPr lang="en-US">
              <a:solidFill>
                <a:schemeClr val="bg1"/>
              </a:solidFill>
              <a:effectLst/>
            </a:endParaRPr>
          </a:p>
        </xdr:txBody>
      </xdr:sp>
      <xdr:sp macro="" textlink="">
        <xdr:nvSpPr>
          <xdr:cNvPr id="31" name="TextBox 30">
            <a:hlinkClick xmlns:r="http://schemas.openxmlformats.org/officeDocument/2006/relationships" r:id="rId13"/>
            <a:extLst>
              <a:ext uri="{FF2B5EF4-FFF2-40B4-BE49-F238E27FC236}">
                <a16:creationId xmlns:a16="http://schemas.microsoft.com/office/drawing/2014/main" id="{E9B7A825-1D5F-4A7F-ADB0-5CC7986C5ED9}"/>
              </a:ext>
            </a:extLst>
          </xdr:cNvPr>
          <xdr:cNvSpPr txBox="1"/>
        </xdr:nvSpPr>
        <xdr:spPr>
          <a:xfrm>
            <a:off x="487686" y="3020663"/>
            <a:ext cx="1260846" cy="459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b="1">
                <a:solidFill>
                  <a:sysClr val="windowText" lastClr="000000"/>
                </a:solidFill>
                <a:effectLst/>
                <a:latin typeface="+mn-lt"/>
                <a:ea typeface="+mn-ea"/>
                <a:cs typeface="+mn-cs"/>
              </a:rPr>
              <a:t>Cân</a:t>
            </a:r>
            <a:r>
              <a:rPr lang="en-US" sz="1100" b="1" baseline="0">
                <a:solidFill>
                  <a:sysClr val="windowText" lastClr="000000"/>
                </a:solidFill>
                <a:effectLst/>
                <a:latin typeface="+mn-lt"/>
                <a:ea typeface="+mn-ea"/>
                <a:cs typeface="+mn-cs"/>
              </a:rPr>
              <a:t> đối</a:t>
            </a:r>
            <a:endParaRPr lang="en-US">
              <a:solidFill>
                <a:sysClr val="windowText" lastClr="000000"/>
              </a:solidFill>
              <a:effectLst/>
            </a:endParaRPr>
          </a:p>
          <a:p>
            <a:pPr algn="ctr"/>
            <a:r>
              <a:rPr lang="en-US" sz="1100" b="1" baseline="0">
                <a:solidFill>
                  <a:sysClr val="windowText" lastClr="000000"/>
                </a:solidFill>
                <a:effectLst/>
                <a:latin typeface="+mn-lt"/>
                <a:ea typeface="+mn-ea"/>
                <a:cs typeface="+mn-cs"/>
              </a:rPr>
              <a:t>l</a:t>
            </a:r>
            <a:r>
              <a:rPr lang="en-US" sz="1100" b="1">
                <a:solidFill>
                  <a:sysClr val="windowText" lastClr="000000"/>
                </a:solidFill>
                <a:effectLst/>
                <a:latin typeface="+mn-lt"/>
                <a:ea typeface="+mn-ea"/>
                <a:cs typeface="+mn-cs"/>
              </a:rPr>
              <a:t>ộ</a:t>
            </a:r>
            <a:r>
              <a:rPr lang="en-US" sz="1100" b="1" baseline="0">
                <a:solidFill>
                  <a:sysClr val="windowText" lastClr="000000"/>
                </a:solidFill>
                <a:effectLst/>
                <a:latin typeface="+mn-lt"/>
                <a:ea typeface="+mn-ea"/>
                <a:cs typeface="+mn-cs"/>
              </a:rPr>
              <a:t> trình nghề nghiệp</a:t>
            </a:r>
            <a:endParaRPr lang="en-US">
              <a:solidFill>
                <a:sysClr val="windowText" lastClr="000000"/>
              </a:solidFill>
              <a:effectLst/>
            </a:endParaRPr>
          </a:p>
        </xdr:txBody>
      </xdr:sp>
      <xdr:sp macro="" textlink="">
        <xdr:nvSpPr>
          <xdr:cNvPr id="32" name="TextBox 31">
            <a:hlinkClick xmlns:r="http://schemas.openxmlformats.org/officeDocument/2006/relationships" r:id="rId14"/>
            <a:extLst>
              <a:ext uri="{FF2B5EF4-FFF2-40B4-BE49-F238E27FC236}">
                <a16:creationId xmlns:a16="http://schemas.microsoft.com/office/drawing/2014/main" id="{C58BD9AB-C09F-45FB-823B-A7B881B97DA7}"/>
              </a:ext>
            </a:extLst>
          </xdr:cNvPr>
          <xdr:cNvSpPr txBox="1"/>
        </xdr:nvSpPr>
        <xdr:spPr>
          <a:xfrm>
            <a:off x="487686" y="3521164"/>
            <a:ext cx="1260846" cy="459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100" b="1">
                <a:solidFill>
                  <a:schemeClr val="bg1"/>
                </a:solidFill>
                <a:effectLst/>
                <a:latin typeface="+mn-lt"/>
                <a:ea typeface="+mn-ea"/>
                <a:cs typeface="+mn-cs"/>
              </a:rPr>
              <a:t>Kế</a:t>
            </a:r>
            <a:r>
              <a:rPr lang="en-US" sz="1100" b="1" baseline="0">
                <a:solidFill>
                  <a:schemeClr val="bg1"/>
                </a:solidFill>
                <a:effectLst/>
                <a:latin typeface="+mn-lt"/>
                <a:ea typeface="+mn-ea"/>
                <a:cs typeface="+mn-cs"/>
              </a:rPr>
              <a:t> hoạch </a:t>
            </a:r>
          </a:p>
          <a:p>
            <a:pPr algn="ctr"/>
            <a:r>
              <a:rPr lang="en-US" sz="1100" b="1" baseline="0">
                <a:solidFill>
                  <a:schemeClr val="bg1"/>
                </a:solidFill>
                <a:effectLst/>
                <a:latin typeface="+mn-lt"/>
                <a:ea typeface="+mn-ea"/>
                <a:cs typeface="+mn-cs"/>
              </a:rPr>
              <a:t>thu nhập &amp; chi tiêu</a:t>
            </a:r>
            <a:endParaRPr lang="en-US">
              <a:solidFill>
                <a:schemeClr val="bg1"/>
              </a:solidFill>
              <a:effectLst/>
            </a:endParaRPr>
          </a:p>
        </xdr:txBody>
      </xdr:sp>
      <xdr:sp macro="" textlink="">
        <xdr:nvSpPr>
          <xdr:cNvPr id="33" name="TextBox 32">
            <a:hlinkClick xmlns:r="http://schemas.openxmlformats.org/officeDocument/2006/relationships" r:id="rId15"/>
            <a:extLst>
              <a:ext uri="{FF2B5EF4-FFF2-40B4-BE49-F238E27FC236}">
                <a16:creationId xmlns:a16="http://schemas.microsoft.com/office/drawing/2014/main" id="{2947FC27-5905-47FF-B01F-F330DC732AE9}"/>
              </a:ext>
            </a:extLst>
          </xdr:cNvPr>
          <xdr:cNvSpPr txBox="1"/>
        </xdr:nvSpPr>
        <xdr:spPr>
          <a:xfrm>
            <a:off x="495750" y="413279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a:t>
            </a:r>
            <a:endParaRPr lang="en-US">
              <a:solidFill>
                <a:schemeClr val="bg1"/>
              </a:solidFill>
              <a:effectLst/>
            </a:endParaRPr>
          </a:p>
        </xdr:txBody>
      </xdr:sp>
      <xdr:sp macro="" textlink="">
        <xdr:nvSpPr>
          <xdr:cNvPr id="34" name="TextBox 33">
            <a:hlinkClick xmlns:r="http://schemas.openxmlformats.org/officeDocument/2006/relationships" r:id="rId16"/>
            <a:extLst>
              <a:ext uri="{FF2B5EF4-FFF2-40B4-BE49-F238E27FC236}">
                <a16:creationId xmlns:a16="http://schemas.microsoft.com/office/drawing/2014/main" id="{0883E6DB-111B-4D83-B0C5-5AB6E0DC861D}"/>
              </a:ext>
            </a:extLst>
          </xdr:cNvPr>
          <xdr:cNvSpPr txBox="1"/>
        </xdr:nvSpPr>
        <xdr:spPr>
          <a:xfrm>
            <a:off x="495750" y="4633291"/>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2</a:t>
            </a:r>
            <a:endParaRPr lang="en-US">
              <a:solidFill>
                <a:schemeClr val="bg1"/>
              </a:solidFill>
              <a:effectLst/>
            </a:endParaRPr>
          </a:p>
        </xdr:txBody>
      </xdr:sp>
      <xdr:sp macro="" textlink="">
        <xdr:nvSpPr>
          <xdr:cNvPr id="35" name="TextBox 34">
            <a:hlinkClick xmlns:r="http://schemas.openxmlformats.org/officeDocument/2006/relationships" r:id="rId17"/>
            <a:extLst>
              <a:ext uri="{FF2B5EF4-FFF2-40B4-BE49-F238E27FC236}">
                <a16:creationId xmlns:a16="http://schemas.microsoft.com/office/drawing/2014/main" id="{534D0B3A-6270-460C-A161-58CED7229404}"/>
              </a:ext>
            </a:extLst>
          </xdr:cNvPr>
          <xdr:cNvSpPr txBox="1"/>
        </xdr:nvSpPr>
        <xdr:spPr>
          <a:xfrm>
            <a:off x="495750" y="5133792"/>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3</a:t>
            </a:r>
            <a:endParaRPr lang="en-US">
              <a:solidFill>
                <a:schemeClr val="bg1"/>
              </a:solidFill>
              <a:effectLst/>
            </a:endParaRPr>
          </a:p>
        </xdr:txBody>
      </xdr:sp>
      <xdr:sp macro="" textlink="">
        <xdr:nvSpPr>
          <xdr:cNvPr id="36" name="TextBox 35">
            <a:hlinkClick xmlns:r="http://schemas.openxmlformats.org/officeDocument/2006/relationships" r:id="rId18"/>
            <a:extLst>
              <a:ext uri="{FF2B5EF4-FFF2-40B4-BE49-F238E27FC236}">
                <a16:creationId xmlns:a16="http://schemas.microsoft.com/office/drawing/2014/main" id="{0FC76E6D-3964-4615-9DB1-73056D68C558}"/>
              </a:ext>
            </a:extLst>
          </xdr:cNvPr>
          <xdr:cNvSpPr txBox="1"/>
        </xdr:nvSpPr>
        <xdr:spPr>
          <a:xfrm>
            <a:off x="495750" y="5634293"/>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4</a:t>
            </a:r>
            <a:endParaRPr lang="en-US">
              <a:solidFill>
                <a:schemeClr val="bg1"/>
              </a:solidFill>
              <a:effectLst/>
            </a:endParaRPr>
          </a:p>
        </xdr:txBody>
      </xdr:sp>
      <xdr:sp macro="" textlink="">
        <xdr:nvSpPr>
          <xdr:cNvPr id="37" name="TextBox 36">
            <a:hlinkClick xmlns:r="http://schemas.openxmlformats.org/officeDocument/2006/relationships" r:id="rId19"/>
            <a:extLst>
              <a:ext uri="{FF2B5EF4-FFF2-40B4-BE49-F238E27FC236}">
                <a16:creationId xmlns:a16="http://schemas.microsoft.com/office/drawing/2014/main" id="{E7F19061-FA82-4388-9A15-C63D17B997A5}"/>
              </a:ext>
            </a:extLst>
          </xdr:cNvPr>
          <xdr:cNvSpPr txBox="1"/>
        </xdr:nvSpPr>
        <xdr:spPr>
          <a:xfrm>
            <a:off x="495750" y="6134794"/>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5</a:t>
            </a:r>
            <a:endParaRPr lang="en-US">
              <a:solidFill>
                <a:schemeClr val="bg1"/>
              </a:solidFill>
              <a:effectLst/>
            </a:endParaRPr>
          </a:p>
        </xdr:txBody>
      </xdr:sp>
      <xdr:sp macro="" textlink="">
        <xdr:nvSpPr>
          <xdr:cNvPr id="38" name="TextBox 37">
            <a:hlinkClick xmlns:r="http://schemas.openxmlformats.org/officeDocument/2006/relationships" r:id="rId20"/>
            <a:extLst>
              <a:ext uri="{FF2B5EF4-FFF2-40B4-BE49-F238E27FC236}">
                <a16:creationId xmlns:a16="http://schemas.microsoft.com/office/drawing/2014/main" id="{D01C9F07-D0CD-4155-ACCA-8A101845C30A}"/>
              </a:ext>
            </a:extLst>
          </xdr:cNvPr>
          <xdr:cNvSpPr txBox="1"/>
        </xdr:nvSpPr>
        <xdr:spPr>
          <a:xfrm>
            <a:off x="495750" y="6635295"/>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6</a:t>
            </a:r>
            <a:endParaRPr lang="en-US">
              <a:solidFill>
                <a:schemeClr val="bg1"/>
              </a:solidFill>
              <a:effectLst/>
            </a:endParaRPr>
          </a:p>
        </xdr:txBody>
      </xdr:sp>
      <xdr:sp macro="" textlink="">
        <xdr:nvSpPr>
          <xdr:cNvPr id="39" name="TextBox 38">
            <a:hlinkClick xmlns:r="http://schemas.openxmlformats.org/officeDocument/2006/relationships" r:id="rId21"/>
            <a:extLst>
              <a:ext uri="{FF2B5EF4-FFF2-40B4-BE49-F238E27FC236}">
                <a16:creationId xmlns:a16="http://schemas.microsoft.com/office/drawing/2014/main" id="{40B2524D-1180-4C4A-93B7-58F4CCFB3F4A}"/>
              </a:ext>
            </a:extLst>
          </xdr:cNvPr>
          <xdr:cNvSpPr txBox="1"/>
        </xdr:nvSpPr>
        <xdr:spPr>
          <a:xfrm>
            <a:off x="495750" y="7135796"/>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7</a:t>
            </a:r>
            <a:endParaRPr lang="en-US">
              <a:solidFill>
                <a:schemeClr val="bg1"/>
              </a:solidFill>
              <a:effectLst/>
            </a:endParaRPr>
          </a:p>
        </xdr:txBody>
      </xdr:sp>
      <xdr:sp macro="" textlink="">
        <xdr:nvSpPr>
          <xdr:cNvPr id="40" name="TextBox 39">
            <a:hlinkClick xmlns:r="http://schemas.openxmlformats.org/officeDocument/2006/relationships" r:id="rId22"/>
            <a:extLst>
              <a:ext uri="{FF2B5EF4-FFF2-40B4-BE49-F238E27FC236}">
                <a16:creationId xmlns:a16="http://schemas.microsoft.com/office/drawing/2014/main" id="{B98DD4F6-9E88-4F6B-8FE6-E25A15183500}"/>
              </a:ext>
            </a:extLst>
          </xdr:cNvPr>
          <xdr:cNvSpPr txBox="1"/>
        </xdr:nvSpPr>
        <xdr:spPr>
          <a:xfrm>
            <a:off x="495750" y="7636297"/>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8</a:t>
            </a:r>
            <a:endParaRPr lang="en-US">
              <a:solidFill>
                <a:schemeClr val="bg1"/>
              </a:solidFill>
              <a:effectLst/>
            </a:endParaRPr>
          </a:p>
        </xdr:txBody>
      </xdr:sp>
      <xdr:sp macro="" textlink="">
        <xdr:nvSpPr>
          <xdr:cNvPr id="41" name="TextBox 40">
            <a:hlinkClick xmlns:r="http://schemas.openxmlformats.org/officeDocument/2006/relationships" r:id="rId23"/>
            <a:extLst>
              <a:ext uri="{FF2B5EF4-FFF2-40B4-BE49-F238E27FC236}">
                <a16:creationId xmlns:a16="http://schemas.microsoft.com/office/drawing/2014/main" id="{882C5714-1F27-4814-8873-58C789F2CB38}"/>
              </a:ext>
            </a:extLst>
          </xdr:cNvPr>
          <xdr:cNvSpPr txBox="1"/>
        </xdr:nvSpPr>
        <xdr:spPr>
          <a:xfrm>
            <a:off x="495750" y="8136798"/>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9</a:t>
            </a:r>
            <a:endParaRPr lang="en-US">
              <a:solidFill>
                <a:schemeClr val="bg1"/>
              </a:solidFill>
              <a:effectLst/>
            </a:endParaRPr>
          </a:p>
        </xdr:txBody>
      </xdr:sp>
      <xdr:sp macro="" textlink="">
        <xdr:nvSpPr>
          <xdr:cNvPr id="42" name="TextBox 41">
            <a:hlinkClick xmlns:r="http://schemas.openxmlformats.org/officeDocument/2006/relationships" r:id="rId24"/>
            <a:extLst>
              <a:ext uri="{FF2B5EF4-FFF2-40B4-BE49-F238E27FC236}">
                <a16:creationId xmlns:a16="http://schemas.microsoft.com/office/drawing/2014/main" id="{1F1C301E-1BA8-42E9-B9FE-457F60B9D6AA}"/>
              </a:ext>
            </a:extLst>
          </xdr:cNvPr>
          <xdr:cNvSpPr txBox="1"/>
        </xdr:nvSpPr>
        <xdr:spPr>
          <a:xfrm>
            <a:off x="495750" y="8637299"/>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10</a:t>
            </a:r>
            <a:endParaRPr lang="en-US">
              <a:solidFill>
                <a:schemeClr val="bg1"/>
              </a:solidFill>
              <a:effectLst/>
            </a:endParaRPr>
          </a:p>
        </xdr:txBody>
      </xdr:sp>
      <xdr:sp macro="" textlink="">
        <xdr:nvSpPr>
          <xdr:cNvPr id="43" name="TextBox 42">
            <a:hlinkClick xmlns:r="http://schemas.openxmlformats.org/officeDocument/2006/relationships" r:id="rId25"/>
            <a:extLst>
              <a:ext uri="{FF2B5EF4-FFF2-40B4-BE49-F238E27FC236}">
                <a16:creationId xmlns:a16="http://schemas.microsoft.com/office/drawing/2014/main" id="{D86BBB52-D36D-4E61-9A6F-139976D4ACD4}"/>
              </a:ext>
            </a:extLst>
          </xdr:cNvPr>
          <xdr:cNvSpPr txBox="1"/>
        </xdr:nvSpPr>
        <xdr:spPr>
          <a:xfrm>
            <a:off x="495750" y="913780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11</a:t>
            </a:r>
            <a:endParaRPr lang="en-US">
              <a:solidFill>
                <a:schemeClr val="bg1"/>
              </a:solidFill>
              <a:effectLst/>
            </a:endParaRPr>
          </a:p>
        </xdr:txBody>
      </xdr:sp>
      <xdr:sp macro="" textlink="">
        <xdr:nvSpPr>
          <xdr:cNvPr id="44" name="TextBox 43">
            <a:hlinkClick xmlns:r="http://schemas.openxmlformats.org/officeDocument/2006/relationships" r:id="rId26"/>
            <a:extLst>
              <a:ext uri="{FF2B5EF4-FFF2-40B4-BE49-F238E27FC236}">
                <a16:creationId xmlns:a16="http://schemas.microsoft.com/office/drawing/2014/main" id="{5C8E5273-91DB-4474-8E06-45F5C33B0046}"/>
              </a:ext>
            </a:extLst>
          </xdr:cNvPr>
          <xdr:cNvSpPr txBox="1"/>
        </xdr:nvSpPr>
        <xdr:spPr>
          <a:xfrm>
            <a:off x="495750" y="9638301"/>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12</a:t>
            </a:r>
            <a:endParaRPr lang="en-US">
              <a:solidFill>
                <a:schemeClr val="bg1"/>
              </a:solidFill>
              <a:effectLst/>
            </a:endParaRPr>
          </a:p>
        </xdr:txBody>
      </xdr:sp>
      <xdr:sp macro="" textlink="">
        <xdr:nvSpPr>
          <xdr:cNvPr id="45" name="TextBox 44">
            <a:hlinkClick xmlns:r="http://schemas.openxmlformats.org/officeDocument/2006/relationships" r:id="rId27"/>
            <a:extLst>
              <a:ext uri="{FF2B5EF4-FFF2-40B4-BE49-F238E27FC236}">
                <a16:creationId xmlns:a16="http://schemas.microsoft.com/office/drawing/2014/main" id="{331096D0-F6FB-48A2-9EB2-EA122F69C6CD}"/>
              </a:ext>
            </a:extLst>
          </xdr:cNvPr>
          <xdr:cNvSpPr txBox="1"/>
        </xdr:nvSpPr>
        <xdr:spPr>
          <a:xfrm>
            <a:off x="495750" y="1013881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b="1">
                <a:solidFill>
                  <a:schemeClr val="bg1"/>
                </a:solidFill>
                <a:effectLst/>
                <a:latin typeface="+mn-lt"/>
                <a:ea typeface="+mn-ea"/>
                <a:cs typeface="+mn-cs"/>
              </a:rPr>
              <a:t>Bảng</a:t>
            </a:r>
            <a:r>
              <a:rPr lang="en-US" sz="1100" b="1" baseline="0">
                <a:solidFill>
                  <a:schemeClr val="bg1"/>
                </a:solidFill>
                <a:effectLst/>
                <a:latin typeface="+mn-lt"/>
                <a:ea typeface="+mn-ea"/>
                <a:cs typeface="+mn-cs"/>
              </a:rPr>
              <a:t> khảo sát</a:t>
            </a:r>
            <a:endParaRPr lang="en-US">
              <a:solidFill>
                <a:schemeClr val="bg1"/>
              </a:solidFill>
              <a:effectLst/>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190500</xdr:colOff>
      <xdr:row>0</xdr:row>
      <xdr:rowOff>103688</xdr:rowOff>
    </xdr:from>
    <xdr:to>
      <xdr:col>2</xdr:col>
      <xdr:colOff>472440</xdr:colOff>
      <xdr:row>3</xdr:row>
      <xdr:rowOff>24759</xdr:rowOff>
    </xdr:to>
    <xdr:grpSp>
      <xdr:nvGrpSpPr>
        <xdr:cNvPr id="2" name="Group 1">
          <a:hlinkClick xmlns:r="http://schemas.openxmlformats.org/officeDocument/2006/relationships" r:id="rId1"/>
          <a:extLst>
            <a:ext uri="{FF2B5EF4-FFF2-40B4-BE49-F238E27FC236}">
              <a16:creationId xmlns:a16="http://schemas.microsoft.com/office/drawing/2014/main" id="{73F360AF-156A-40B4-AA5D-8481D2A31FDD}"/>
            </a:ext>
          </a:extLst>
        </xdr:cNvPr>
        <xdr:cNvGrpSpPr/>
      </xdr:nvGrpSpPr>
      <xdr:grpSpPr>
        <a:xfrm>
          <a:off x="190500" y="103688"/>
          <a:ext cx="1591628" cy="504477"/>
          <a:chOff x="190500" y="103688"/>
          <a:chExt cx="1501140" cy="492571"/>
        </a:xfrm>
      </xdr:grpSpPr>
      <xdr:sp macro="" textlink="">
        <xdr:nvSpPr>
          <xdr:cNvPr id="3" name="TextBox 2">
            <a:extLst>
              <a:ext uri="{FF2B5EF4-FFF2-40B4-BE49-F238E27FC236}">
                <a16:creationId xmlns:a16="http://schemas.microsoft.com/office/drawing/2014/main" id="{74466D42-FFC7-4CE3-8196-E59EB9812EC1}"/>
              </a:ext>
            </a:extLst>
          </xdr:cNvPr>
          <xdr:cNvSpPr txBox="1"/>
        </xdr:nvSpPr>
        <xdr:spPr>
          <a:xfrm>
            <a:off x="457200" y="103688"/>
            <a:ext cx="1234440" cy="4925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300" b="1" baseline="0">
                <a:solidFill>
                  <a:schemeClr val="bg1"/>
                </a:solidFill>
                <a:latin typeface="Roboto" pitchFamily="2" charset="0"/>
                <a:ea typeface="Roboto" pitchFamily="2" charset="0"/>
                <a:cs typeface="Times New Roman" panose="02020603050405020304" pitchFamily="18" charset="0"/>
              </a:rPr>
              <a:t>TÀI CHÍNH</a:t>
            </a:r>
          </a:p>
          <a:p>
            <a:pPr algn="ctr"/>
            <a:r>
              <a:rPr lang="en-US" sz="1300" b="1" baseline="0">
                <a:solidFill>
                  <a:schemeClr val="bg1"/>
                </a:solidFill>
                <a:latin typeface="Roboto" pitchFamily="2" charset="0"/>
                <a:ea typeface="Roboto" pitchFamily="2" charset="0"/>
                <a:cs typeface="Times New Roman" panose="02020603050405020304" pitchFamily="18" charset="0"/>
              </a:rPr>
              <a:t>CÁ NHÂN</a:t>
            </a:r>
            <a:endParaRPr lang="en-US" sz="1300" b="1">
              <a:solidFill>
                <a:schemeClr val="bg1"/>
              </a:solidFill>
              <a:latin typeface="Roboto" pitchFamily="2" charset="0"/>
              <a:ea typeface="Roboto" pitchFamily="2" charset="0"/>
              <a:cs typeface="Times New Roman" panose="02020603050405020304" pitchFamily="18" charset="0"/>
            </a:endParaRPr>
          </a:p>
        </xdr:txBody>
      </xdr:sp>
      <xdr:pic>
        <xdr:nvPicPr>
          <xdr:cNvPr id="4" name="Graphic 3" descr="Diamond">
            <a:extLst>
              <a:ext uri="{FF2B5EF4-FFF2-40B4-BE49-F238E27FC236}">
                <a16:creationId xmlns:a16="http://schemas.microsoft.com/office/drawing/2014/main" id="{716C84FF-211F-41CD-AC41-AB44BBCCF47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90500" y="167093"/>
            <a:ext cx="365760" cy="365760"/>
          </a:xfrm>
          <a:prstGeom prst="rect">
            <a:avLst/>
          </a:prstGeom>
        </xdr:spPr>
      </xdr:pic>
    </xdr:grpSp>
    <xdr:clientData/>
  </xdr:twoCellAnchor>
  <xdr:twoCellAnchor>
    <xdr:from>
      <xdr:col>0</xdr:col>
      <xdr:colOff>345280</xdr:colOff>
      <xdr:row>4</xdr:row>
      <xdr:rowOff>0</xdr:rowOff>
    </xdr:from>
    <xdr:to>
      <xdr:col>3</xdr:col>
      <xdr:colOff>9212</xdr:colOff>
      <xdr:row>57</xdr:row>
      <xdr:rowOff>43619</xdr:rowOff>
    </xdr:to>
    <xdr:grpSp>
      <xdr:nvGrpSpPr>
        <xdr:cNvPr id="5" name="Group 4">
          <a:extLst>
            <a:ext uri="{FF2B5EF4-FFF2-40B4-BE49-F238E27FC236}">
              <a16:creationId xmlns:a16="http://schemas.microsoft.com/office/drawing/2014/main" id="{0C871BDC-FC21-4937-A7EE-C4E8D2C6BCD8}"/>
            </a:ext>
          </a:extLst>
        </xdr:cNvPr>
        <xdr:cNvGrpSpPr/>
      </xdr:nvGrpSpPr>
      <xdr:grpSpPr>
        <a:xfrm>
          <a:off x="345280" y="767954"/>
          <a:ext cx="1628463" cy="9848415"/>
          <a:chOff x="350042" y="654846"/>
          <a:chExt cx="1485588" cy="10223462"/>
        </a:xfrm>
      </xdr:grpSpPr>
      <xdr:pic>
        <xdr:nvPicPr>
          <xdr:cNvPr id="6" name="Graphic 5">
            <a:extLst>
              <a:ext uri="{FF2B5EF4-FFF2-40B4-BE49-F238E27FC236}">
                <a16:creationId xmlns:a16="http://schemas.microsoft.com/office/drawing/2014/main" id="{17E17C65-244A-4F44-A95E-FFB6250C97CE}"/>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654846"/>
            <a:ext cx="1485588" cy="1214436"/>
          </a:xfrm>
          <a:prstGeom prst="rect">
            <a:avLst/>
          </a:prstGeom>
        </xdr:spPr>
      </xdr:pic>
      <xdr:pic>
        <xdr:nvPicPr>
          <xdr:cNvPr id="7" name="Graphic 6">
            <a:extLst>
              <a:ext uri="{FF2B5EF4-FFF2-40B4-BE49-F238E27FC236}">
                <a16:creationId xmlns:a16="http://schemas.microsoft.com/office/drawing/2014/main" id="{445AE84D-2398-40D4-9DAE-F20042B4D41B}"/>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1155347"/>
            <a:ext cx="1485588" cy="1214436"/>
          </a:xfrm>
          <a:prstGeom prst="rect">
            <a:avLst/>
          </a:prstGeom>
        </xdr:spPr>
      </xdr:pic>
      <xdr:pic>
        <xdr:nvPicPr>
          <xdr:cNvPr id="8" name="Graphic 7">
            <a:extLst>
              <a:ext uri="{FF2B5EF4-FFF2-40B4-BE49-F238E27FC236}">
                <a16:creationId xmlns:a16="http://schemas.microsoft.com/office/drawing/2014/main" id="{469F7C72-E28E-41E4-9856-967295CA6B23}"/>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1655848"/>
            <a:ext cx="1485588" cy="1214436"/>
          </a:xfrm>
          <a:prstGeom prst="rect">
            <a:avLst/>
          </a:prstGeom>
        </xdr:spPr>
      </xdr:pic>
      <xdr:pic>
        <xdr:nvPicPr>
          <xdr:cNvPr id="9" name="Graphic 8">
            <a:extLst>
              <a:ext uri="{FF2B5EF4-FFF2-40B4-BE49-F238E27FC236}">
                <a16:creationId xmlns:a16="http://schemas.microsoft.com/office/drawing/2014/main" id="{46A0E852-3BAD-4994-8BB4-595949D479F2}"/>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2156349"/>
            <a:ext cx="1485588" cy="1214436"/>
          </a:xfrm>
          <a:prstGeom prst="rect">
            <a:avLst/>
          </a:prstGeom>
        </xdr:spPr>
      </xdr:pic>
      <xdr:pic>
        <xdr:nvPicPr>
          <xdr:cNvPr id="10" name="Graphic 9">
            <a:extLst>
              <a:ext uri="{FF2B5EF4-FFF2-40B4-BE49-F238E27FC236}">
                <a16:creationId xmlns:a16="http://schemas.microsoft.com/office/drawing/2014/main" id="{DBB7EED2-B834-422A-A0F9-788F854061E6}"/>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2656850"/>
            <a:ext cx="1485588" cy="1214436"/>
          </a:xfrm>
          <a:prstGeom prst="rect">
            <a:avLst/>
          </a:prstGeom>
        </xdr:spPr>
      </xdr:pic>
      <xdr:pic>
        <xdr:nvPicPr>
          <xdr:cNvPr id="12" name="Graphic 11">
            <a:extLst>
              <a:ext uri="{FF2B5EF4-FFF2-40B4-BE49-F238E27FC236}">
                <a16:creationId xmlns:a16="http://schemas.microsoft.com/office/drawing/2014/main" id="{B283E9C9-54E5-492E-AC08-B618E4B99D7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3657852"/>
            <a:ext cx="1485588" cy="1214436"/>
          </a:xfrm>
          <a:prstGeom prst="rect">
            <a:avLst/>
          </a:prstGeom>
        </xdr:spPr>
      </xdr:pic>
      <xdr:pic>
        <xdr:nvPicPr>
          <xdr:cNvPr id="11" name="Graphic 10">
            <a:extLst>
              <a:ext uri="{FF2B5EF4-FFF2-40B4-BE49-F238E27FC236}">
                <a16:creationId xmlns:a16="http://schemas.microsoft.com/office/drawing/2014/main" id="{133FBC62-7915-493C-A178-C802721C98FB}"/>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r="28388"/>
          <a:stretch/>
        </xdr:blipFill>
        <xdr:spPr>
          <a:xfrm>
            <a:off x="350042" y="3157351"/>
            <a:ext cx="1485588" cy="1214436"/>
          </a:xfrm>
          <a:prstGeom prst="rect">
            <a:avLst/>
          </a:prstGeom>
        </xdr:spPr>
      </xdr:pic>
      <xdr:pic>
        <xdr:nvPicPr>
          <xdr:cNvPr id="13" name="Graphic 12">
            <a:extLst>
              <a:ext uri="{FF2B5EF4-FFF2-40B4-BE49-F238E27FC236}">
                <a16:creationId xmlns:a16="http://schemas.microsoft.com/office/drawing/2014/main" id="{EEEF0A46-673E-4901-B727-A11BAA8280D1}"/>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4158353"/>
            <a:ext cx="1485588" cy="1214436"/>
          </a:xfrm>
          <a:prstGeom prst="rect">
            <a:avLst/>
          </a:prstGeom>
        </xdr:spPr>
      </xdr:pic>
      <xdr:pic>
        <xdr:nvPicPr>
          <xdr:cNvPr id="14" name="Graphic 13">
            <a:extLst>
              <a:ext uri="{FF2B5EF4-FFF2-40B4-BE49-F238E27FC236}">
                <a16:creationId xmlns:a16="http://schemas.microsoft.com/office/drawing/2014/main" id="{9A56DFD4-6DDA-4AE4-947E-106C41044CE1}"/>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4658854"/>
            <a:ext cx="1485588" cy="1214436"/>
          </a:xfrm>
          <a:prstGeom prst="rect">
            <a:avLst/>
          </a:prstGeom>
        </xdr:spPr>
      </xdr:pic>
      <xdr:pic>
        <xdr:nvPicPr>
          <xdr:cNvPr id="15" name="Graphic 14">
            <a:extLst>
              <a:ext uri="{FF2B5EF4-FFF2-40B4-BE49-F238E27FC236}">
                <a16:creationId xmlns:a16="http://schemas.microsoft.com/office/drawing/2014/main" id="{48731035-4FD3-41BC-A0B6-E9A6009BCC2C}"/>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5159355"/>
            <a:ext cx="1485588" cy="1214436"/>
          </a:xfrm>
          <a:prstGeom prst="rect">
            <a:avLst/>
          </a:prstGeom>
        </xdr:spPr>
      </xdr:pic>
      <xdr:pic>
        <xdr:nvPicPr>
          <xdr:cNvPr id="16" name="Graphic 15">
            <a:extLst>
              <a:ext uri="{FF2B5EF4-FFF2-40B4-BE49-F238E27FC236}">
                <a16:creationId xmlns:a16="http://schemas.microsoft.com/office/drawing/2014/main" id="{145B81E9-3937-4F08-84C2-0943A0474049}"/>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5659856"/>
            <a:ext cx="1485588" cy="1214436"/>
          </a:xfrm>
          <a:prstGeom prst="rect">
            <a:avLst/>
          </a:prstGeom>
        </xdr:spPr>
      </xdr:pic>
      <xdr:pic>
        <xdr:nvPicPr>
          <xdr:cNvPr id="17" name="Graphic 16">
            <a:extLst>
              <a:ext uri="{FF2B5EF4-FFF2-40B4-BE49-F238E27FC236}">
                <a16:creationId xmlns:a16="http://schemas.microsoft.com/office/drawing/2014/main" id="{2591A30E-6349-4897-AF6B-C1856FF5E7E8}"/>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6160357"/>
            <a:ext cx="1485588" cy="1214436"/>
          </a:xfrm>
          <a:prstGeom prst="rect">
            <a:avLst/>
          </a:prstGeom>
        </xdr:spPr>
      </xdr:pic>
      <xdr:pic>
        <xdr:nvPicPr>
          <xdr:cNvPr id="18" name="Graphic 17">
            <a:extLst>
              <a:ext uri="{FF2B5EF4-FFF2-40B4-BE49-F238E27FC236}">
                <a16:creationId xmlns:a16="http://schemas.microsoft.com/office/drawing/2014/main" id="{2B4E6E2E-5AE4-45BB-8120-98B461A065C2}"/>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6660858"/>
            <a:ext cx="1485588" cy="1214436"/>
          </a:xfrm>
          <a:prstGeom prst="rect">
            <a:avLst/>
          </a:prstGeom>
        </xdr:spPr>
      </xdr:pic>
      <xdr:pic>
        <xdr:nvPicPr>
          <xdr:cNvPr id="19" name="Graphic 18">
            <a:extLst>
              <a:ext uri="{FF2B5EF4-FFF2-40B4-BE49-F238E27FC236}">
                <a16:creationId xmlns:a16="http://schemas.microsoft.com/office/drawing/2014/main" id="{2B288474-74C9-4BD1-8232-8EEA6A410B36}"/>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7161359"/>
            <a:ext cx="1485588" cy="1214436"/>
          </a:xfrm>
          <a:prstGeom prst="rect">
            <a:avLst/>
          </a:prstGeom>
        </xdr:spPr>
      </xdr:pic>
      <xdr:pic>
        <xdr:nvPicPr>
          <xdr:cNvPr id="20" name="Graphic 19">
            <a:extLst>
              <a:ext uri="{FF2B5EF4-FFF2-40B4-BE49-F238E27FC236}">
                <a16:creationId xmlns:a16="http://schemas.microsoft.com/office/drawing/2014/main" id="{0986898C-2D5D-4169-B3E3-7D4B1536D1DB}"/>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7661860"/>
            <a:ext cx="1485588" cy="1214436"/>
          </a:xfrm>
          <a:prstGeom prst="rect">
            <a:avLst/>
          </a:prstGeom>
        </xdr:spPr>
      </xdr:pic>
      <xdr:pic>
        <xdr:nvPicPr>
          <xdr:cNvPr id="21" name="Graphic 20">
            <a:extLst>
              <a:ext uri="{FF2B5EF4-FFF2-40B4-BE49-F238E27FC236}">
                <a16:creationId xmlns:a16="http://schemas.microsoft.com/office/drawing/2014/main" id="{73DDB2A2-E4A1-49FC-843C-8528F7E09913}"/>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8162361"/>
            <a:ext cx="1485588" cy="1214436"/>
          </a:xfrm>
          <a:prstGeom prst="rect">
            <a:avLst/>
          </a:prstGeom>
        </xdr:spPr>
      </xdr:pic>
      <xdr:pic>
        <xdr:nvPicPr>
          <xdr:cNvPr id="22" name="Graphic 21">
            <a:extLst>
              <a:ext uri="{FF2B5EF4-FFF2-40B4-BE49-F238E27FC236}">
                <a16:creationId xmlns:a16="http://schemas.microsoft.com/office/drawing/2014/main" id="{C7093AD0-FDC9-46C8-A779-9BC136235138}"/>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8662862"/>
            <a:ext cx="1485588" cy="1214436"/>
          </a:xfrm>
          <a:prstGeom prst="rect">
            <a:avLst/>
          </a:prstGeom>
        </xdr:spPr>
      </xdr:pic>
      <xdr:pic>
        <xdr:nvPicPr>
          <xdr:cNvPr id="23" name="Graphic 22">
            <a:extLst>
              <a:ext uri="{FF2B5EF4-FFF2-40B4-BE49-F238E27FC236}">
                <a16:creationId xmlns:a16="http://schemas.microsoft.com/office/drawing/2014/main" id="{9AE32D4C-58D1-4740-91C0-CD2D0BF31A1B}"/>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9163363"/>
            <a:ext cx="1485588" cy="1214436"/>
          </a:xfrm>
          <a:prstGeom prst="rect">
            <a:avLst/>
          </a:prstGeom>
        </xdr:spPr>
      </xdr:pic>
      <xdr:pic>
        <xdr:nvPicPr>
          <xdr:cNvPr id="24" name="Graphic 23">
            <a:extLst>
              <a:ext uri="{FF2B5EF4-FFF2-40B4-BE49-F238E27FC236}">
                <a16:creationId xmlns:a16="http://schemas.microsoft.com/office/drawing/2014/main" id="{C47BFF51-CD6A-44EA-A8DE-8685EE0D5596}"/>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r="28388"/>
          <a:stretch/>
        </xdr:blipFill>
        <xdr:spPr>
          <a:xfrm>
            <a:off x="350042" y="9663872"/>
            <a:ext cx="1485588" cy="1214436"/>
          </a:xfrm>
          <a:prstGeom prst="rect">
            <a:avLst/>
          </a:prstGeom>
        </xdr:spPr>
      </xdr:pic>
    </xdr:grpSp>
    <xdr:clientData/>
  </xdr:twoCellAnchor>
  <xdr:twoCellAnchor>
    <xdr:from>
      <xdr:col>0</xdr:col>
      <xdr:colOff>453619</xdr:colOff>
      <xdr:row>6</xdr:row>
      <xdr:rowOff>93938</xdr:rowOff>
    </xdr:from>
    <xdr:to>
      <xdr:col>2</xdr:col>
      <xdr:colOff>508091</xdr:colOff>
      <xdr:row>54</xdr:row>
      <xdr:rowOff>140181</xdr:rowOff>
    </xdr:to>
    <xdr:grpSp>
      <xdr:nvGrpSpPr>
        <xdr:cNvPr id="25" name="Group 24">
          <a:extLst>
            <a:ext uri="{FF2B5EF4-FFF2-40B4-BE49-F238E27FC236}">
              <a16:creationId xmlns:a16="http://schemas.microsoft.com/office/drawing/2014/main" id="{8CA225B1-4B84-4539-8E40-AB903F2364C9}"/>
            </a:ext>
          </a:extLst>
        </xdr:cNvPr>
        <xdr:cNvGrpSpPr/>
      </xdr:nvGrpSpPr>
      <xdr:grpSpPr>
        <a:xfrm>
          <a:off x="453619" y="1242892"/>
          <a:ext cx="1364160" cy="8934258"/>
          <a:chOff x="487686" y="1129784"/>
          <a:chExt cx="1268910" cy="9273586"/>
        </a:xfrm>
      </xdr:grpSpPr>
      <xdr:sp macro="" textlink="">
        <xdr:nvSpPr>
          <xdr:cNvPr id="26" name="TextBox 25">
            <a:hlinkClick xmlns:r="http://schemas.openxmlformats.org/officeDocument/2006/relationships" r:id="rId8"/>
            <a:extLst>
              <a:ext uri="{FF2B5EF4-FFF2-40B4-BE49-F238E27FC236}">
                <a16:creationId xmlns:a16="http://schemas.microsoft.com/office/drawing/2014/main" id="{94C796CB-45E5-4265-B183-8B0B87F0AFCC}"/>
              </a:ext>
            </a:extLst>
          </xdr:cNvPr>
          <xdr:cNvSpPr txBox="1"/>
        </xdr:nvSpPr>
        <xdr:spPr>
          <a:xfrm>
            <a:off x="784825" y="1129784"/>
            <a:ext cx="67317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Từ</a:t>
            </a:r>
            <a:r>
              <a:rPr lang="en-US" sz="1100" b="1" baseline="0">
                <a:solidFill>
                  <a:schemeClr val="bg1"/>
                </a:solidFill>
              </a:rPr>
              <a:t> khóa</a:t>
            </a:r>
            <a:endParaRPr lang="en-US" sz="1100" b="1">
              <a:solidFill>
                <a:schemeClr val="bg1"/>
              </a:solidFill>
            </a:endParaRPr>
          </a:p>
        </xdr:txBody>
      </xdr:sp>
      <xdr:sp macro="" textlink="">
        <xdr:nvSpPr>
          <xdr:cNvPr id="27" name="TextBox 26">
            <a:hlinkClick xmlns:r="http://schemas.openxmlformats.org/officeDocument/2006/relationships" r:id="rId9"/>
            <a:extLst>
              <a:ext uri="{FF2B5EF4-FFF2-40B4-BE49-F238E27FC236}">
                <a16:creationId xmlns:a16="http://schemas.microsoft.com/office/drawing/2014/main" id="{4F6CB077-95D8-4132-97A7-985E726373F5}"/>
              </a:ext>
            </a:extLst>
          </xdr:cNvPr>
          <xdr:cNvSpPr txBox="1"/>
        </xdr:nvSpPr>
        <xdr:spPr>
          <a:xfrm>
            <a:off x="708434" y="1630285"/>
            <a:ext cx="82595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Dashboard</a:t>
            </a:r>
          </a:p>
        </xdr:txBody>
      </xdr:sp>
      <xdr:sp macro="" textlink="">
        <xdr:nvSpPr>
          <xdr:cNvPr id="28" name="TextBox 27">
            <a:hlinkClick xmlns:r="http://schemas.openxmlformats.org/officeDocument/2006/relationships" r:id="rId10"/>
            <a:extLst>
              <a:ext uri="{FF2B5EF4-FFF2-40B4-BE49-F238E27FC236}">
                <a16:creationId xmlns:a16="http://schemas.microsoft.com/office/drawing/2014/main" id="{47608AC5-E2B1-4A45-AD0D-9214D05F0FE1}"/>
              </a:ext>
            </a:extLst>
          </xdr:cNvPr>
          <xdr:cNvSpPr txBox="1"/>
        </xdr:nvSpPr>
        <xdr:spPr>
          <a:xfrm>
            <a:off x="495750" y="2130786"/>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Mục</a:t>
            </a:r>
            <a:r>
              <a:rPr lang="en-US" sz="1100" b="1" baseline="0">
                <a:solidFill>
                  <a:schemeClr val="bg1"/>
                </a:solidFill>
                <a:effectLst/>
                <a:latin typeface="+mn-lt"/>
                <a:ea typeface="+mn-ea"/>
                <a:cs typeface="+mn-cs"/>
              </a:rPr>
              <a:t> tiêu bản thân</a:t>
            </a:r>
            <a:endParaRPr lang="en-US">
              <a:solidFill>
                <a:schemeClr val="bg1"/>
              </a:solidFill>
              <a:effectLst/>
            </a:endParaRPr>
          </a:p>
        </xdr:txBody>
      </xdr:sp>
      <xdr:sp macro="" textlink="">
        <xdr:nvSpPr>
          <xdr:cNvPr id="29" name="TextBox 28">
            <a:hlinkClick xmlns:r="http://schemas.openxmlformats.org/officeDocument/2006/relationships" r:id="rId11"/>
            <a:extLst>
              <a:ext uri="{FF2B5EF4-FFF2-40B4-BE49-F238E27FC236}">
                <a16:creationId xmlns:a16="http://schemas.microsoft.com/office/drawing/2014/main" id="{320C1B62-BC5B-486C-ADCD-D164D788BBFB}"/>
              </a:ext>
            </a:extLst>
          </xdr:cNvPr>
          <xdr:cNvSpPr txBox="1"/>
        </xdr:nvSpPr>
        <xdr:spPr>
          <a:xfrm>
            <a:off x="495750" y="2631287"/>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Mục</a:t>
            </a:r>
            <a:r>
              <a:rPr lang="en-US" sz="1100" b="1" baseline="0">
                <a:solidFill>
                  <a:schemeClr val="bg1"/>
                </a:solidFill>
                <a:effectLst/>
                <a:latin typeface="+mn-lt"/>
                <a:ea typeface="+mn-ea"/>
                <a:cs typeface="+mn-cs"/>
              </a:rPr>
              <a:t> tiêu tài chính</a:t>
            </a:r>
            <a:endParaRPr lang="en-US">
              <a:solidFill>
                <a:schemeClr val="bg1"/>
              </a:solidFill>
              <a:effectLst/>
            </a:endParaRPr>
          </a:p>
        </xdr:txBody>
      </xdr:sp>
      <xdr:sp macro="" textlink="">
        <xdr:nvSpPr>
          <xdr:cNvPr id="30" name="TextBox 29">
            <a:hlinkClick xmlns:r="http://schemas.openxmlformats.org/officeDocument/2006/relationships" r:id="rId12"/>
            <a:extLst>
              <a:ext uri="{FF2B5EF4-FFF2-40B4-BE49-F238E27FC236}">
                <a16:creationId xmlns:a16="http://schemas.microsoft.com/office/drawing/2014/main" id="{85BF05E2-FD12-49B7-8F76-DF46E4B39CDF}"/>
              </a:ext>
            </a:extLst>
          </xdr:cNvPr>
          <xdr:cNvSpPr txBox="1"/>
        </xdr:nvSpPr>
        <xdr:spPr>
          <a:xfrm>
            <a:off x="487686" y="3020663"/>
            <a:ext cx="1260846" cy="459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b="1">
                <a:solidFill>
                  <a:schemeClr val="bg1"/>
                </a:solidFill>
                <a:effectLst/>
                <a:latin typeface="+mn-lt"/>
                <a:ea typeface="+mn-ea"/>
                <a:cs typeface="+mn-cs"/>
              </a:rPr>
              <a:t>Cân</a:t>
            </a:r>
            <a:r>
              <a:rPr lang="en-US" sz="1100" b="1" baseline="0">
                <a:solidFill>
                  <a:schemeClr val="bg1"/>
                </a:solidFill>
                <a:effectLst/>
                <a:latin typeface="+mn-lt"/>
                <a:ea typeface="+mn-ea"/>
                <a:cs typeface="+mn-cs"/>
              </a:rPr>
              <a:t> đối</a:t>
            </a:r>
            <a:endParaRPr lang="en-US">
              <a:solidFill>
                <a:schemeClr val="bg1"/>
              </a:solidFill>
              <a:effectLst/>
            </a:endParaRPr>
          </a:p>
          <a:p>
            <a:pPr algn="ctr"/>
            <a:r>
              <a:rPr lang="en-US" sz="1100" b="1" baseline="0">
                <a:solidFill>
                  <a:schemeClr val="bg1"/>
                </a:solidFill>
                <a:effectLst/>
                <a:latin typeface="+mn-lt"/>
                <a:ea typeface="+mn-ea"/>
                <a:cs typeface="+mn-cs"/>
              </a:rPr>
              <a:t>l</a:t>
            </a:r>
            <a:r>
              <a:rPr lang="en-US" sz="1100" b="1">
                <a:solidFill>
                  <a:schemeClr val="bg1"/>
                </a:solidFill>
                <a:effectLst/>
                <a:latin typeface="+mn-lt"/>
                <a:ea typeface="+mn-ea"/>
                <a:cs typeface="+mn-cs"/>
              </a:rPr>
              <a:t>ộ</a:t>
            </a:r>
            <a:r>
              <a:rPr lang="en-US" sz="1100" b="1" baseline="0">
                <a:solidFill>
                  <a:schemeClr val="bg1"/>
                </a:solidFill>
                <a:effectLst/>
                <a:latin typeface="+mn-lt"/>
                <a:ea typeface="+mn-ea"/>
                <a:cs typeface="+mn-cs"/>
              </a:rPr>
              <a:t> trình nghề nghiệp</a:t>
            </a:r>
            <a:endParaRPr lang="en-US">
              <a:solidFill>
                <a:schemeClr val="bg1"/>
              </a:solidFill>
              <a:effectLst/>
            </a:endParaRPr>
          </a:p>
        </xdr:txBody>
      </xdr:sp>
      <xdr:sp macro="" textlink="">
        <xdr:nvSpPr>
          <xdr:cNvPr id="31" name="TextBox 30">
            <a:hlinkClick xmlns:r="http://schemas.openxmlformats.org/officeDocument/2006/relationships" r:id="rId13"/>
            <a:extLst>
              <a:ext uri="{FF2B5EF4-FFF2-40B4-BE49-F238E27FC236}">
                <a16:creationId xmlns:a16="http://schemas.microsoft.com/office/drawing/2014/main" id="{59598D46-0D27-468A-8FF3-A8266A382460}"/>
              </a:ext>
            </a:extLst>
          </xdr:cNvPr>
          <xdr:cNvSpPr txBox="1"/>
        </xdr:nvSpPr>
        <xdr:spPr>
          <a:xfrm>
            <a:off x="487686" y="3521164"/>
            <a:ext cx="1260846" cy="459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100" b="1">
                <a:solidFill>
                  <a:sysClr val="windowText" lastClr="000000"/>
                </a:solidFill>
                <a:effectLst/>
                <a:latin typeface="+mn-lt"/>
                <a:ea typeface="+mn-ea"/>
                <a:cs typeface="+mn-cs"/>
              </a:rPr>
              <a:t>Kế</a:t>
            </a:r>
            <a:r>
              <a:rPr lang="en-US" sz="1100" b="1" baseline="0">
                <a:solidFill>
                  <a:sysClr val="windowText" lastClr="000000"/>
                </a:solidFill>
                <a:effectLst/>
                <a:latin typeface="+mn-lt"/>
                <a:ea typeface="+mn-ea"/>
                <a:cs typeface="+mn-cs"/>
              </a:rPr>
              <a:t> hoạch </a:t>
            </a:r>
          </a:p>
          <a:p>
            <a:pPr algn="ctr"/>
            <a:r>
              <a:rPr lang="en-US" sz="1100" b="1" baseline="0">
                <a:solidFill>
                  <a:sysClr val="windowText" lastClr="000000"/>
                </a:solidFill>
                <a:effectLst/>
                <a:latin typeface="+mn-lt"/>
                <a:ea typeface="+mn-ea"/>
                <a:cs typeface="+mn-cs"/>
              </a:rPr>
              <a:t>thu nhập &amp; chi tiêu</a:t>
            </a:r>
            <a:endParaRPr lang="en-US">
              <a:solidFill>
                <a:sysClr val="windowText" lastClr="000000"/>
              </a:solidFill>
              <a:effectLst/>
            </a:endParaRPr>
          </a:p>
        </xdr:txBody>
      </xdr:sp>
      <xdr:sp macro="" textlink="">
        <xdr:nvSpPr>
          <xdr:cNvPr id="32" name="TextBox 31">
            <a:hlinkClick xmlns:r="http://schemas.openxmlformats.org/officeDocument/2006/relationships" r:id="rId14"/>
            <a:extLst>
              <a:ext uri="{FF2B5EF4-FFF2-40B4-BE49-F238E27FC236}">
                <a16:creationId xmlns:a16="http://schemas.microsoft.com/office/drawing/2014/main" id="{F55A8D95-0134-4880-9BCA-6A2DF3CFF4CC}"/>
              </a:ext>
            </a:extLst>
          </xdr:cNvPr>
          <xdr:cNvSpPr txBox="1"/>
        </xdr:nvSpPr>
        <xdr:spPr>
          <a:xfrm>
            <a:off x="495750" y="413279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a:t>
            </a:r>
            <a:endParaRPr lang="en-US">
              <a:solidFill>
                <a:schemeClr val="bg1"/>
              </a:solidFill>
              <a:effectLst/>
            </a:endParaRPr>
          </a:p>
        </xdr:txBody>
      </xdr:sp>
      <xdr:sp macro="" textlink="">
        <xdr:nvSpPr>
          <xdr:cNvPr id="33" name="TextBox 32">
            <a:hlinkClick xmlns:r="http://schemas.openxmlformats.org/officeDocument/2006/relationships" r:id="rId15"/>
            <a:extLst>
              <a:ext uri="{FF2B5EF4-FFF2-40B4-BE49-F238E27FC236}">
                <a16:creationId xmlns:a16="http://schemas.microsoft.com/office/drawing/2014/main" id="{10A23C0C-97BF-4B2E-B20B-832D27B027C3}"/>
              </a:ext>
            </a:extLst>
          </xdr:cNvPr>
          <xdr:cNvSpPr txBox="1"/>
        </xdr:nvSpPr>
        <xdr:spPr>
          <a:xfrm>
            <a:off x="495750" y="4633291"/>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2</a:t>
            </a:r>
            <a:endParaRPr lang="en-US">
              <a:solidFill>
                <a:schemeClr val="bg1"/>
              </a:solidFill>
              <a:effectLst/>
            </a:endParaRPr>
          </a:p>
        </xdr:txBody>
      </xdr:sp>
      <xdr:sp macro="" textlink="">
        <xdr:nvSpPr>
          <xdr:cNvPr id="34" name="TextBox 33">
            <a:hlinkClick xmlns:r="http://schemas.openxmlformats.org/officeDocument/2006/relationships" r:id="rId16"/>
            <a:extLst>
              <a:ext uri="{FF2B5EF4-FFF2-40B4-BE49-F238E27FC236}">
                <a16:creationId xmlns:a16="http://schemas.microsoft.com/office/drawing/2014/main" id="{26889FBA-43EA-4760-AF85-E82707121715}"/>
              </a:ext>
            </a:extLst>
          </xdr:cNvPr>
          <xdr:cNvSpPr txBox="1"/>
        </xdr:nvSpPr>
        <xdr:spPr>
          <a:xfrm>
            <a:off x="495750" y="5133792"/>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3</a:t>
            </a:r>
            <a:endParaRPr lang="en-US">
              <a:solidFill>
                <a:schemeClr val="bg1"/>
              </a:solidFill>
              <a:effectLst/>
            </a:endParaRPr>
          </a:p>
        </xdr:txBody>
      </xdr:sp>
      <xdr:sp macro="" textlink="">
        <xdr:nvSpPr>
          <xdr:cNvPr id="35" name="TextBox 34">
            <a:hlinkClick xmlns:r="http://schemas.openxmlformats.org/officeDocument/2006/relationships" r:id="rId17"/>
            <a:extLst>
              <a:ext uri="{FF2B5EF4-FFF2-40B4-BE49-F238E27FC236}">
                <a16:creationId xmlns:a16="http://schemas.microsoft.com/office/drawing/2014/main" id="{FF9BFFB6-52A0-405A-92FE-9CC66C183797}"/>
              </a:ext>
            </a:extLst>
          </xdr:cNvPr>
          <xdr:cNvSpPr txBox="1"/>
        </xdr:nvSpPr>
        <xdr:spPr>
          <a:xfrm>
            <a:off x="495750" y="5634293"/>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4</a:t>
            </a:r>
            <a:endParaRPr lang="en-US">
              <a:solidFill>
                <a:schemeClr val="bg1"/>
              </a:solidFill>
              <a:effectLst/>
            </a:endParaRPr>
          </a:p>
        </xdr:txBody>
      </xdr:sp>
      <xdr:sp macro="" textlink="">
        <xdr:nvSpPr>
          <xdr:cNvPr id="36" name="TextBox 35">
            <a:hlinkClick xmlns:r="http://schemas.openxmlformats.org/officeDocument/2006/relationships" r:id="rId18"/>
            <a:extLst>
              <a:ext uri="{FF2B5EF4-FFF2-40B4-BE49-F238E27FC236}">
                <a16:creationId xmlns:a16="http://schemas.microsoft.com/office/drawing/2014/main" id="{434309E3-4961-4635-918B-0D8480BC87D4}"/>
              </a:ext>
            </a:extLst>
          </xdr:cNvPr>
          <xdr:cNvSpPr txBox="1"/>
        </xdr:nvSpPr>
        <xdr:spPr>
          <a:xfrm>
            <a:off x="495750" y="6134794"/>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5</a:t>
            </a:r>
            <a:endParaRPr lang="en-US">
              <a:solidFill>
                <a:schemeClr val="bg1"/>
              </a:solidFill>
              <a:effectLst/>
            </a:endParaRPr>
          </a:p>
        </xdr:txBody>
      </xdr:sp>
      <xdr:sp macro="" textlink="">
        <xdr:nvSpPr>
          <xdr:cNvPr id="37" name="TextBox 36">
            <a:hlinkClick xmlns:r="http://schemas.openxmlformats.org/officeDocument/2006/relationships" r:id="rId19"/>
            <a:extLst>
              <a:ext uri="{FF2B5EF4-FFF2-40B4-BE49-F238E27FC236}">
                <a16:creationId xmlns:a16="http://schemas.microsoft.com/office/drawing/2014/main" id="{74A77B3D-4C40-4A49-BA92-1022A6F97B94}"/>
              </a:ext>
            </a:extLst>
          </xdr:cNvPr>
          <xdr:cNvSpPr txBox="1"/>
        </xdr:nvSpPr>
        <xdr:spPr>
          <a:xfrm>
            <a:off x="495750" y="6635295"/>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6</a:t>
            </a:r>
            <a:endParaRPr lang="en-US">
              <a:solidFill>
                <a:schemeClr val="bg1"/>
              </a:solidFill>
              <a:effectLst/>
            </a:endParaRPr>
          </a:p>
        </xdr:txBody>
      </xdr:sp>
      <xdr:sp macro="" textlink="">
        <xdr:nvSpPr>
          <xdr:cNvPr id="38" name="TextBox 37">
            <a:hlinkClick xmlns:r="http://schemas.openxmlformats.org/officeDocument/2006/relationships" r:id="rId20"/>
            <a:extLst>
              <a:ext uri="{FF2B5EF4-FFF2-40B4-BE49-F238E27FC236}">
                <a16:creationId xmlns:a16="http://schemas.microsoft.com/office/drawing/2014/main" id="{605B496E-0FDB-4598-A84F-79EB67AAE74F}"/>
              </a:ext>
            </a:extLst>
          </xdr:cNvPr>
          <xdr:cNvSpPr txBox="1"/>
        </xdr:nvSpPr>
        <xdr:spPr>
          <a:xfrm>
            <a:off x="495750" y="7135796"/>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7</a:t>
            </a:r>
            <a:endParaRPr lang="en-US">
              <a:solidFill>
                <a:schemeClr val="bg1"/>
              </a:solidFill>
              <a:effectLst/>
            </a:endParaRPr>
          </a:p>
        </xdr:txBody>
      </xdr:sp>
      <xdr:sp macro="" textlink="">
        <xdr:nvSpPr>
          <xdr:cNvPr id="39" name="TextBox 38">
            <a:hlinkClick xmlns:r="http://schemas.openxmlformats.org/officeDocument/2006/relationships" r:id="rId21"/>
            <a:extLst>
              <a:ext uri="{FF2B5EF4-FFF2-40B4-BE49-F238E27FC236}">
                <a16:creationId xmlns:a16="http://schemas.microsoft.com/office/drawing/2014/main" id="{CBE19A4F-6F5E-4C3E-8CC8-C8B0EEC7853B}"/>
              </a:ext>
            </a:extLst>
          </xdr:cNvPr>
          <xdr:cNvSpPr txBox="1"/>
        </xdr:nvSpPr>
        <xdr:spPr>
          <a:xfrm>
            <a:off x="495750" y="7636297"/>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8</a:t>
            </a:r>
            <a:endParaRPr lang="en-US">
              <a:solidFill>
                <a:schemeClr val="bg1"/>
              </a:solidFill>
              <a:effectLst/>
            </a:endParaRPr>
          </a:p>
        </xdr:txBody>
      </xdr:sp>
      <xdr:sp macro="" textlink="">
        <xdr:nvSpPr>
          <xdr:cNvPr id="40" name="TextBox 39">
            <a:hlinkClick xmlns:r="http://schemas.openxmlformats.org/officeDocument/2006/relationships" r:id="rId22"/>
            <a:extLst>
              <a:ext uri="{FF2B5EF4-FFF2-40B4-BE49-F238E27FC236}">
                <a16:creationId xmlns:a16="http://schemas.microsoft.com/office/drawing/2014/main" id="{75B75D1C-C9F7-4CFC-BA69-FD99834B0133}"/>
              </a:ext>
            </a:extLst>
          </xdr:cNvPr>
          <xdr:cNvSpPr txBox="1"/>
        </xdr:nvSpPr>
        <xdr:spPr>
          <a:xfrm>
            <a:off x="495750" y="8136798"/>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9</a:t>
            </a:r>
            <a:endParaRPr lang="en-US">
              <a:solidFill>
                <a:schemeClr val="bg1"/>
              </a:solidFill>
              <a:effectLst/>
            </a:endParaRPr>
          </a:p>
        </xdr:txBody>
      </xdr:sp>
      <xdr:sp macro="" textlink="">
        <xdr:nvSpPr>
          <xdr:cNvPr id="41" name="TextBox 40">
            <a:hlinkClick xmlns:r="http://schemas.openxmlformats.org/officeDocument/2006/relationships" r:id="rId23"/>
            <a:extLst>
              <a:ext uri="{FF2B5EF4-FFF2-40B4-BE49-F238E27FC236}">
                <a16:creationId xmlns:a16="http://schemas.microsoft.com/office/drawing/2014/main" id="{35C375E0-0805-417D-9ED4-AEF6B27850D6}"/>
              </a:ext>
            </a:extLst>
          </xdr:cNvPr>
          <xdr:cNvSpPr txBox="1"/>
        </xdr:nvSpPr>
        <xdr:spPr>
          <a:xfrm>
            <a:off x="495750" y="8637299"/>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10</a:t>
            </a:r>
            <a:endParaRPr lang="en-US">
              <a:solidFill>
                <a:schemeClr val="bg1"/>
              </a:solidFill>
              <a:effectLst/>
            </a:endParaRPr>
          </a:p>
        </xdr:txBody>
      </xdr:sp>
      <xdr:sp macro="" textlink="">
        <xdr:nvSpPr>
          <xdr:cNvPr id="42" name="TextBox 41">
            <a:hlinkClick xmlns:r="http://schemas.openxmlformats.org/officeDocument/2006/relationships" r:id="rId24"/>
            <a:extLst>
              <a:ext uri="{FF2B5EF4-FFF2-40B4-BE49-F238E27FC236}">
                <a16:creationId xmlns:a16="http://schemas.microsoft.com/office/drawing/2014/main" id="{93DFB99F-D27B-4E5C-9CCD-68A64932B967}"/>
              </a:ext>
            </a:extLst>
          </xdr:cNvPr>
          <xdr:cNvSpPr txBox="1"/>
        </xdr:nvSpPr>
        <xdr:spPr>
          <a:xfrm>
            <a:off x="495750" y="913780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11</a:t>
            </a:r>
            <a:endParaRPr lang="en-US">
              <a:solidFill>
                <a:schemeClr val="bg1"/>
              </a:solidFill>
              <a:effectLst/>
            </a:endParaRPr>
          </a:p>
        </xdr:txBody>
      </xdr:sp>
      <xdr:sp macro="" textlink="">
        <xdr:nvSpPr>
          <xdr:cNvPr id="43" name="TextBox 42">
            <a:hlinkClick xmlns:r="http://schemas.openxmlformats.org/officeDocument/2006/relationships" r:id="rId25"/>
            <a:extLst>
              <a:ext uri="{FF2B5EF4-FFF2-40B4-BE49-F238E27FC236}">
                <a16:creationId xmlns:a16="http://schemas.microsoft.com/office/drawing/2014/main" id="{51C4E192-49CE-44B3-98B0-4BD059D0854F}"/>
              </a:ext>
            </a:extLst>
          </xdr:cNvPr>
          <xdr:cNvSpPr txBox="1"/>
        </xdr:nvSpPr>
        <xdr:spPr>
          <a:xfrm>
            <a:off x="495750" y="9638301"/>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12</a:t>
            </a:r>
            <a:endParaRPr lang="en-US">
              <a:solidFill>
                <a:schemeClr val="bg1"/>
              </a:solidFill>
              <a:effectLst/>
            </a:endParaRPr>
          </a:p>
        </xdr:txBody>
      </xdr:sp>
      <xdr:sp macro="" textlink="">
        <xdr:nvSpPr>
          <xdr:cNvPr id="44" name="TextBox 43">
            <a:hlinkClick xmlns:r="http://schemas.openxmlformats.org/officeDocument/2006/relationships" r:id="rId26"/>
            <a:extLst>
              <a:ext uri="{FF2B5EF4-FFF2-40B4-BE49-F238E27FC236}">
                <a16:creationId xmlns:a16="http://schemas.microsoft.com/office/drawing/2014/main" id="{424CF90C-33BF-43AE-BF1E-DC4F2F2AA6E8}"/>
              </a:ext>
            </a:extLst>
          </xdr:cNvPr>
          <xdr:cNvSpPr txBox="1"/>
        </xdr:nvSpPr>
        <xdr:spPr>
          <a:xfrm>
            <a:off x="495750" y="1013881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b="1">
                <a:solidFill>
                  <a:schemeClr val="bg1"/>
                </a:solidFill>
                <a:effectLst/>
                <a:latin typeface="+mn-lt"/>
                <a:ea typeface="+mn-ea"/>
                <a:cs typeface="+mn-cs"/>
              </a:rPr>
              <a:t>Bảng</a:t>
            </a:r>
            <a:r>
              <a:rPr lang="en-US" sz="1100" b="1" baseline="0">
                <a:solidFill>
                  <a:schemeClr val="bg1"/>
                </a:solidFill>
                <a:effectLst/>
                <a:latin typeface="+mn-lt"/>
                <a:ea typeface="+mn-ea"/>
                <a:cs typeface="+mn-cs"/>
              </a:rPr>
              <a:t> khảo sát</a:t>
            </a:r>
            <a:endParaRPr lang="en-US">
              <a:solidFill>
                <a:schemeClr val="bg1"/>
              </a:solidFill>
              <a:effectLst/>
            </a:endParaRP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190500</xdr:colOff>
      <xdr:row>0</xdr:row>
      <xdr:rowOff>103688</xdr:rowOff>
    </xdr:from>
    <xdr:to>
      <xdr:col>2</xdr:col>
      <xdr:colOff>472440</xdr:colOff>
      <xdr:row>3</xdr:row>
      <xdr:rowOff>24759</xdr:rowOff>
    </xdr:to>
    <xdr:grpSp>
      <xdr:nvGrpSpPr>
        <xdr:cNvPr id="2" name="Group 1">
          <a:hlinkClick xmlns:r="http://schemas.openxmlformats.org/officeDocument/2006/relationships" r:id="rId1"/>
          <a:extLst>
            <a:ext uri="{FF2B5EF4-FFF2-40B4-BE49-F238E27FC236}">
              <a16:creationId xmlns:a16="http://schemas.microsoft.com/office/drawing/2014/main" id="{A81B2C06-668E-47C0-9652-1CE57E2B7799}"/>
            </a:ext>
          </a:extLst>
        </xdr:cNvPr>
        <xdr:cNvGrpSpPr/>
      </xdr:nvGrpSpPr>
      <xdr:grpSpPr>
        <a:xfrm>
          <a:off x="190500" y="103688"/>
          <a:ext cx="1591628" cy="486619"/>
          <a:chOff x="190500" y="103688"/>
          <a:chExt cx="1501140" cy="492571"/>
        </a:xfrm>
      </xdr:grpSpPr>
      <xdr:sp macro="" textlink="">
        <xdr:nvSpPr>
          <xdr:cNvPr id="3" name="TextBox 2">
            <a:extLst>
              <a:ext uri="{FF2B5EF4-FFF2-40B4-BE49-F238E27FC236}">
                <a16:creationId xmlns:a16="http://schemas.microsoft.com/office/drawing/2014/main" id="{B03E47A2-4B69-403B-A319-6EBFD1BE1137}"/>
              </a:ext>
            </a:extLst>
          </xdr:cNvPr>
          <xdr:cNvSpPr txBox="1"/>
        </xdr:nvSpPr>
        <xdr:spPr>
          <a:xfrm>
            <a:off x="457200" y="103688"/>
            <a:ext cx="1234440" cy="4925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300" b="1" baseline="0">
                <a:solidFill>
                  <a:schemeClr val="bg1"/>
                </a:solidFill>
                <a:latin typeface="Roboto" pitchFamily="2" charset="0"/>
                <a:ea typeface="Roboto" pitchFamily="2" charset="0"/>
                <a:cs typeface="Times New Roman" panose="02020603050405020304" pitchFamily="18" charset="0"/>
              </a:rPr>
              <a:t>TÀI CHÍNH</a:t>
            </a:r>
          </a:p>
          <a:p>
            <a:pPr algn="ctr"/>
            <a:r>
              <a:rPr lang="en-US" sz="1300" b="1" baseline="0">
                <a:solidFill>
                  <a:schemeClr val="bg1"/>
                </a:solidFill>
                <a:latin typeface="Roboto" pitchFamily="2" charset="0"/>
                <a:ea typeface="Roboto" pitchFamily="2" charset="0"/>
                <a:cs typeface="Times New Roman" panose="02020603050405020304" pitchFamily="18" charset="0"/>
              </a:rPr>
              <a:t>CÁ NHÂN</a:t>
            </a:r>
            <a:endParaRPr lang="en-US" sz="1300" b="1">
              <a:solidFill>
                <a:schemeClr val="bg1"/>
              </a:solidFill>
              <a:latin typeface="Roboto" pitchFamily="2" charset="0"/>
              <a:ea typeface="Roboto" pitchFamily="2" charset="0"/>
              <a:cs typeface="Times New Roman" panose="02020603050405020304" pitchFamily="18" charset="0"/>
            </a:endParaRPr>
          </a:p>
        </xdr:txBody>
      </xdr:sp>
      <xdr:pic>
        <xdr:nvPicPr>
          <xdr:cNvPr id="4" name="Graphic 3" descr="Diamond">
            <a:extLst>
              <a:ext uri="{FF2B5EF4-FFF2-40B4-BE49-F238E27FC236}">
                <a16:creationId xmlns:a16="http://schemas.microsoft.com/office/drawing/2014/main" id="{ECDFC205-1FFC-492E-9622-2A26E0E5910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90500" y="167093"/>
            <a:ext cx="365760" cy="365760"/>
          </a:xfrm>
          <a:prstGeom prst="rect">
            <a:avLst/>
          </a:prstGeom>
        </xdr:spPr>
      </xdr:pic>
    </xdr:grpSp>
    <xdr:clientData/>
  </xdr:twoCellAnchor>
  <xdr:twoCellAnchor>
    <xdr:from>
      <xdr:col>9</xdr:col>
      <xdr:colOff>321468</xdr:colOff>
      <xdr:row>7</xdr:row>
      <xdr:rowOff>170258</xdr:rowOff>
    </xdr:from>
    <xdr:to>
      <xdr:col>23</xdr:col>
      <xdr:colOff>0</xdr:colOff>
      <xdr:row>22</xdr:row>
      <xdr:rowOff>35719</xdr:rowOff>
    </xdr:to>
    <xdr:graphicFrame macro="">
      <xdr:nvGraphicFramePr>
        <xdr:cNvPr id="9" name="Chart 8">
          <a:extLst>
            <a:ext uri="{FF2B5EF4-FFF2-40B4-BE49-F238E27FC236}">
              <a16:creationId xmlns:a16="http://schemas.microsoft.com/office/drawing/2014/main" id="{D90910AE-C29C-4D24-AB4E-0B1D78AE14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345278</xdr:colOff>
      <xdr:row>4</xdr:row>
      <xdr:rowOff>0</xdr:rowOff>
    </xdr:from>
    <xdr:to>
      <xdr:col>3</xdr:col>
      <xdr:colOff>9210</xdr:colOff>
      <xdr:row>57</xdr:row>
      <xdr:rowOff>43619</xdr:rowOff>
    </xdr:to>
    <xdr:grpSp>
      <xdr:nvGrpSpPr>
        <xdr:cNvPr id="10" name="Group 9">
          <a:extLst>
            <a:ext uri="{FF2B5EF4-FFF2-40B4-BE49-F238E27FC236}">
              <a16:creationId xmlns:a16="http://schemas.microsoft.com/office/drawing/2014/main" id="{91788C7B-5A2A-4DDA-A612-69B22D38773A}"/>
            </a:ext>
          </a:extLst>
        </xdr:cNvPr>
        <xdr:cNvGrpSpPr/>
      </xdr:nvGrpSpPr>
      <xdr:grpSpPr>
        <a:xfrm>
          <a:off x="345278" y="750094"/>
          <a:ext cx="1628463" cy="10128213"/>
          <a:chOff x="350042" y="654846"/>
          <a:chExt cx="1485588" cy="10223462"/>
        </a:xfrm>
      </xdr:grpSpPr>
      <xdr:pic>
        <xdr:nvPicPr>
          <xdr:cNvPr id="11" name="Graphic 10">
            <a:extLst>
              <a:ext uri="{FF2B5EF4-FFF2-40B4-BE49-F238E27FC236}">
                <a16:creationId xmlns:a16="http://schemas.microsoft.com/office/drawing/2014/main" id="{947AE219-BAA0-4740-8202-D91B12413A3F}"/>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654846"/>
            <a:ext cx="1485588" cy="1214436"/>
          </a:xfrm>
          <a:prstGeom prst="rect">
            <a:avLst/>
          </a:prstGeom>
        </xdr:spPr>
      </xdr:pic>
      <xdr:pic>
        <xdr:nvPicPr>
          <xdr:cNvPr id="12" name="Graphic 11">
            <a:extLst>
              <a:ext uri="{FF2B5EF4-FFF2-40B4-BE49-F238E27FC236}">
                <a16:creationId xmlns:a16="http://schemas.microsoft.com/office/drawing/2014/main" id="{B110514F-7836-44CC-911E-8B2549849EAF}"/>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1155347"/>
            <a:ext cx="1485588" cy="1214436"/>
          </a:xfrm>
          <a:prstGeom prst="rect">
            <a:avLst/>
          </a:prstGeom>
        </xdr:spPr>
      </xdr:pic>
      <xdr:pic>
        <xdr:nvPicPr>
          <xdr:cNvPr id="13" name="Graphic 12">
            <a:extLst>
              <a:ext uri="{FF2B5EF4-FFF2-40B4-BE49-F238E27FC236}">
                <a16:creationId xmlns:a16="http://schemas.microsoft.com/office/drawing/2014/main" id="{6259534E-4B33-458E-B89D-164FE497ED92}"/>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1655848"/>
            <a:ext cx="1485588" cy="1214436"/>
          </a:xfrm>
          <a:prstGeom prst="rect">
            <a:avLst/>
          </a:prstGeom>
        </xdr:spPr>
      </xdr:pic>
      <xdr:pic>
        <xdr:nvPicPr>
          <xdr:cNvPr id="14" name="Graphic 13">
            <a:extLst>
              <a:ext uri="{FF2B5EF4-FFF2-40B4-BE49-F238E27FC236}">
                <a16:creationId xmlns:a16="http://schemas.microsoft.com/office/drawing/2014/main" id="{DD647B19-DB0E-450A-96C8-A8D311C8C0C6}"/>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2156349"/>
            <a:ext cx="1485588" cy="1214436"/>
          </a:xfrm>
          <a:prstGeom prst="rect">
            <a:avLst/>
          </a:prstGeom>
        </xdr:spPr>
      </xdr:pic>
      <xdr:pic>
        <xdr:nvPicPr>
          <xdr:cNvPr id="15" name="Graphic 14">
            <a:extLst>
              <a:ext uri="{FF2B5EF4-FFF2-40B4-BE49-F238E27FC236}">
                <a16:creationId xmlns:a16="http://schemas.microsoft.com/office/drawing/2014/main" id="{6D738CE2-6978-4E64-9E07-70C053E4A525}"/>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2656850"/>
            <a:ext cx="1485588" cy="1214436"/>
          </a:xfrm>
          <a:prstGeom prst="rect">
            <a:avLst/>
          </a:prstGeom>
        </xdr:spPr>
      </xdr:pic>
      <xdr:pic>
        <xdr:nvPicPr>
          <xdr:cNvPr id="16" name="Graphic 15">
            <a:extLst>
              <a:ext uri="{FF2B5EF4-FFF2-40B4-BE49-F238E27FC236}">
                <a16:creationId xmlns:a16="http://schemas.microsoft.com/office/drawing/2014/main" id="{CD7034D3-DBE7-40B0-AD3B-65D69ECBEC13}"/>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3157351"/>
            <a:ext cx="1485588" cy="1214436"/>
          </a:xfrm>
          <a:prstGeom prst="rect">
            <a:avLst/>
          </a:prstGeom>
        </xdr:spPr>
      </xdr:pic>
      <xdr:pic>
        <xdr:nvPicPr>
          <xdr:cNvPr id="18" name="Graphic 17">
            <a:extLst>
              <a:ext uri="{FF2B5EF4-FFF2-40B4-BE49-F238E27FC236}">
                <a16:creationId xmlns:a16="http://schemas.microsoft.com/office/drawing/2014/main" id="{A000603A-6D9B-4561-B24C-B58D8F1C6785}"/>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4158353"/>
            <a:ext cx="1485588" cy="1214436"/>
          </a:xfrm>
          <a:prstGeom prst="rect">
            <a:avLst/>
          </a:prstGeom>
        </xdr:spPr>
      </xdr:pic>
      <xdr:pic>
        <xdr:nvPicPr>
          <xdr:cNvPr id="17" name="Graphic 16">
            <a:extLst>
              <a:ext uri="{FF2B5EF4-FFF2-40B4-BE49-F238E27FC236}">
                <a16:creationId xmlns:a16="http://schemas.microsoft.com/office/drawing/2014/main" id="{B2117933-B9AE-4C6F-8F7D-100DEED823D9}"/>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rcRect r="28388"/>
          <a:stretch/>
        </xdr:blipFill>
        <xdr:spPr>
          <a:xfrm>
            <a:off x="350042" y="3657852"/>
            <a:ext cx="1485588" cy="1214436"/>
          </a:xfrm>
          <a:prstGeom prst="rect">
            <a:avLst/>
          </a:prstGeom>
        </xdr:spPr>
      </xdr:pic>
      <xdr:pic>
        <xdr:nvPicPr>
          <xdr:cNvPr id="19" name="Graphic 18">
            <a:extLst>
              <a:ext uri="{FF2B5EF4-FFF2-40B4-BE49-F238E27FC236}">
                <a16:creationId xmlns:a16="http://schemas.microsoft.com/office/drawing/2014/main" id="{BECF7063-13BD-4837-8D71-0EB51EE78F96}"/>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4658854"/>
            <a:ext cx="1485588" cy="1214436"/>
          </a:xfrm>
          <a:prstGeom prst="rect">
            <a:avLst/>
          </a:prstGeom>
        </xdr:spPr>
      </xdr:pic>
      <xdr:pic>
        <xdr:nvPicPr>
          <xdr:cNvPr id="20" name="Graphic 19">
            <a:extLst>
              <a:ext uri="{FF2B5EF4-FFF2-40B4-BE49-F238E27FC236}">
                <a16:creationId xmlns:a16="http://schemas.microsoft.com/office/drawing/2014/main" id="{A3C979D5-C432-43A8-841F-7955D9B927F4}"/>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5159355"/>
            <a:ext cx="1485588" cy="1214436"/>
          </a:xfrm>
          <a:prstGeom prst="rect">
            <a:avLst/>
          </a:prstGeom>
        </xdr:spPr>
      </xdr:pic>
      <xdr:pic>
        <xdr:nvPicPr>
          <xdr:cNvPr id="21" name="Graphic 20">
            <a:extLst>
              <a:ext uri="{FF2B5EF4-FFF2-40B4-BE49-F238E27FC236}">
                <a16:creationId xmlns:a16="http://schemas.microsoft.com/office/drawing/2014/main" id="{EE46BC89-22BF-4371-9633-C85B12273BEB}"/>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5659856"/>
            <a:ext cx="1485588" cy="1214436"/>
          </a:xfrm>
          <a:prstGeom prst="rect">
            <a:avLst/>
          </a:prstGeom>
        </xdr:spPr>
      </xdr:pic>
      <xdr:pic>
        <xdr:nvPicPr>
          <xdr:cNvPr id="22" name="Graphic 21">
            <a:extLst>
              <a:ext uri="{FF2B5EF4-FFF2-40B4-BE49-F238E27FC236}">
                <a16:creationId xmlns:a16="http://schemas.microsoft.com/office/drawing/2014/main" id="{00A24356-7776-4B1A-A0C8-7B6C12130188}"/>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6160357"/>
            <a:ext cx="1485588" cy="1214436"/>
          </a:xfrm>
          <a:prstGeom prst="rect">
            <a:avLst/>
          </a:prstGeom>
        </xdr:spPr>
      </xdr:pic>
      <xdr:pic>
        <xdr:nvPicPr>
          <xdr:cNvPr id="23" name="Graphic 22">
            <a:extLst>
              <a:ext uri="{FF2B5EF4-FFF2-40B4-BE49-F238E27FC236}">
                <a16:creationId xmlns:a16="http://schemas.microsoft.com/office/drawing/2014/main" id="{D6E260F6-5F8B-41FC-9A26-90FE9A2DCBDD}"/>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6660858"/>
            <a:ext cx="1485588" cy="1214436"/>
          </a:xfrm>
          <a:prstGeom prst="rect">
            <a:avLst/>
          </a:prstGeom>
        </xdr:spPr>
      </xdr:pic>
      <xdr:pic>
        <xdr:nvPicPr>
          <xdr:cNvPr id="24" name="Graphic 23">
            <a:extLst>
              <a:ext uri="{FF2B5EF4-FFF2-40B4-BE49-F238E27FC236}">
                <a16:creationId xmlns:a16="http://schemas.microsoft.com/office/drawing/2014/main" id="{1E8CCA59-F90B-4329-9D0A-1095B17CA0AF}"/>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7161359"/>
            <a:ext cx="1485588" cy="1214436"/>
          </a:xfrm>
          <a:prstGeom prst="rect">
            <a:avLst/>
          </a:prstGeom>
        </xdr:spPr>
      </xdr:pic>
      <xdr:pic>
        <xdr:nvPicPr>
          <xdr:cNvPr id="25" name="Graphic 24">
            <a:extLst>
              <a:ext uri="{FF2B5EF4-FFF2-40B4-BE49-F238E27FC236}">
                <a16:creationId xmlns:a16="http://schemas.microsoft.com/office/drawing/2014/main" id="{4270FAC4-16C5-43EC-82F1-4A2BD8675AA4}"/>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7661860"/>
            <a:ext cx="1485588" cy="1214436"/>
          </a:xfrm>
          <a:prstGeom prst="rect">
            <a:avLst/>
          </a:prstGeom>
        </xdr:spPr>
      </xdr:pic>
      <xdr:pic>
        <xdr:nvPicPr>
          <xdr:cNvPr id="26" name="Graphic 25">
            <a:extLst>
              <a:ext uri="{FF2B5EF4-FFF2-40B4-BE49-F238E27FC236}">
                <a16:creationId xmlns:a16="http://schemas.microsoft.com/office/drawing/2014/main" id="{A4A27FFF-5352-4898-ABE2-C395BBE74307}"/>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8162361"/>
            <a:ext cx="1485588" cy="1214436"/>
          </a:xfrm>
          <a:prstGeom prst="rect">
            <a:avLst/>
          </a:prstGeom>
        </xdr:spPr>
      </xdr:pic>
      <xdr:pic>
        <xdr:nvPicPr>
          <xdr:cNvPr id="27" name="Graphic 26">
            <a:extLst>
              <a:ext uri="{FF2B5EF4-FFF2-40B4-BE49-F238E27FC236}">
                <a16:creationId xmlns:a16="http://schemas.microsoft.com/office/drawing/2014/main" id="{D663861E-4AC2-4EA2-9A76-AA1E5801EFF5}"/>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8662862"/>
            <a:ext cx="1485588" cy="1214436"/>
          </a:xfrm>
          <a:prstGeom prst="rect">
            <a:avLst/>
          </a:prstGeom>
        </xdr:spPr>
      </xdr:pic>
      <xdr:pic>
        <xdr:nvPicPr>
          <xdr:cNvPr id="28" name="Graphic 27">
            <a:extLst>
              <a:ext uri="{FF2B5EF4-FFF2-40B4-BE49-F238E27FC236}">
                <a16:creationId xmlns:a16="http://schemas.microsoft.com/office/drawing/2014/main" id="{53AA5CDD-ADC8-4428-B7E6-09ECC3D0C91F}"/>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9163363"/>
            <a:ext cx="1485588" cy="1214436"/>
          </a:xfrm>
          <a:prstGeom prst="rect">
            <a:avLst/>
          </a:prstGeom>
        </xdr:spPr>
      </xdr:pic>
      <xdr:pic>
        <xdr:nvPicPr>
          <xdr:cNvPr id="29" name="Graphic 28">
            <a:extLst>
              <a:ext uri="{FF2B5EF4-FFF2-40B4-BE49-F238E27FC236}">
                <a16:creationId xmlns:a16="http://schemas.microsoft.com/office/drawing/2014/main" id="{EE99B693-F945-4518-8EB9-2FC710A1E82F}"/>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9663872"/>
            <a:ext cx="1485588" cy="1214436"/>
          </a:xfrm>
          <a:prstGeom prst="rect">
            <a:avLst/>
          </a:prstGeom>
        </xdr:spPr>
      </xdr:pic>
    </xdr:grpSp>
    <xdr:clientData/>
  </xdr:twoCellAnchor>
  <xdr:twoCellAnchor>
    <xdr:from>
      <xdr:col>0</xdr:col>
      <xdr:colOff>453617</xdr:colOff>
      <xdr:row>6</xdr:row>
      <xdr:rowOff>93938</xdr:rowOff>
    </xdr:from>
    <xdr:to>
      <xdr:col>2</xdr:col>
      <xdr:colOff>508089</xdr:colOff>
      <xdr:row>54</xdr:row>
      <xdr:rowOff>152087</xdr:rowOff>
    </xdr:to>
    <xdr:grpSp>
      <xdr:nvGrpSpPr>
        <xdr:cNvPr id="30" name="Group 29">
          <a:extLst>
            <a:ext uri="{FF2B5EF4-FFF2-40B4-BE49-F238E27FC236}">
              <a16:creationId xmlns:a16="http://schemas.microsoft.com/office/drawing/2014/main" id="{E9F85F0B-EE5B-4D9F-A8E1-F32911E94192}"/>
            </a:ext>
          </a:extLst>
        </xdr:cNvPr>
        <xdr:cNvGrpSpPr/>
      </xdr:nvGrpSpPr>
      <xdr:grpSpPr>
        <a:xfrm>
          <a:off x="453617" y="1225032"/>
          <a:ext cx="1364160" cy="9184290"/>
          <a:chOff x="487686" y="1129784"/>
          <a:chExt cx="1268910" cy="9273586"/>
        </a:xfrm>
      </xdr:grpSpPr>
      <xdr:sp macro="" textlink="">
        <xdr:nvSpPr>
          <xdr:cNvPr id="31" name="TextBox 30">
            <a:hlinkClick xmlns:r="http://schemas.openxmlformats.org/officeDocument/2006/relationships" r:id="rId9"/>
            <a:extLst>
              <a:ext uri="{FF2B5EF4-FFF2-40B4-BE49-F238E27FC236}">
                <a16:creationId xmlns:a16="http://schemas.microsoft.com/office/drawing/2014/main" id="{675FB51B-FE90-41B9-BFB5-3A0C60A0BC19}"/>
              </a:ext>
            </a:extLst>
          </xdr:cNvPr>
          <xdr:cNvSpPr txBox="1"/>
        </xdr:nvSpPr>
        <xdr:spPr>
          <a:xfrm>
            <a:off x="784825" y="1129784"/>
            <a:ext cx="67317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Từ</a:t>
            </a:r>
            <a:r>
              <a:rPr lang="en-US" sz="1100" b="1" baseline="0">
                <a:solidFill>
                  <a:schemeClr val="bg1"/>
                </a:solidFill>
              </a:rPr>
              <a:t> khóa</a:t>
            </a:r>
            <a:endParaRPr lang="en-US" sz="1100" b="1">
              <a:solidFill>
                <a:schemeClr val="bg1"/>
              </a:solidFill>
            </a:endParaRPr>
          </a:p>
        </xdr:txBody>
      </xdr:sp>
      <xdr:sp macro="" textlink="">
        <xdr:nvSpPr>
          <xdr:cNvPr id="32" name="TextBox 31">
            <a:hlinkClick xmlns:r="http://schemas.openxmlformats.org/officeDocument/2006/relationships" r:id="rId10"/>
            <a:extLst>
              <a:ext uri="{FF2B5EF4-FFF2-40B4-BE49-F238E27FC236}">
                <a16:creationId xmlns:a16="http://schemas.microsoft.com/office/drawing/2014/main" id="{E961CF0F-45BA-47B0-B7FB-E16EAA2BBA0E}"/>
              </a:ext>
            </a:extLst>
          </xdr:cNvPr>
          <xdr:cNvSpPr txBox="1"/>
        </xdr:nvSpPr>
        <xdr:spPr>
          <a:xfrm>
            <a:off x="708434" y="1630285"/>
            <a:ext cx="82595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Dashboard</a:t>
            </a:r>
          </a:p>
        </xdr:txBody>
      </xdr:sp>
      <xdr:sp macro="" textlink="">
        <xdr:nvSpPr>
          <xdr:cNvPr id="33" name="TextBox 32">
            <a:hlinkClick xmlns:r="http://schemas.openxmlformats.org/officeDocument/2006/relationships" r:id="rId11"/>
            <a:extLst>
              <a:ext uri="{FF2B5EF4-FFF2-40B4-BE49-F238E27FC236}">
                <a16:creationId xmlns:a16="http://schemas.microsoft.com/office/drawing/2014/main" id="{DE7AB544-604D-4F23-9A99-411AA07F1BB7}"/>
              </a:ext>
            </a:extLst>
          </xdr:cNvPr>
          <xdr:cNvSpPr txBox="1"/>
        </xdr:nvSpPr>
        <xdr:spPr>
          <a:xfrm>
            <a:off x="495750" y="2130786"/>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Mục</a:t>
            </a:r>
            <a:r>
              <a:rPr lang="en-US" sz="1100" b="1" baseline="0">
                <a:solidFill>
                  <a:schemeClr val="bg1"/>
                </a:solidFill>
                <a:effectLst/>
                <a:latin typeface="+mn-lt"/>
                <a:ea typeface="+mn-ea"/>
                <a:cs typeface="+mn-cs"/>
              </a:rPr>
              <a:t> tiêu bản thân</a:t>
            </a:r>
            <a:endParaRPr lang="en-US">
              <a:solidFill>
                <a:schemeClr val="bg1"/>
              </a:solidFill>
              <a:effectLst/>
            </a:endParaRPr>
          </a:p>
        </xdr:txBody>
      </xdr:sp>
      <xdr:sp macro="" textlink="">
        <xdr:nvSpPr>
          <xdr:cNvPr id="34" name="TextBox 33">
            <a:hlinkClick xmlns:r="http://schemas.openxmlformats.org/officeDocument/2006/relationships" r:id="rId12"/>
            <a:extLst>
              <a:ext uri="{FF2B5EF4-FFF2-40B4-BE49-F238E27FC236}">
                <a16:creationId xmlns:a16="http://schemas.microsoft.com/office/drawing/2014/main" id="{56223BB1-B03B-4D2A-8C22-A17DC9769D4D}"/>
              </a:ext>
            </a:extLst>
          </xdr:cNvPr>
          <xdr:cNvSpPr txBox="1"/>
        </xdr:nvSpPr>
        <xdr:spPr>
          <a:xfrm>
            <a:off x="495750" y="2631287"/>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Mục</a:t>
            </a:r>
            <a:r>
              <a:rPr lang="en-US" sz="1100" b="1" baseline="0">
                <a:solidFill>
                  <a:schemeClr val="bg1"/>
                </a:solidFill>
                <a:effectLst/>
                <a:latin typeface="+mn-lt"/>
                <a:ea typeface="+mn-ea"/>
                <a:cs typeface="+mn-cs"/>
              </a:rPr>
              <a:t> tiêu tài chính</a:t>
            </a:r>
            <a:endParaRPr lang="en-US">
              <a:solidFill>
                <a:schemeClr val="bg1"/>
              </a:solidFill>
              <a:effectLst/>
            </a:endParaRPr>
          </a:p>
        </xdr:txBody>
      </xdr:sp>
      <xdr:sp macro="" textlink="">
        <xdr:nvSpPr>
          <xdr:cNvPr id="35" name="TextBox 34">
            <a:hlinkClick xmlns:r="http://schemas.openxmlformats.org/officeDocument/2006/relationships" r:id="rId13"/>
            <a:extLst>
              <a:ext uri="{FF2B5EF4-FFF2-40B4-BE49-F238E27FC236}">
                <a16:creationId xmlns:a16="http://schemas.microsoft.com/office/drawing/2014/main" id="{BEB0E9CA-5BC2-41A1-BFF9-E04F3A51190F}"/>
              </a:ext>
            </a:extLst>
          </xdr:cNvPr>
          <xdr:cNvSpPr txBox="1"/>
        </xdr:nvSpPr>
        <xdr:spPr>
          <a:xfrm>
            <a:off x="487686" y="3020663"/>
            <a:ext cx="1260846" cy="459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b="1">
                <a:solidFill>
                  <a:schemeClr val="bg1"/>
                </a:solidFill>
                <a:effectLst/>
                <a:latin typeface="+mn-lt"/>
                <a:ea typeface="+mn-ea"/>
                <a:cs typeface="+mn-cs"/>
              </a:rPr>
              <a:t>Cân</a:t>
            </a:r>
            <a:r>
              <a:rPr lang="en-US" sz="1100" b="1" baseline="0">
                <a:solidFill>
                  <a:schemeClr val="bg1"/>
                </a:solidFill>
                <a:effectLst/>
                <a:latin typeface="+mn-lt"/>
                <a:ea typeface="+mn-ea"/>
                <a:cs typeface="+mn-cs"/>
              </a:rPr>
              <a:t> đối</a:t>
            </a:r>
            <a:endParaRPr lang="en-US">
              <a:solidFill>
                <a:schemeClr val="bg1"/>
              </a:solidFill>
              <a:effectLst/>
            </a:endParaRPr>
          </a:p>
          <a:p>
            <a:pPr algn="ctr"/>
            <a:r>
              <a:rPr lang="en-US" sz="1100" b="1" baseline="0">
                <a:solidFill>
                  <a:schemeClr val="bg1"/>
                </a:solidFill>
                <a:effectLst/>
                <a:latin typeface="+mn-lt"/>
                <a:ea typeface="+mn-ea"/>
                <a:cs typeface="+mn-cs"/>
              </a:rPr>
              <a:t>l</a:t>
            </a:r>
            <a:r>
              <a:rPr lang="en-US" sz="1100" b="1">
                <a:solidFill>
                  <a:schemeClr val="bg1"/>
                </a:solidFill>
                <a:effectLst/>
                <a:latin typeface="+mn-lt"/>
                <a:ea typeface="+mn-ea"/>
                <a:cs typeface="+mn-cs"/>
              </a:rPr>
              <a:t>ộ</a:t>
            </a:r>
            <a:r>
              <a:rPr lang="en-US" sz="1100" b="1" baseline="0">
                <a:solidFill>
                  <a:schemeClr val="bg1"/>
                </a:solidFill>
                <a:effectLst/>
                <a:latin typeface="+mn-lt"/>
                <a:ea typeface="+mn-ea"/>
                <a:cs typeface="+mn-cs"/>
              </a:rPr>
              <a:t> trình nghề nghiệp</a:t>
            </a:r>
            <a:endParaRPr lang="en-US">
              <a:solidFill>
                <a:schemeClr val="bg1"/>
              </a:solidFill>
              <a:effectLst/>
            </a:endParaRPr>
          </a:p>
        </xdr:txBody>
      </xdr:sp>
      <xdr:sp macro="" textlink="">
        <xdr:nvSpPr>
          <xdr:cNvPr id="36" name="TextBox 35">
            <a:hlinkClick xmlns:r="http://schemas.openxmlformats.org/officeDocument/2006/relationships" r:id="rId14"/>
            <a:extLst>
              <a:ext uri="{FF2B5EF4-FFF2-40B4-BE49-F238E27FC236}">
                <a16:creationId xmlns:a16="http://schemas.microsoft.com/office/drawing/2014/main" id="{2E36CF2D-FC7D-4565-BC76-954D985E9191}"/>
              </a:ext>
            </a:extLst>
          </xdr:cNvPr>
          <xdr:cNvSpPr txBox="1"/>
        </xdr:nvSpPr>
        <xdr:spPr>
          <a:xfrm>
            <a:off x="487686" y="3521164"/>
            <a:ext cx="1260846" cy="459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100" b="1">
                <a:solidFill>
                  <a:schemeClr val="bg1"/>
                </a:solidFill>
                <a:effectLst/>
                <a:latin typeface="+mn-lt"/>
                <a:ea typeface="+mn-ea"/>
                <a:cs typeface="+mn-cs"/>
              </a:rPr>
              <a:t>Kế</a:t>
            </a:r>
            <a:r>
              <a:rPr lang="en-US" sz="1100" b="1" baseline="0">
                <a:solidFill>
                  <a:schemeClr val="bg1"/>
                </a:solidFill>
                <a:effectLst/>
                <a:latin typeface="+mn-lt"/>
                <a:ea typeface="+mn-ea"/>
                <a:cs typeface="+mn-cs"/>
              </a:rPr>
              <a:t> hoạch </a:t>
            </a:r>
          </a:p>
          <a:p>
            <a:pPr algn="ctr"/>
            <a:r>
              <a:rPr lang="en-US" sz="1100" b="1" baseline="0">
                <a:solidFill>
                  <a:schemeClr val="bg1"/>
                </a:solidFill>
                <a:effectLst/>
                <a:latin typeface="+mn-lt"/>
                <a:ea typeface="+mn-ea"/>
                <a:cs typeface="+mn-cs"/>
              </a:rPr>
              <a:t>thu nhập &amp; chi tiêu</a:t>
            </a:r>
            <a:endParaRPr lang="en-US">
              <a:solidFill>
                <a:schemeClr val="bg1"/>
              </a:solidFill>
              <a:effectLst/>
            </a:endParaRPr>
          </a:p>
        </xdr:txBody>
      </xdr:sp>
      <xdr:sp macro="" textlink="">
        <xdr:nvSpPr>
          <xdr:cNvPr id="37" name="TextBox 36">
            <a:hlinkClick xmlns:r="http://schemas.openxmlformats.org/officeDocument/2006/relationships" r:id="rId15"/>
            <a:extLst>
              <a:ext uri="{FF2B5EF4-FFF2-40B4-BE49-F238E27FC236}">
                <a16:creationId xmlns:a16="http://schemas.microsoft.com/office/drawing/2014/main" id="{24EE8EA9-802C-4BBB-B075-2AFC891B027F}"/>
              </a:ext>
            </a:extLst>
          </xdr:cNvPr>
          <xdr:cNvSpPr txBox="1"/>
        </xdr:nvSpPr>
        <xdr:spPr>
          <a:xfrm>
            <a:off x="495750" y="413279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ysClr val="windowText" lastClr="000000"/>
                </a:solidFill>
                <a:effectLst/>
                <a:latin typeface="+mn-lt"/>
                <a:ea typeface="+mn-ea"/>
                <a:cs typeface="+mn-cs"/>
              </a:rPr>
              <a:t>Theo dõi</a:t>
            </a:r>
            <a:r>
              <a:rPr lang="en-US" sz="1100" b="1" baseline="0">
                <a:solidFill>
                  <a:sysClr val="windowText" lastClr="000000"/>
                </a:solidFill>
                <a:effectLst/>
                <a:latin typeface="+mn-lt"/>
                <a:ea typeface="+mn-ea"/>
                <a:cs typeface="+mn-cs"/>
              </a:rPr>
              <a:t> tháng 1</a:t>
            </a:r>
            <a:endParaRPr lang="en-US">
              <a:solidFill>
                <a:sysClr val="windowText" lastClr="000000"/>
              </a:solidFill>
              <a:effectLst/>
            </a:endParaRPr>
          </a:p>
        </xdr:txBody>
      </xdr:sp>
      <xdr:sp macro="" textlink="">
        <xdr:nvSpPr>
          <xdr:cNvPr id="38" name="TextBox 37">
            <a:hlinkClick xmlns:r="http://schemas.openxmlformats.org/officeDocument/2006/relationships" r:id="rId16"/>
            <a:extLst>
              <a:ext uri="{FF2B5EF4-FFF2-40B4-BE49-F238E27FC236}">
                <a16:creationId xmlns:a16="http://schemas.microsoft.com/office/drawing/2014/main" id="{83ED350A-0BA4-4CFD-BBA5-B3148475D601}"/>
              </a:ext>
            </a:extLst>
          </xdr:cNvPr>
          <xdr:cNvSpPr txBox="1"/>
        </xdr:nvSpPr>
        <xdr:spPr>
          <a:xfrm>
            <a:off x="495750" y="4633291"/>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2</a:t>
            </a:r>
            <a:endParaRPr lang="en-US">
              <a:solidFill>
                <a:schemeClr val="bg1"/>
              </a:solidFill>
              <a:effectLst/>
            </a:endParaRPr>
          </a:p>
        </xdr:txBody>
      </xdr:sp>
      <xdr:sp macro="" textlink="">
        <xdr:nvSpPr>
          <xdr:cNvPr id="39" name="TextBox 38">
            <a:hlinkClick xmlns:r="http://schemas.openxmlformats.org/officeDocument/2006/relationships" r:id="rId17"/>
            <a:extLst>
              <a:ext uri="{FF2B5EF4-FFF2-40B4-BE49-F238E27FC236}">
                <a16:creationId xmlns:a16="http://schemas.microsoft.com/office/drawing/2014/main" id="{E07898DA-5C18-4D97-B13E-48B0BA797682}"/>
              </a:ext>
            </a:extLst>
          </xdr:cNvPr>
          <xdr:cNvSpPr txBox="1"/>
        </xdr:nvSpPr>
        <xdr:spPr>
          <a:xfrm>
            <a:off x="495750" y="5133792"/>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3</a:t>
            </a:r>
            <a:endParaRPr lang="en-US">
              <a:solidFill>
                <a:schemeClr val="bg1"/>
              </a:solidFill>
              <a:effectLst/>
            </a:endParaRPr>
          </a:p>
        </xdr:txBody>
      </xdr:sp>
      <xdr:sp macro="" textlink="">
        <xdr:nvSpPr>
          <xdr:cNvPr id="40" name="TextBox 39">
            <a:hlinkClick xmlns:r="http://schemas.openxmlformats.org/officeDocument/2006/relationships" r:id="rId18"/>
            <a:extLst>
              <a:ext uri="{FF2B5EF4-FFF2-40B4-BE49-F238E27FC236}">
                <a16:creationId xmlns:a16="http://schemas.microsoft.com/office/drawing/2014/main" id="{19D6A0EB-1A66-42DD-83B1-CB3E52E5D38C}"/>
              </a:ext>
            </a:extLst>
          </xdr:cNvPr>
          <xdr:cNvSpPr txBox="1"/>
        </xdr:nvSpPr>
        <xdr:spPr>
          <a:xfrm>
            <a:off x="495750" y="5634293"/>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4</a:t>
            </a:r>
            <a:endParaRPr lang="en-US">
              <a:solidFill>
                <a:schemeClr val="bg1"/>
              </a:solidFill>
              <a:effectLst/>
            </a:endParaRPr>
          </a:p>
        </xdr:txBody>
      </xdr:sp>
      <xdr:sp macro="" textlink="">
        <xdr:nvSpPr>
          <xdr:cNvPr id="41" name="TextBox 40">
            <a:hlinkClick xmlns:r="http://schemas.openxmlformats.org/officeDocument/2006/relationships" r:id="rId19"/>
            <a:extLst>
              <a:ext uri="{FF2B5EF4-FFF2-40B4-BE49-F238E27FC236}">
                <a16:creationId xmlns:a16="http://schemas.microsoft.com/office/drawing/2014/main" id="{268BCAFC-0A93-4A9C-8E96-17A9E557012E}"/>
              </a:ext>
            </a:extLst>
          </xdr:cNvPr>
          <xdr:cNvSpPr txBox="1"/>
        </xdr:nvSpPr>
        <xdr:spPr>
          <a:xfrm>
            <a:off x="495750" y="6134794"/>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5</a:t>
            </a:r>
            <a:endParaRPr lang="en-US">
              <a:solidFill>
                <a:schemeClr val="bg1"/>
              </a:solidFill>
              <a:effectLst/>
            </a:endParaRPr>
          </a:p>
        </xdr:txBody>
      </xdr:sp>
      <xdr:sp macro="" textlink="">
        <xdr:nvSpPr>
          <xdr:cNvPr id="42" name="TextBox 41">
            <a:hlinkClick xmlns:r="http://schemas.openxmlformats.org/officeDocument/2006/relationships" r:id="rId20"/>
            <a:extLst>
              <a:ext uri="{FF2B5EF4-FFF2-40B4-BE49-F238E27FC236}">
                <a16:creationId xmlns:a16="http://schemas.microsoft.com/office/drawing/2014/main" id="{682440EE-0283-4CFB-8AF7-3464F514B659}"/>
              </a:ext>
            </a:extLst>
          </xdr:cNvPr>
          <xdr:cNvSpPr txBox="1"/>
        </xdr:nvSpPr>
        <xdr:spPr>
          <a:xfrm>
            <a:off x="495750" y="6635295"/>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6</a:t>
            </a:r>
            <a:endParaRPr lang="en-US">
              <a:solidFill>
                <a:schemeClr val="bg1"/>
              </a:solidFill>
              <a:effectLst/>
            </a:endParaRPr>
          </a:p>
        </xdr:txBody>
      </xdr:sp>
      <xdr:sp macro="" textlink="">
        <xdr:nvSpPr>
          <xdr:cNvPr id="43" name="TextBox 42">
            <a:hlinkClick xmlns:r="http://schemas.openxmlformats.org/officeDocument/2006/relationships" r:id="rId21"/>
            <a:extLst>
              <a:ext uri="{FF2B5EF4-FFF2-40B4-BE49-F238E27FC236}">
                <a16:creationId xmlns:a16="http://schemas.microsoft.com/office/drawing/2014/main" id="{6133B333-83A9-4636-8E6C-A0CF1BAF5529}"/>
              </a:ext>
            </a:extLst>
          </xdr:cNvPr>
          <xdr:cNvSpPr txBox="1"/>
        </xdr:nvSpPr>
        <xdr:spPr>
          <a:xfrm>
            <a:off x="495750" y="7135796"/>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7</a:t>
            </a:r>
            <a:endParaRPr lang="en-US">
              <a:solidFill>
                <a:schemeClr val="bg1"/>
              </a:solidFill>
              <a:effectLst/>
            </a:endParaRPr>
          </a:p>
        </xdr:txBody>
      </xdr:sp>
      <xdr:sp macro="" textlink="">
        <xdr:nvSpPr>
          <xdr:cNvPr id="44" name="TextBox 43">
            <a:hlinkClick xmlns:r="http://schemas.openxmlformats.org/officeDocument/2006/relationships" r:id="rId22"/>
            <a:extLst>
              <a:ext uri="{FF2B5EF4-FFF2-40B4-BE49-F238E27FC236}">
                <a16:creationId xmlns:a16="http://schemas.microsoft.com/office/drawing/2014/main" id="{BB203C63-56D3-451D-BB75-BC35720E4CD6}"/>
              </a:ext>
            </a:extLst>
          </xdr:cNvPr>
          <xdr:cNvSpPr txBox="1"/>
        </xdr:nvSpPr>
        <xdr:spPr>
          <a:xfrm>
            <a:off x="495750" y="7636297"/>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8</a:t>
            </a:r>
            <a:endParaRPr lang="en-US">
              <a:solidFill>
                <a:schemeClr val="bg1"/>
              </a:solidFill>
              <a:effectLst/>
            </a:endParaRPr>
          </a:p>
        </xdr:txBody>
      </xdr:sp>
      <xdr:sp macro="" textlink="">
        <xdr:nvSpPr>
          <xdr:cNvPr id="45" name="TextBox 44">
            <a:hlinkClick xmlns:r="http://schemas.openxmlformats.org/officeDocument/2006/relationships" r:id="rId23"/>
            <a:extLst>
              <a:ext uri="{FF2B5EF4-FFF2-40B4-BE49-F238E27FC236}">
                <a16:creationId xmlns:a16="http://schemas.microsoft.com/office/drawing/2014/main" id="{E7C5A886-2811-4B0B-89DF-F32079E864D5}"/>
              </a:ext>
            </a:extLst>
          </xdr:cNvPr>
          <xdr:cNvSpPr txBox="1"/>
        </xdr:nvSpPr>
        <xdr:spPr>
          <a:xfrm>
            <a:off x="495750" y="8136798"/>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9</a:t>
            </a:r>
            <a:endParaRPr lang="en-US">
              <a:solidFill>
                <a:schemeClr val="bg1"/>
              </a:solidFill>
              <a:effectLst/>
            </a:endParaRPr>
          </a:p>
        </xdr:txBody>
      </xdr:sp>
      <xdr:sp macro="" textlink="">
        <xdr:nvSpPr>
          <xdr:cNvPr id="46" name="TextBox 45">
            <a:hlinkClick xmlns:r="http://schemas.openxmlformats.org/officeDocument/2006/relationships" r:id="rId24"/>
            <a:extLst>
              <a:ext uri="{FF2B5EF4-FFF2-40B4-BE49-F238E27FC236}">
                <a16:creationId xmlns:a16="http://schemas.microsoft.com/office/drawing/2014/main" id="{53240EED-1DE6-4F05-A382-61B40028D1A5}"/>
              </a:ext>
            </a:extLst>
          </xdr:cNvPr>
          <xdr:cNvSpPr txBox="1"/>
        </xdr:nvSpPr>
        <xdr:spPr>
          <a:xfrm>
            <a:off x="495750" y="8637299"/>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10</a:t>
            </a:r>
            <a:endParaRPr lang="en-US">
              <a:solidFill>
                <a:schemeClr val="bg1"/>
              </a:solidFill>
              <a:effectLst/>
            </a:endParaRPr>
          </a:p>
        </xdr:txBody>
      </xdr:sp>
      <xdr:sp macro="" textlink="">
        <xdr:nvSpPr>
          <xdr:cNvPr id="47" name="TextBox 46">
            <a:hlinkClick xmlns:r="http://schemas.openxmlformats.org/officeDocument/2006/relationships" r:id="rId25"/>
            <a:extLst>
              <a:ext uri="{FF2B5EF4-FFF2-40B4-BE49-F238E27FC236}">
                <a16:creationId xmlns:a16="http://schemas.microsoft.com/office/drawing/2014/main" id="{3696CE96-1078-4AA4-958A-595587F46A12}"/>
              </a:ext>
            </a:extLst>
          </xdr:cNvPr>
          <xdr:cNvSpPr txBox="1"/>
        </xdr:nvSpPr>
        <xdr:spPr>
          <a:xfrm>
            <a:off x="495750" y="913780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11</a:t>
            </a:r>
            <a:endParaRPr lang="en-US">
              <a:solidFill>
                <a:schemeClr val="bg1"/>
              </a:solidFill>
              <a:effectLst/>
            </a:endParaRPr>
          </a:p>
        </xdr:txBody>
      </xdr:sp>
      <xdr:sp macro="" textlink="">
        <xdr:nvSpPr>
          <xdr:cNvPr id="48" name="TextBox 47">
            <a:hlinkClick xmlns:r="http://schemas.openxmlformats.org/officeDocument/2006/relationships" r:id="rId26"/>
            <a:extLst>
              <a:ext uri="{FF2B5EF4-FFF2-40B4-BE49-F238E27FC236}">
                <a16:creationId xmlns:a16="http://schemas.microsoft.com/office/drawing/2014/main" id="{6C020130-AFEA-49A7-82A5-07DA12AD2806}"/>
              </a:ext>
            </a:extLst>
          </xdr:cNvPr>
          <xdr:cNvSpPr txBox="1"/>
        </xdr:nvSpPr>
        <xdr:spPr>
          <a:xfrm>
            <a:off x="495750" y="9638301"/>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12</a:t>
            </a:r>
            <a:endParaRPr lang="en-US">
              <a:solidFill>
                <a:schemeClr val="bg1"/>
              </a:solidFill>
              <a:effectLst/>
            </a:endParaRPr>
          </a:p>
        </xdr:txBody>
      </xdr:sp>
      <xdr:sp macro="" textlink="">
        <xdr:nvSpPr>
          <xdr:cNvPr id="49" name="TextBox 48">
            <a:hlinkClick xmlns:r="http://schemas.openxmlformats.org/officeDocument/2006/relationships" r:id="rId27"/>
            <a:extLst>
              <a:ext uri="{FF2B5EF4-FFF2-40B4-BE49-F238E27FC236}">
                <a16:creationId xmlns:a16="http://schemas.microsoft.com/office/drawing/2014/main" id="{87F282F4-0487-4FA3-A4E7-3D1D7A69504C}"/>
              </a:ext>
            </a:extLst>
          </xdr:cNvPr>
          <xdr:cNvSpPr txBox="1"/>
        </xdr:nvSpPr>
        <xdr:spPr>
          <a:xfrm>
            <a:off x="495750" y="1013881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b="1">
                <a:solidFill>
                  <a:schemeClr val="bg1"/>
                </a:solidFill>
                <a:effectLst/>
                <a:latin typeface="+mn-lt"/>
                <a:ea typeface="+mn-ea"/>
                <a:cs typeface="+mn-cs"/>
              </a:rPr>
              <a:t>Bảng</a:t>
            </a:r>
            <a:r>
              <a:rPr lang="en-US" sz="1100" b="1" baseline="0">
                <a:solidFill>
                  <a:schemeClr val="bg1"/>
                </a:solidFill>
                <a:effectLst/>
                <a:latin typeface="+mn-lt"/>
                <a:ea typeface="+mn-ea"/>
                <a:cs typeface="+mn-cs"/>
              </a:rPr>
              <a:t> khảo sát</a:t>
            </a:r>
            <a:endParaRPr lang="en-US">
              <a:solidFill>
                <a:schemeClr val="bg1"/>
              </a:solidFill>
              <a:effectLst/>
            </a:endParaRP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190500</xdr:colOff>
      <xdr:row>0</xdr:row>
      <xdr:rowOff>103688</xdr:rowOff>
    </xdr:from>
    <xdr:to>
      <xdr:col>2</xdr:col>
      <xdr:colOff>472440</xdr:colOff>
      <xdr:row>3</xdr:row>
      <xdr:rowOff>24759</xdr:rowOff>
    </xdr:to>
    <xdr:grpSp>
      <xdr:nvGrpSpPr>
        <xdr:cNvPr id="2" name="Group 1">
          <a:hlinkClick xmlns:r="http://schemas.openxmlformats.org/officeDocument/2006/relationships" r:id="rId1"/>
          <a:extLst>
            <a:ext uri="{FF2B5EF4-FFF2-40B4-BE49-F238E27FC236}">
              <a16:creationId xmlns:a16="http://schemas.microsoft.com/office/drawing/2014/main" id="{787C9E38-DFE0-4AE5-B00E-BD31319E9264}"/>
            </a:ext>
          </a:extLst>
        </xdr:cNvPr>
        <xdr:cNvGrpSpPr/>
      </xdr:nvGrpSpPr>
      <xdr:grpSpPr>
        <a:xfrm>
          <a:off x="190500" y="103688"/>
          <a:ext cx="1591628" cy="486619"/>
          <a:chOff x="190500" y="103688"/>
          <a:chExt cx="1501140" cy="492571"/>
        </a:xfrm>
      </xdr:grpSpPr>
      <xdr:sp macro="" textlink="">
        <xdr:nvSpPr>
          <xdr:cNvPr id="3" name="TextBox 2">
            <a:extLst>
              <a:ext uri="{FF2B5EF4-FFF2-40B4-BE49-F238E27FC236}">
                <a16:creationId xmlns:a16="http://schemas.microsoft.com/office/drawing/2014/main" id="{CA6B2001-428E-4A75-9D80-6843C4B0A73B}"/>
              </a:ext>
            </a:extLst>
          </xdr:cNvPr>
          <xdr:cNvSpPr txBox="1"/>
        </xdr:nvSpPr>
        <xdr:spPr>
          <a:xfrm>
            <a:off x="457200" y="103688"/>
            <a:ext cx="1234440" cy="4925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300" b="1" baseline="0">
                <a:solidFill>
                  <a:schemeClr val="bg1"/>
                </a:solidFill>
                <a:latin typeface="Roboto" pitchFamily="2" charset="0"/>
                <a:ea typeface="Roboto" pitchFamily="2" charset="0"/>
                <a:cs typeface="Times New Roman" panose="02020603050405020304" pitchFamily="18" charset="0"/>
              </a:rPr>
              <a:t>TÀI CHÍNH</a:t>
            </a:r>
          </a:p>
          <a:p>
            <a:pPr algn="ctr"/>
            <a:r>
              <a:rPr lang="en-US" sz="1300" b="1" baseline="0">
                <a:solidFill>
                  <a:schemeClr val="bg1"/>
                </a:solidFill>
                <a:latin typeface="Roboto" pitchFamily="2" charset="0"/>
                <a:ea typeface="Roboto" pitchFamily="2" charset="0"/>
                <a:cs typeface="Times New Roman" panose="02020603050405020304" pitchFamily="18" charset="0"/>
              </a:rPr>
              <a:t>CÁ NHÂN</a:t>
            </a:r>
            <a:endParaRPr lang="en-US" sz="1300" b="1">
              <a:solidFill>
                <a:schemeClr val="bg1"/>
              </a:solidFill>
              <a:latin typeface="Roboto" pitchFamily="2" charset="0"/>
              <a:ea typeface="Roboto" pitchFamily="2" charset="0"/>
              <a:cs typeface="Times New Roman" panose="02020603050405020304" pitchFamily="18" charset="0"/>
            </a:endParaRPr>
          </a:p>
        </xdr:txBody>
      </xdr:sp>
      <xdr:pic>
        <xdr:nvPicPr>
          <xdr:cNvPr id="4" name="Graphic 3" descr="Diamond">
            <a:extLst>
              <a:ext uri="{FF2B5EF4-FFF2-40B4-BE49-F238E27FC236}">
                <a16:creationId xmlns:a16="http://schemas.microsoft.com/office/drawing/2014/main" id="{8E113476-DB3D-4D4A-AA63-D6CAA36E7C8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90500" y="167093"/>
            <a:ext cx="365760" cy="365760"/>
          </a:xfrm>
          <a:prstGeom prst="rect">
            <a:avLst/>
          </a:prstGeom>
        </xdr:spPr>
      </xdr:pic>
    </xdr:grpSp>
    <xdr:clientData/>
  </xdr:twoCellAnchor>
  <xdr:twoCellAnchor>
    <xdr:from>
      <xdr:col>9</xdr:col>
      <xdr:colOff>321468</xdr:colOff>
      <xdr:row>7</xdr:row>
      <xdr:rowOff>170258</xdr:rowOff>
    </xdr:from>
    <xdr:to>
      <xdr:col>23</xdr:col>
      <xdr:colOff>0</xdr:colOff>
      <xdr:row>22</xdr:row>
      <xdr:rowOff>35719</xdr:rowOff>
    </xdr:to>
    <xdr:graphicFrame macro="">
      <xdr:nvGraphicFramePr>
        <xdr:cNvPr id="7" name="Chart 6">
          <a:extLst>
            <a:ext uri="{FF2B5EF4-FFF2-40B4-BE49-F238E27FC236}">
              <a16:creationId xmlns:a16="http://schemas.microsoft.com/office/drawing/2014/main" id="{C87ECDC3-BE50-4DD5-A193-43BAA4D77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345278</xdr:colOff>
      <xdr:row>4</xdr:row>
      <xdr:rowOff>0</xdr:rowOff>
    </xdr:from>
    <xdr:to>
      <xdr:col>3</xdr:col>
      <xdr:colOff>9210</xdr:colOff>
      <xdr:row>57</xdr:row>
      <xdr:rowOff>43619</xdr:rowOff>
    </xdr:to>
    <xdr:grpSp>
      <xdr:nvGrpSpPr>
        <xdr:cNvPr id="8" name="Group 7">
          <a:extLst>
            <a:ext uri="{FF2B5EF4-FFF2-40B4-BE49-F238E27FC236}">
              <a16:creationId xmlns:a16="http://schemas.microsoft.com/office/drawing/2014/main" id="{722A2199-0540-47D8-BD80-A3AADFDF3411}"/>
            </a:ext>
          </a:extLst>
        </xdr:cNvPr>
        <xdr:cNvGrpSpPr/>
      </xdr:nvGrpSpPr>
      <xdr:grpSpPr>
        <a:xfrm>
          <a:off x="345278" y="750094"/>
          <a:ext cx="1628463" cy="10134166"/>
          <a:chOff x="350042" y="654846"/>
          <a:chExt cx="1485588" cy="10223462"/>
        </a:xfrm>
      </xdr:grpSpPr>
      <xdr:pic>
        <xdr:nvPicPr>
          <xdr:cNvPr id="9" name="Graphic 8">
            <a:extLst>
              <a:ext uri="{FF2B5EF4-FFF2-40B4-BE49-F238E27FC236}">
                <a16:creationId xmlns:a16="http://schemas.microsoft.com/office/drawing/2014/main" id="{FBDAE917-306D-4904-9FD4-DB8E11C66B7F}"/>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654846"/>
            <a:ext cx="1485588" cy="1214436"/>
          </a:xfrm>
          <a:prstGeom prst="rect">
            <a:avLst/>
          </a:prstGeom>
        </xdr:spPr>
      </xdr:pic>
      <xdr:pic>
        <xdr:nvPicPr>
          <xdr:cNvPr id="10" name="Graphic 9">
            <a:extLst>
              <a:ext uri="{FF2B5EF4-FFF2-40B4-BE49-F238E27FC236}">
                <a16:creationId xmlns:a16="http://schemas.microsoft.com/office/drawing/2014/main" id="{526A4666-99E0-497F-875C-53BD2C1C3229}"/>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1155347"/>
            <a:ext cx="1485588" cy="1214436"/>
          </a:xfrm>
          <a:prstGeom prst="rect">
            <a:avLst/>
          </a:prstGeom>
        </xdr:spPr>
      </xdr:pic>
      <xdr:pic>
        <xdr:nvPicPr>
          <xdr:cNvPr id="11" name="Graphic 10">
            <a:extLst>
              <a:ext uri="{FF2B5EF4-FFF2-40B4-BE49-F238E27FC236}">
                <a16:creationId xmlns:a16="http://schemas.microsoft.com/office/drawing/2014/main" id="{D0029995-05F9-4EE9-8C9A-EDF442CFAD82}"/>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1655848"/>
            <a:ext cx="1485588" cy="1214436"/>
          </a:xfrm>
          <a:prstGeom prst="rect">
            <a:avLst/>
          </a:prstGeom>
        </xdr:spPr>
      </xdr:pic>
      <xdr:pic>
        <xdr:nvPicPr>
          <xdr:cNvPr id="12" name="Graphic 11">
            <a:extLst>
              <a:ext uri="{FF2B5EF4-FFF2-40B4-BE49-F238E27FC236}">
                <a16:creationId xmlns:a16="http://schemas.microsoft.com/office/drawing/2014/main" id="{8286480A-6326-4233-94F1-45D2F88B68FC}"/>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2156349"/>
            <a:ext cx="1485588" cy="1214436"/>
          </a:xfrm>
          <a:prstGeom prst="rect">
            <a:avLst/>
          </a:prstGeom>
        </xdr:spPr>
      </xdr:pic>
      <xdr:pic>
        <xdr:nvPicPr>
          <xdr:cNvPr id="13" name="Graphic 12">
            <a:extLst>
              <a:ext uri="{FF2B5EF4-FFF2-40B4-BE49-F238E27FC236}">
                <a16:creationId xmlns:a16="http://schemas.microsoft.com/office/drawing/2014/main" id="{CE85E89B-581B-4988-B896-BB3A17AE83C9}"/>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2656850"/>
            <a:ext cx="1485588" cy="1214436"/>
          </a:xfrm>
          <a:prstGeom prst="rect">
            <a:avLst/>
          </a:prstGeom>
        </xdr:spPr>
      </xdr:pic>
      <xdr:pic>
        <xdr:nvPicPr>
          <xdr:cNvPr id="14" name="Graphic 13">
            <a:extLst>
              <a:ext uri="{FF2B5EF4-FFF2-40B4-BE49-F238E27FC236}">
                <a16:creationId xmlns:a16="http://schemas.microsoft.com/office/drawing/2014/main" id="{8383EC07-DB22-4505-A96E-56EB12379D9F}"/>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3157351"/>
            <a:ext cx="1485588" cy="1214436"/>
          </a:xfrm>
          <a:prstGeom prst="rect">
            <a:avLst/>
          </a:prstGeom>
        </xdr:spPr>
      </xdr:pic>
      <xdr:pic>
        <xdr:nvPicPr>
          <xdr:cNvPr id="15" name="Graphic 14">
            <a:extLst>
              <a:ext uri="{FF2B5EF4-FFF2-40B4-BE49-F238E27FC236}">
                <a16:creationId xmlns:a16="http://schemas.microsoft.com/office/drawing/2014/main" id="{AA362A12-F2DF-424C-872B-4D989857741A}"/>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3657852"/>
            <a:ext cx="1485588" cy="1214436"/>
          </a:xfrm>
          <a:prstGeom prst="rect">
            <a:avLst/>
          </a:prstGeom>
        </xdr:spPr>
      </xdr:pic>
      <xdr:pic>
        <xdr:nvPicPr>
          <xdr:cNvPr id="17" name="Graphic 16">
            <a:extLst>
              <a:ext uri="{FF2B5EF4-FFF2-40B4-BE49-F238E27FC236}">
                <a16:creationId xmlns:a16="http://schemas.microsoft.com/office/drawing/2014/main" id="{3B1FCFA2-57C5-443D-8B0D-506B4046D437}"/>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4658854"/>
            <a:ext cx="1485588" cy="1214436"/>
          </a:xfrm>
          <a:prstGeom prst="rect">
            <a:avLst/>
          </a:prstGeom>
        </xdr:spPr>
      </xdr:pic>
      <xdr:pic>
        <xdr:nvPicPr>
          <xdr:cNvPr id="16" name="Graphic 15">
            <a:extLst>
              <a:ext uri="{FF2B5EF4-FFF2-40B4-BE49-F238E27FC236}">
                <a16:creationId xmlns:a16="http://schemas.microsoft.com/office/drawing/2014/main" id="{FF93BAC4-AD7E-4031-85D6-9FDBC8A2F733}"/>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rcRect r="28388"/>
          <a:stretch/>
        </xdr:blipFill>
        <xdr:spPr>
          <a:xfrm>
            <a:off x="350042" y="4158353"/>
            <a:ext cx="1485588" cy="1214436"/>
          </a:xfrm>
          <a:prstGeom prst="rect">
            <a:avLst/>
          </a:prstGeom>
        </xdr:spPr>
      </xdr:pic>
      <xdr:pic>
        <xdr:nvPicPr>
          <xdr:cNvPr id="18" name="Graphic 17">
            <a:extLst>
              <a:ext uri="{FF2B5EF4-FFF2-40B4-BE49-F238E27FC236}">
                <a16:creationId xmlns:a16="http://schemas.microsoft.com/office/drawing/2014/main" id="{551E0BFF-D92C-41C8-9247-9B9145E3340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5159355"/>
            <a:ext cx="1485588" cy="1214436"/>
          </a:xfrm>
          <a:prstGeom prst="rect">
            <a:avLst/>
          </a:prstGeom>
        </xdr:spPr>
      </xdr:pic>
      <xdr:pic>
        <xdr:nvPicPr>
          <xdr:cNvPr id="19" name="Graphic 18">
            <a:extLst>
              <a:ext uri="{FF2B5EF4-FFF2-40B4-BE49-F238E27FC236}">
                <a16:creationId xmlns:a16="http://schemas.microsoft.com/office/drawing/2014/main" id="{67671B0D-EE55-467A-BC24-BB5EF4820056}"/>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5659856"/>
            <a:ext cx="1485588" cy="1214436"/>
          </a:xfrm>
          <a:prstGeom prst="rect">
            <a:avLst/>
          </a:prstGeom>
        </xdr:spPr>
      </xdr:pic>
      <xdr:pic>
        <xdr:nvPicPr>
          <xdr:cNvPr id="20" name="Graphic 19">
            <a:extLst>
              <a:ext uri="{FF2B5EF4-FFF2-40B4-BE49-F238E27FC236}">
                <a16:creationId xmlns:a16="http://schemas.microsoft.com/office/drawing/2014/main" id="{18BCFF85-B256-4846-B243-E9DDA3EDE499}"/>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6160357"/>
            <a:ext cx="1485588" cy="1214436"/>
          </a:xfrm>
          <a:prstGeom prst="rect">
            <a:avLst/>
          </a:prstGeom>
        </xdr:spPr>
      </xdr:pic>
      <xdr:pic>
        <xdr:nvPicPr>
          <xdr:cNvPr id="21" name="Graphic 20">
            <a:extLst>
              <a:ext uri="{FF2B5EF4-FFF2-40B4-BE49-F238E27FC236}">
                <a16:creationId xmlns:a16="http://schemas.microsoft.com/office/drawing/2014/main" id="{C1FD6C07-2D5C-4E0E-A0B2-B2AB42631E5A}"/>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6660858"/>
            <a:ext cx="1485588" cy="1214436"/>
          </a:xfrm>
          <a:prstGeom prst="rect">
            <a:avLst/>
          </a:prstGeom>
        </xdr:spPr>
      </xdr:pic>
      <xdr:pic>
        <xdr:nvPicPr>
          <xdr:cNvPr id="22" name="Graphic 21">
            <a:extLst>
              <a:ext uri="{FF2B5EF4-FFF2-40B4-BE49-F238E27FC236}">
                <a16:creationId xmlns:a16="http://schemas.microsoft.com/office/drawing/2014/main" id="{0341379C-DD81-469C-B9BF-C7C34654EE61}"/>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7161359"/>
            <a:ext cx="1485588" cy="1214436"/>
          </a:xfrm>
          <a:prstGeom prst="rect">
            <a:avLst/>
          </a:prstGeom>
        </xdr:spPr>
      </xdr:pic>
      <xdr:pic>
        <xdr:nvPicPr>
          <xdr:cNvPr id="23" name="Graphic 22">
            <a:extLst>
              <a:ext uri="{FF2B5EF4-FFF2-40B4-BE49-F238E27FC236}">
                <a16:creationId xmlns:a16="http://schemas.microsoft.com/office/drawing/2014/main" id="{FF2E0C2D-1FE8-4B37-AF1A-3F2E18DD9C95}"/>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7661860"/>
            <a:ext cx="1485588" cy="1214436"/>
          </a:xfrm>
          <a:prstGeom prst="rect">
            <a:avLst/>
          </a:prstGeom>
        </xdr:spPr>
      </xdr:pic>
      <xdr:pic>
        <xdr:nvPicPr>
          <xdr:cNvPr id="24" name="Graphic 23">
            <a:extLst>
              <a:ext uri="{FF2B5EF4-FFF2-40B4-BE49-F238E27FC236}">
                <a16:creationId xmlns:a16="http://schemas.microsoft.com/office/drawing/2014/main" id="{EE29F4FB-396F-4E37-8E6C-CC27A9AF6325}"/>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8162361"/>
            <a:ext cx="1485588" cy="1214436"/>
          </a:xfrm>
          <a:prstGeom prst="rect">
            <a:avLst/>
          </a:prstGeom>
        </xdr:spPr>
      </xdr:pic>
      <xdr:pic>
        <xdr:nvPicPr>
          <xdr:cNvPr id="25" name="Graphic 24">
            <a:extLst>
              <a:ext uri="{FF2B5EF4-FFF2-40B4-BE49-F238E27FC236}">
                <a16:creationId xmlns:a16="http://schemas.microsoft.com/office/drawing/2014/main" id="{9AE1B2AC-801E-4AE7-A3DD-C2F16A5CA7AA}"/>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8662862"/>
            <a:ext cx="1485588" cy="1214436"/>
          </a:xfrm>
          <a:prstGeom prst="rect">
            <a:avLst/>
          </a:prstGeom>
        </xdr:spPr>
      </xdr:pic>
      <xdr:pic>
        <xdr:nvPicPr>
          <xdr:cNvPr id="26" name="Graphic 25">
            <a:extLst>
              <a:ext uri="{FF2B5EF4-FFF2-40B4-BE49-F238E27FC236}">
                <a16:creationId xmlns:a16="http://schemas.microsoft.com/office/drawing/2014/main" id="{5C939B60-6D2A-4960-9411-2EA5D9BC264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9163363"/>
            <a:ext cx="1485588" cy="1214436"/>
          </a:xfrm>
          <a:prstGeom prst="rect">
            <a:avLst/>
          </a:prstGeom>
        </xdr:spPr>
      </xdr:pic>
      <xdr:pic>
        <xdr:nvPicPr>
          <xdr:cNvPr id="27" name="Graphic 26">
            <a:extLst>
              <a:ext uri="{FF2B5EF4-FFF2-40B4-BE49-F238E27FC236}">
                <a16:creationId xmlns:a16="http://schemas.microsoft.com/office/drawing/2014/main" id="{97300269-AA72-4BD1-A047-E598611E412E}"/>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9663872"/>
            <a:ext cx="1485588" cy="1214436"/>
          </a:xfrm>
          <a:prstGeom prst="rect">
            <a:avLst/>
          </a:prstGeom>
        </xdr:spPr>
      </xdr:pic>
    </xdr:grpSp>
    <xdr:clientData/>
  </xdr:twoCellAnchor>
  <xdr:twoCellAnchor>
    <xdr:from>
      <xdr:col>0</xdr:col>
      <xdr:colOff>453617</xdr:colOff>
      <xdr:row>6</xdr:row>
      <xdr:rowOff>93938</xdr:rowOff>
    </xdr:from>
    <xdr:to>
      <xdr:col>2</xdr:col>
      <xdr:colOff>508089</xdr:colOff>
      <xdr:row>54</xdr:row>
      <xdr:rowOff>152087</xdr:rowOff>
    </xdr:to>
    <xdr:grpSp>
      <xdr:nvGrpSpPr>
        <xdr:cNvPr id="28" name="Group 27">
          <a:extLst>
            <a:ext uri="{FF2B5EF4-FFF2-40B4-BE49-F238E27FC236}">
              <a16:creationId xmlns:a16="http://schemas.microsoft.com/office/drawing/2014/main" id="{82F4811E-436C-4425-9FD9-4E9B075F0416}"/>
            </a:ext>
          </a:extLst>
        </xdr:cNvPr>
        <xdr:cNvGrpSpPr/>
      </xdr:nvGrpSpPr>
      <xdr:grpSpPr>
        <a:xfrm>
          <a:off x="453617" y="1225032"/>
          <a:ext cx="1364160" cy="9184290"/>
          <a:chOff x="487686" y="1129784"/>
          <a:chExt cx="1268910" cy="9273586"/>
        </a:xfrm>
      </xdr:grpSpPr>
      <xdr:sp macro="" textlink="">
        <xdr:nvSpPr>
          <xdr:cNvPr id="29" name="TextBox 28">
            <a:hlinkClick xmlns:r="http://schemas.openxmlformats.org/officeDocument/2006/relationships" r:id="rId9"/>
            <a:extLst>
              <a:ext uri="{FF2B5EF4-FFF2-40B4-BE49-F238E27FC236}">
                <a16:creationId xmlns:a16="http://schemas.microsoft.com/office/drawing/2014/main" id="{377CAD8B-21C5-405D-BD2A-1D2168A09085}"/>
              </a:ext>
            </a:extLst>
          </xdr:cNvPr>
          <xdr:cNvSpPr txBox="1"/>
        </xdr:nvSpPr>
        <xdr:spPr>
          <a:xfrm>
            <a:off x="784825" y="1129784"/>
            <a:ext cx="67317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Từ</a:t>
            </a:r>
            <a:r>
              <a:rPr lang="en-US" sz="1100" b="1" baseline="0">
                <a:solidFill>
                  <a:schemeClr val="bg1"/>
                </a:solidFill>
              </a:rPr>
              <a:t> khóa</a:t>
            </a:r>
            <a:endParaRPr lang="en-US" sz="1100" b="1">
              <a:solidFill>
                <a:schemeClr val="bg1"/>
              </a:solidFill>
            </a:endParaRPr>
          </a:p>
        </xdr:txBody>
      </xdr:sp>
      <xdr:sp macro="" textlink="">
        <xdr:nvSpPr>
          <xdr:cNvPr id="30" name="TextBox 29">
            <a:hlinkClick xmlns:r="http://schemas.openxmlformats.org/officeDocument/2006/relationships" r:id="rId10"/>
            <a:extLst>
              <a:ext uri="{FF2B5EF4-FFF2-40B4-BE49-F238E27FC236}">
                <a16:creationId xmlns:a16="http://schemas.microsoft.com/office/drawing/2014/main" id="{820842C4-2189-4939-B2DA-100B6F8681AD}"/>
              </a:ext>
            </a:extLst>
          </xdr:cNvPr>
          <xdr:cNvSpPr txBox="1"/>
        </xdr:nvSpPr>
        <xdr:spPr>
          <a:xfrm>
            <a:off x="708434" y="1630285"/>
            <a:ext cx="82595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Dashboard</a:t>
            </a:r>
          </a:p>
        </xdr:txBody>
      </xdr:sp>
      <xdr:sp macro="" textlink="">
        <xdr:nvSpPr>
          <xdr:cNvPr id="31" name="TextBox 30">
            <a:hlinkClick xmlns:r="http://schemas.openxmlformats.org/officeDocument/2006/relationships" r:id="rId11"/>
            <a:extLst>
              <a:ext uri="{FF2B5EF4-FFF2-40B4-BE49-F238E27FC236}">
                <a16:creationId xmlns:a16="http://schemas.microsoft.com/office/drawing/2014/main" id="{4028671B-D055-476B-8F92-5F1663E43ED7}"/>
              </a:ext>
            </a:extLst>
          </xdr:cNvPr>
          <xdr:cNvSpPr txBox="1"/>
        </xdr:nvSpPr>
        <xdr:spPr>
          <a:xfrm>
            <a:off x="495750" y="2130786"/>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Mục</a:t>
            </a:r>
            <a:r>
              <a:rPr lang="en-US" sz="1100" b="1" baseline="0">
                <a:solidFill>
                  <a:schemeClr val="bg1"/>
                </a:solidFill>
                <a:effectLst/>
                <a:latin typeface="+mn-lt"/>
                <a:ea typeface="+mn-ea"/>
                <a:cs typeface="+mn-cs"/>
              </a:rPr>
              <a:t> tiêu bản thân</a:t>
            </a:r>
            <a:endParaRPr lang="en-US">
              <a:solidFill>
                <a:schemeClr val="bg1"/>
              </a:solidFill>
              <a:effectLst/>
            </a:endParaRPr>
          </a:p>
        </xdr:txBody>
      </xdr:sp>
      <xdr:sp macro="" textlink="">
        <xdr:nvSpPr>
          <xdr:cNvPr id="32" name="TextBox 31">
            <a:hlinkClick xmlns:r="http://schemas.openxmlformats.org/officeDocument/2006/relationships" r:id="rId12"/>
            <a:extLst>
              <a:ext uri="{FF2B5EF4-FFF2-40B4-BE49-F238E27FC236}">
                <a16:creationId xmlns:a16="http://schemas.microsoft.com/office/drawing/2014/main" id="{15352C0F-A165-4A3A-864B-8554B7677D0D}"/>
              </a:ext>
            </a:extLst>
          </xdr:cNvPr>
          <xdr:cNvSpPr txBox="1"/>
        </xdr:nvSpPr>
        <xdr:spPr>
          <a:xfrm>
            <a:off x="495750" y="2631287"/>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Mục</a:t>
            </a:r>
            <a:r>
              <a:rPr lang="en-US" sz="1100" b="1" baseline="0">
                <a:solidFill>
                  <a:schemeClr val="bg1"/>
                </a:solidFill>
                <a:effectLst/>
                <a:latin typeface="+mn-lt"/>
                <a:ea typeface="+mn-ea"/>
                <a:cs typeface="+mn-cs"/>
              </a:rPr>
              <a:t> tiêu tài chính</a:t>
            </a:r>
            <a:endParaRPr lang="en-US">
              <a:solidFill>
                <a:schemeClr val="bg1"/>
              </a:solidFill>
              <a:effectLst/>
            </a:endParaRPr>
          </a:p>
        </xdr:txBody>
      </xdr:sp>
      <xdr:sp macro="" textlink="">
        <xdr:nvSpPr>
          <xdr:cNvPr id="33" name="TextBox 32">
            <a:hlinkClick xmlns:r="http://schemas.openxmlformats.org/officeDocument/2006/relationships" r:id="rId13"/>
            <a:extLst>
              <a:ext uri="{FF2B5EF4-FFF2-40B4-BE49-F238E27FC236}">
                <a16:creationId xmlns:a16="http://schemas.microsoft.com/office/drawing/2014/main" id="{C0CD4EC0-112E-4891-9A84-1027C9D4B0D1}"/>
              </a:ext>
            </a:extLst>
          </xdr:cNvPr>
          <xdr:cNvSpPr txBox="1"/>
        </xdr:nvSpPr>
        <xdr:spPr>
          <a:xfrm>
            <a:off x="487686" y="3020663"/>
            <a:ext cx="1260846" cy="459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b="1">
                <a:solidFill>
                  <a:schemeClr val="bg1"/>
                </a:solidFill>
                <a:effectLst/>
                <a:latin typeface="+mn-lt"/>
                <a:ea typeface="+mn-ea"/>
                <a:cs typeface="+mn-cs"/>
              </a:rPr>
              <a:t>Cân</a:t>
            </a:r>
            <a:r>
              <a:rPr lang="en-US" sz="1100" b="1" baseline="0">
                <a:solidFill>
                  <a:schemeClr val="bg1"/>
                </a:solidFill>
                <a:effectLst/>
                <a:latin typeface="+mn-lt"/>
                <a:ea typeface="+mn-ea"/>
                <a:cs typeface="+mn-cs"/>
              </a:rPr>
              <a:t> đối</a:t>
            </a:r>
            <a:endParaRPr lang="en-US">
              <a:solidFill>
                <a:schemeClr val="bg1"/>
              </a:solidFill>
              <a:effectLst/>
            </a:endParaRPr>
          </a:p>
          <a:p>
            <a:pPr algn="ctr"/>
            <a:r>
              <a:rPr lang="en-US" sz="1100" b="1" baseline="0">
                <a:solidFill>
                  <a:schemeClr val="bg1"/>
                </a:solidFill>
                <a:effectLst/>
                <a:latin typeface="+mn-lt"/>
                <a:ea typeface="+mn-ea"/>
                <a:cs typeface="+mn-cs"/>
              </a:rPr>
              <a:t>l</a:t>
            </a:r>
            <a:r>
              <a:rPr lang="en-US" sz="1100" b="1">
                <a:solidFill>
                  <a:schemeClr val="bg1"/>
                </a:solidFill>
                <a:effectLst/>
                <a:latin typeface="+mn-lt"/>
                <a:ea typeface="+mn-ea"/>
                <a:cs typeface="+mn-cs"/>
              </a:rPr>
              <a:t>ộ</a:t>
            </a:r>
            <a:r>
              <a:rPr lang="en-US" sz="1100" b="1" baseline="0">
                <a:solidFill>
                  <a:schemeClr val="bg1"/>
                </a:solidFill>
                <a:effectLst/>
                <a:latin typeface="+mn-lt"/>
                <a:ea typeface="+mn-ea"/>
                <a:cs typeface="+mn-cs"/>
              </a:rPr>
              <a:t> trình nghề nghiệp</a:t>
            </a:r>
            <a:endParaRPr lang="en-US">
              <a:solidFill>
                <a:schemeClr val="bg1"/>
              </a:solidFill>
              <a:effectLst/>
            </a:endParaRPr>
          </a:p>
        </xdr:txBody>
      </xdr:sp>
      <xdr:sp macro="" textlink="">
        <xdr:nvSpPr>
          <xdr:cNvPr id="34" name="TextBox 33">
            <a:hlinkClick xmlns:r="http://schemas.openxmlformats.org/officeDocument/2006/relationships" r:id="rId14"/>
            <a:extLst>
              <a:ext uri="{FF2B5EF4-FFF2-40B4-BE49-F238E27FC236}">
                <a16:creationId xmlns:a16="http://schemas.microsoft.com/office/drawing/2014/main" id="{825C4A40-7FF5-4ACA-BB16-DEE23CC441D1}"/>
              </a:ext>
            </a:extLst>
          </xdr:cNvPr>
          <xdr:cNvSpPr txBox="1"/>
        </xdr:nvSpPr>
        <xdr:spPr>
          <a:xfrm>
            <a:off x="487686" y="3521164"/>
            <a:ext cx="1260846" cy="459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100" b="1">
                <a:solidFill>
                  <a:schemeClr val="bg1"/>
                </a:solidFill>
                <a:effectLst/>
                <a:latin typeface="+mn-lt"/>
                <a:ea typeface="+mn-ea"/>
                <a:cs typeface="+mn-cs"/>
              </a:rPr>
              <a:t>Kế</a:t>
            </a:r>
            <a:r>
              <a:rPr lang="en-US" sz="1100" b="1" baseline="0">
                <a:solidFill>
                  <a:schemeClr val="bg1"/>
                </a:solidFill>
                <a:effectLst/>
                <a:latin typeface="+mn-lt"/>
                <a:ea typeface="+mn-ea"/>
                <a:cs typeface="+mn-cs"/>
              </a:rPr>
              <a:t> hoạch </a:t>
            </a:r>
          </a:p>
          <a:p>
            <a:pPr algn="ctr"/>
            <a:r>
              <a:rPr lang="en-US" sz="1100" b="1" baseline="0">
                <a:solidFill>
                  <a:schemeClr val="bg1"/>
                </a:solidFill>
                <a:effectLst/>
                <a:latin typeface="+mn-lt"/>
                <a:ea typeface="+mn-ea"/>
                <a:cs typeface="+mn-cs"/>
              </a:rPr>
              <a:t>thu nhập &amp; chi tiêu</a:t>
            </a:r>
            <a:endParaRPr lang="en-US">
              <a:solidFill>
                <a:schemeClr val="bg1"/>
              </a:solidFill>
              <a:effectLst/>
            </a:endParaRPr>
          </a:p>
        </xdr:txBody>
      </xdr:sp>
      <xdr:sp macro="" textlink="">
        <xdr:nvSpPr>
          <xdr:cNvPr id="35" name="TextBox 34">
            <a:hlinkClick xmlns:r="http://schemas.openxmlformats.org/officeDocument/2006/relationships" r:id="rId15"/>
            <a:extLst>
              <a:ext uri="{FF2B5EF4-FFF2-40B4-BE49-F238E27FC236}">
                <a16:creationId xmlns:a16="http://schemas.microsoft.com/office/drawing/2014/main" id="{A59618F5-2CB9-4BC4-87C8-FE8F06F69B9E}"/>
              </a:ext>
            </a:extLst>
          </xdr:cNvPr>
          <xdr:cNvSpPr txBox="1"/>
        </xdr:nvSpPr>
        <xdr:spPr>
          <a:xfrm>
            <a:off x="495750" y="413279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a:t>
            </a:r>
            <a:endParaRPr lang="en-US">
              <a:solidFill>
                <a:schemeClr val="bg1"/>
              </a:solidFill>
              <a:effectLst/>
            </a:endParaRPr>
          </a:p>
        </xdr:txBody>
      </xdr:sp>
      <xdr:sp macro="" textlink="">
        <xdr:nvSpPr>
          <xdr:cNvPr id="36" name="TextBox 35">
            <a:hlinkClick xmlns:r="http://schemas.openxmlformats.org/officeDocument/2006/relationships" r:id="rId16"/>
            <a:extLst>
              <a:ext uri="{FF2B5EF4-FFF2-40B4-BE49-F238E27FC236}">
                <a16:creationId xmlns:a16="http://schemas.microsoft.com/office/drawing/2014/main" id="{6987F7AB-15D0-41CC-A4C2-6E02B9E967F6}"/>
              </a:ext>
            </a:extLst>
          </xdr:cNvPr>
          <xdr:cNvSpPr txBox="1"/>
        </xdr:nvSpPr>
        <xdr:spPr>
          <a:xfrm>
            <a:off x="495750" y="4633291"/>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ysClr val="windowText" lastClr="000000"/>
                </a:solidFill>
                <a:effectLst/>
                <a:latin typeface="+mn-lt"/>
                <a:ea typeface="+mn-ea"/>
                <a:cs typeface="+mn-cs"/>
              </a:rPr>
              <a:t>Theo dõi</a:t>
            </a:r>
            <a:r>
              <a:rPr lang="en-US" sz="1100" b="1" baseline="0">
                <a:solidFill>
                  <a:sysClr val="windowText" lastClr="000000"/>
                </a:solidFill>
                <a:effectLst/>
                <a:latin typeface="+mn-lt"/>
                <a:ea typeface="+mn-ea"/>
                <a:cs typeface="+mn-cs"/>
              </a:rPr>
              <a:t> tháng 2</a:t>
            </a:r>
            <a:endParaRPr lang="en-US">
              <a:solidFill>
                <a:sysClr val="windowText" lastClr="000000"/>
              </a:solidFill>
              <a:effectLst/>
            </a:endParaRPr>
          </a:p>
        </xdr:txBody>
      </xdr:sp>
      <xdr:sp macro="" textlink="">
        <xdr:nvSpPr>
          <xdr:cNvPr id="37" name="TextBox 36">
            <a:hlinkClick xmlns:r="http://schemas.openxmlformats.org/officeDocument/2006/relationships" r:id="rId17"/>
            <a:extLst>
              <a:ext uri="{FF2B5EF4-FFF2-40B4-BE49-F238E27FC236}">
                <a16:creationId xmlns:a16="http://schemas.microsoft.com/office/drawing/2014/main" id="{A15C9FCE-1FF0-474F-82FB-4E3C5DD2CCF7}"/>
              </a:ext>
            </a:extLst>
          </xdr:cNvPr>
          <xdr:cNvSpPr txBox="1"/>
        </xdr:nvSpPr>
        <xdr:spPr>
          <a:xfrm>
            <a:off x="495750" y="5133792"/>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3</a:t>
            </a:r>
            <a:endParaRPr lang="en-US">
              <a:solidFill>
                <a:schemeClr val="bg1"/>
              </a:solidFill>
              <a:effectLst/>
            </a:endParaRPr>
          </a:p>
        </xdr:txBody>
      </xdr:sp>
      <xdr:sp macro="" textlink="">
        <xdr:nvSpPr>
          <xdr:cNvPr id="38" name="TextBox 37">
            <a:hlinkClick xmlns:r="http://schemas.openxmlformats.org/officeDocument/2006/relationships" r:id="rId18"/>
            <a:extLst>
              <a:ext uri="{FF2B5EF4-FFF2-40B4-BE49-F238E27FC236}">
                <a16:creationId xmlns:a16="http://schemas.microsoft.com/office/drawing/2014/main" id="{08627832-FA11-4654-A57D-750D4D4A94BB}"/>
              </a:ext>
            </a:extLst>
          </xdr:cNvPr>
          <xdr:cNvSpPr txBox="1"/>
        </xdr:nvSpPr>
        <xdr:spPr>
          <a:xfrm>
            <a:off x="495750" y="5634293"/>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4</a:t>
            </a:r>
            <a:endParaRPr lang="en-US">
              <a:solidFill>
                <a:schemeClr val="bg1"/>
              </a:solidFill>
              <a:effectLst/>
            </a:endParaRPr>
          </a:p>
        </xdr:txBody>
      </xdr:sp>
      <xdr:sp macro="" textlink="">
        <xdr:nvSpPr>
          <xdr:cNvPr id="39" name="TextBox 38">
            <a:hlinkClick xmlns:r="http://schemas.openxmlformats.org/officeDocument/2006/relationships" r:id="rId19"/>
            <a:extLst>
              <a:ext uri="{FF2B5EF4-FFF2-40B4-BE49-F238E27FC236}">
                <a16:creationId xmlns:a16="http://schemas.microsoft.com/office/drawing/2014/main" id="{CD812B2C-DA9A-4629-8BFB-F2A71FEE68FE}"/>
              </a:ext>
            </a:extLst>
          </xdr:cNvPr>
          <xdr:cNvSpPr txBox="1"/>
        </xdr:nvSpPr>
        <xdr:spPr>
          <a:xfrm>
            <a:off x="495750" y="6134794"/>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5</a:t>
            </a:r>
            <a:endParaRPr lang="en-US">
              <a:solidFill>
                <a:schemeClr val="bg1"/>
              </a:solidFill>
              <a:effectLst/>
            </a:endParaRPr>
          </a:p>
        </xdr:txBody>
      </xdr:sp>
      <xdr:sp macro="" textlink="">
        <xdr:nvSpPr>
          <xdr:cNvPr id="40" name="TextBox 39">
            <a:hlinkClick xmlns:r="http://schemas.openxmlformats.org/officeDocument/2006/relationships" r:id="rId20"/>
            <a:extLst>
              <a:ext uri="{FF2B5EF4-FFF2-40B4-BE49-F238E27FC236}">
                <a16:creationId xmlns:a16="http://schemas.microsoft.com/office/drawing/2014/main" id="{1FD179AE-FD84-4B79-BD24-BD0F9433F9C7}"/>
              </a:ext>
            </a:extLst>
          </xdr:cNvPr>
          <xdr:cNvSpPr txBox="1"/>
        </xdr:nvSpPr>
        <xdr:spPr>
          <a:xfrm>
            <a:off x="495750" y="6635295"/>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6</a:t>
            </a:r>
            <a:endParaRPr lang="en-US">
              <a:solidFill>
                <a:schemeClr val="bg1"/>
              </a:solidFill>
              <a:effectLst/>
            </a:endParaRPr>
          </a:p>
        </xdr:txBody>
      </xdr:sp>
      <xdr:sp macro="" textlink="">
        <xdr:nvSpPr>
          <xdr:cNvPr id="41" name="TextBox 40">
            <a:hlinkClick xmlns:r="http://schemas.openxmlformats.org/officeDocument/2006/relationships" r:id="rId21"/>
            <a:extLst>
              <a:ext uri="{FF2B5EF4-FFF2-40B4-BE49-F238E27FC236}">
                <a16:creationId xmlns:a16="http://schemas.microsoft.com/office/drawing/2014/main" id="{7E3B15E5-46EE-4651-BFA1-95DF46E8320D}"/>
              </a:ext>
            </a:extLst>
          </xdr:cNvPr>
          <xdr:cNvSpPr txBox="1"/>
        </xdr:nvSpPr>
        <xdr:spPr>
          <a:xfrm>
            <a:off x="495750" y="7135796"/>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7</a:t>
            </a:r>
            <a:endParaRPr lang="en-US">
              <a:solidFill>
                <a:schemeClr val="bg1"/>
              </a:solidFill>
              <a:effectLst/>
            </a:endParaRPr>
          </a:p>
        </xdr:txBody>
      </xdr:sp>
      <xdr:sp macro="" textlink="">
        <xdr:nvSpPr>
          <xdr:cNvPr id="42" name="TextBox 41">
            <a:hlinkClick xmlns:r="http://schemas.openxmlformats.org/officeDocument/2006/relationships" r:id="rId22"/>
            <a:extLst>
              <a:ext uri="{FF2B5EF4-FFF2-40B4-BE49-F238E27FC236}">
                <a16:creationId xmlns:a16="http://schemas.microsoft.com/office/drawing/2014/main" id="{B6179560-44E8-4420-949F-8F95AC51A82E}"/>
              </a:ext>
            </a:extLst>
          </xdr:cNvPr>
          <xdr:cNvSpPr txBox="1"/>
        </xdr:nvSpPr>
        <xdr:spPr>
          <a:xfrm>
            <a:off x="495750" y="7636297"/>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8</a:t>
            </a:r>
            <a:endParaRPr lang="en-US">
              <a:solidFill>
                <a:schemeClr val="bg1"/>
              </a:solidFill>
              <a:effectLst/>
            </a:endParaRPr>
          </a:p>
        </xdr:txBody>
      </xdr:sp>
      <xdr:sp macro="" textlink="">
        <xdr:nvSpPr>
          <xdr:cNvPr id="43" name="TextBox 42">
            <a:hlinkClick xmlns:r="http://schemas.openxmlformats.org/officeDocument/2006/relationships" r:id="rId23"/>
            <a:extLst>
              <a:ext uri="{FF2B5EF4-FFF2-40B4-BE49-F238E27FC236}">
                <a16:creationId xmlns:a16="http://schemas.microsoft.com/office/drawing/2014/main" id="{2D94AD6B-D124-441D-B30B-CB0B7AD7CFD9}"/>
              </a:ext>
            </a:extLst>
          </xdr:cNvPr>
          <xdr:cNvSpPr txBox="1"/>
        </xdr:nvSpPr>
        <xdr:spPr>
          <a:xfrm>
            <a:off x="495750" y="8136798"/>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9</a:t>
            </a:r>
            <a:endParaRPr lang="en-US">
              <a:solidFill>
                <a:schemeClr val="bg1"/>
              </a:solidFill>
              <a:effectLst/>
            </a:endParaRPr>
          </a:p>
        </xdr:txBody>
      </xdr:sp>
      <xdr:sp macro="" textlink="">
        <xdr:nvSpPr>
          <xdr:cNvPr id="44" name="TextBox 43">
            <a:hlinkClick xmlns:r="http://schemas.openxmlformats.org/officeDocument/2006/relationships" r:id="rId24"/>
            <a:extLst>
              <a:ext uri="{FF2B5EF4-FFF2-40B4-BE49-F238E27FC236}">
                <a16:creationId xmlns:a16="http://schemas.microsoft.com/office/drawing/2014/main" id="{CCCA0854-5DCF-466B-ACE0-E7280309B684}"/>
              </a:ext>
            </a:extLst>
          </xdr:cNvPr>
          <xdr:cNvSpPr txBox="1"/>
        </xdr:nvSpPr>
        <xdr:spPr>
          <a:xfrm>
            <a:off x="495750" y="8637299"/>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10</a:t>
            </a:r>
            <a:endParaRPr lang="en-US">
              <a:solidFill>
                <a:schemeClr val="bg1"/>
              </a:solidFill>
              <a:effectLst/>
            </a:endParaRPr>
          </a:p>
        </xdr:txBody>
      </xdr:sp>
      <xdr:sp macro="" textlink="">
        <xdr:nvSpPr>
          <xdr:cNvPr id="45" name="TextBox 44">
            <a:hlinkClick xmlns:r="http://schemas.openxmlformats.org/officeDocument/2006/relationships" r:id="rId25"/>
            <a:extLst>
              <a:ext uri="{FF2B5EF4-FFF2-40B4-BE49-F238E27FC236}">
                <a16:creationId xmlns:a16="http://schemas.microsoft.com/office/drawing/2014/main" id="{7386F8D1-320A-4A24-963B-6F14829BF6EF}"/>
              </a:ext>
            </a:extLst>
          </xdr:cNvPr>
          <xdr:cNvSpPr txBox="1"/>
        </xdr:nvSpPr>
        <xdr:spPr>
          <a:xfrm>
            <a:off x="495750" y="913780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11</a:t>
            </a:r>
            <a:endParaRPr lang="en-US">
              <a:solidFill>
                <a:schemeClr val="bg1"/>
              </a:solidFill>
              <a:effectLst/>
            </a:endParaRPr>
          </a:p>
        </xdr:txBody>
      </xdr:sp>
      <xdr:sp macro="" textlink="">
        <xdr:nvSpPr>
          <xdr:cNvPr id="46" name="TextBox 45">
            <a:hlinkClick xmlns:r="http://schemas.openxmlformats.org/officeDocument/2006/relationships" r:id="rId26"/>
            <a:extLst>
              <a:ext uri="{FF2B5EF4-FFF2-40B4-BE49-F238E27FC236}">
                <a16:creationId xmlns:a16="http://schemas.microsoft.com/office/drawing/2014/main" id="{58EA059E-C1E8-4BE7-B163-D37E4390117D}"/>
              </a:ext>
            </a:extLst>
          </xdr:cNvPr>
          <xdr:cNvSpPr txBox="1"/>
        </xdr:nvSpPr>
        <xdr:spPr>
          <a:xfrm>
            <a:off x="495750" y="9638301"/>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12</a:t>
            </a:r>
            <a:endParaRPr lang="en-US">
              <a:solidFill>
                <a:schemeClr val="bg1"/>
              </a:solidFill>
              <a:effectLst/>
            </a:endParaRPr>
          </a:p>
        </xdr:txBody>
      </xdr:sp>
      <xdr:sp macro="" textlink="">
        <xdr:nvSpPr>
          <xdr:cNvPr id="47" name="TextBox 46">
            <a:hlinkClick xmlns:r="http://schemas.openxmlformats.org/officeDocument/2006/relationships" r:id="rId27"/>
            <a:extLst>
              <a:ext uri="{FF2B5EF4-FFF2-40B4-BE49-F238E27FC236}">
                <a16:creationId xmlns:a16="http://schemas.microsoft.com/office/drawing/2014/main" id="{B5850AA4-739B-4BA7-AC9B-07A3B74DEEE8}"/>
              </a:ext>
            </a:extLst>
          </xdr:cNvPr>
          <xdr:cNvSpPr txBox="1"/>
        </xdr:nvSpPr>
        <xdr:spPr>
          <a:xfrm>
            <a:off x="495750" y="1013881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b="1">
                <a:solidFill>
                  <a:schemeClr val="bg1"/>
                </a:solidFill>
                <a:effectLst/>
                <a:latin typeface="+mn-lt"/>
                <a:ea typeface="+mn-ea"/>
                <a:cs typeface="+mn-cs"/>
              </a:rPr>
              <a:t>Bảng</a:t>
            </a:r>
            <a:r>
              <a:rPr lang="en-US" sz="1100" b="1" baseline="0">
                <a:solidFill>
                  <a:schemeClr val="bg1"/>
                </a:solidFill>
                <a:effectLst/>
                <a:latin typeface="+mn-lt"/>
                <a:ea typeface="+mn-ea"/>
                <a:cs typeface="+mn-cs"/>
              </a:rPr>
              <a:t> khảo sát</a:t>
            </a:r>
            <a:endParaRPr lang="en-US">
              <a:solidFill>
                <a:schemeClr val="bg1"/>
              </a:solidFill>
              <a:effectLst/>
            </a:endParaRP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190500</xdr:colOff>
      <xdr:row>0</xdr:row>
      <xdr:rowOff>103688</xdr:rowOff>
    </xdr:from>
    <xdr:to>
      <xdr:col>2</xdr:col>
      <xdr:colOff>472440</xdr:colOff>
      <xdr:row>3</xdr:row>
      <xdr:rowOff>24759</xdr:rowOff>
    </xdr:to>
    <xdr:grpSp>
      <xdr:nvGrpSpPr>
        <xdr:cNvPr id="2" name="Group 1">
          <a:hlinkClick xmlns:r="http://schemas.openxmlformats.org/officeDocument/2006/relationships" r:id="rId1"/>
          <a:extLst>
            <a:ext uri="{FF2B5EF4-FFF2-40B4-BE49-F238E27FC236}">
              <a16:creationId xmlns:a16="http://schemas.microsoft.com/office/drawing/2014/main" id="{4460AA0F-C1B0-42DD-8334-5B7612FFC6BE}"/>
            </a:ext>
          </a:extLst>
        </xdr:cNvPr>
        <xdr:cNvGrpSpPr/>
      </xdr:nvGrpSpPr>
      <xdr:grpSpPr>
        <a:xfrm>
          <a:off x="190500" y="103688"/>
          <a:ext cx="1591628" cy="486619"/>
          <a:chOff x="190500" y="103688"/>
          <a:chExt cx="1501140" cy="492571"/>
        </a:xfrm>
      </xdr:grpSpPr>
      <xdr:sp macro="" textlink="">
        <xdr:nvSpPr>
          <xdr:cNvPr id="3" name="TextBox 2">
            <a:extLst>
              <a:ext uri="{FF2B5EF4-FFF2-40B4-BE49-F238E27FC236}">
                <a16:creationId xmlns:a16="http://schemas.microsoft.com/office/drawing/2014/main" id="{2E354CC6-3AC3-4682-B545-48C7E39FA2E4}"/>
              </a:ext>
            </a:extLst>
          </xdr:cNvPr>
          <xdr:cNvSpPr txBox="1"/>
        </xdr:nvSpPr>
        <xdr:spPr>
          <a:xfrm>
            <a:off x="457200" y="103688"/>
            <a:ext cx="1234440" cy="4925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300" b="1" baseline="0">
                <a:solidFill>
                  <a:schemeClr val="bg1"/>
                </a:solidFill>
                <a:latin typeface="Roboto" pitchFamily="2" charset="0"/>
                <a:ea typeface="Roboto" pitchFamily="2" charset="0"/>
                <a:cs typeface="Times New Roman" panose="02020603050405020304" pitchFamily="18" charset="0"/>
              </a:rPr>
              <a:t>TÀI CHÍNH</a:t>
            </a:r>
          </a:p>
          <a:p>
            <a:pPr algn="ctr"/>
            <a:r>
              <a:rPr lang="en-US" sz="1300" b="1" baseline="0">
                <a:solidFill>
                  <a:schemeClr val="bg1"/>
                </a:solidFill>
                <a:latin typeface="Roboto" pitchFamily="2" charset="0"/>
                <a:ea typeface="Roboto" pitchFamily="2" charset="0"/>
                <a:cs typeface="Times New Roman" panose="02020603050405020304" pitchFamily="18" charset="0"/>
              </a:rPr>
              <a:t>CÁ NHÂN</a:t>
            </a:r>
            <a:endParaRPr lang="en-US" sz="1300" b="1">
              <a:solidFill>
                <a:schemeClr val="bg1"/>
              </a:solidFill>
              <a:latin typeface="Roboto" pitchFamily="2" charset="0"/>
              <a:ea typeface="Roboto" pitchFamily="2" charset="0"/>
              <a:cs typeface="Times New Roman" panose="02020603050405020304" pitchFamily="18" charset="0"/>
            </a:endParaRPr>
          </a:p>
        </xdr:txBody>
      </xdr:sp>
      <xdr:pic>
        <xdr:nvPicPr>
          <xdr:cNvPr id="4" name="Graphic 3" descr="Diamond">
            <a:extLst>
              <a:ext uri="{FF2B5EF4-FFF2-40B4-BE49-F238E27FC236}">
                <a16:creationId xmlns:a16="http://schemas.microsoft.com/office/drawing/2014/main" id="{2063FEB1-4772-4139-ACE5-EBF8EE880A9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90500" y="167093"/>
            <a:ext cx="365760" cy="365760"/>
          </a:xfrm>
          <a:prstGeom prst="rect">
            <a:avLst/>
          </a:prstGeom>
        </xdr:spPr>
      </xdr:pic>
    </xdr:grpSp>
    <xdr:clientData/>
  </xdr:twoCellAnchor>
  <xdr:twoCellAnchor>
    <xdr:from>
      <xdr:col>9</xdr:col>
      <xdr:colOff>321468</xdr:colOff>
      <xdr:row>7</xdr:row>
      <xdr:rowOff>170258</xdr:rowOff>
    </xdr:from>
    <xdr:to>
      <xdr:col>23</xdr:col>
      <xdr:colOff>0</xdr:colOff>
      <xdr:row>22</xdr:row>
      <xdr:rowOff>35719</xdr:rowOff>
    </xdr:to>
    <xdr:graphicFrame macro="">
      <xdr:nvGraphicFramePr>
        <xdr:cNvPr id="7" name="Chart 6">
          <a:extLst>
            <a:ext uri="{FF2B5EF4-FFF2-40B4-BE49-F238E27FC236}">
              <a16:creationId xmlns:a16="http://schemas.microsoft.com/office/drawing/2014/main" id="{C54941A2-B690-4464-B7E6-EAAC81B2A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345278</xdr:colOff>
      <xdr:row>4</xdr:row>
      <xdr:rowOff>0</xdr:rowOff>
    </xdr:from>
    <xdr:to>
      <xdr:col>3</xdr:col>
      <xdr:colOff>9210</xdr:colOff>
      <xdr:row>57</xdr:row>
      <xdr:rowOff>43619</xdr:rowOff>
    </xdr:to>
    <xdr:grpSp>
      <xdr:nvGrpSpPr>
        <xdr:cNvPr id="8" name="Group 7">
          <a:extLst>
            <a:ext uri="{FF2B5EF4-FFF2-40B4-BE49-F238E27FC236}">
              <a16:creationId xmlns:a16="http://schemas.microsoft.com/office/drawing/2014/main" id="{35CA213C-1A3D-42A2-8AF2-FD3731E14E74}"/>
            </a:ext>
          </a:extLst>
        </xdr:cNvPr>
        <xdr:cNvGrpSpPr/>
      </xdr:nvGrpSpPr>
      <xdr:grpSpPr>
        <a:xfrm>
          <a:off x="345278" y="750094"/>
          <a:ext cx="1628463" cy="10134166"/>
          <a:chOff x="350042" y="654846"/>
          <a:chExt cx="1485588" cy="10223462"/>
        </a:xfrm>
      </xdr:grpSpPr>
      <xdr:pic>
        <xdr:nvPicPr>
          <xdr:cNvPr id="9" name="Graphic 8">
            <a:extLst>
              <a:ext uri="{FF2B5EF4-FFF2-40B4-BE49-F238E27FC236}">
                <a16:creationId xmlns:a16="http://schemas.microsoft.com/office/drawing/2014/main" id="{022B7964-8B72-49EC-B5A3-8AE88EB58F59}"/>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654846"/>
            <a:ext cx="1485588" cy="1214436"/>
          </a:xfrm>
          <a:prstGeom prst="rect">
            <a:avLst/>
          </a:prstGeom>
        </xdr:spPr>
      </xdr:pic>
      <xdr:pic>
        <xdr:nvPicPr>
          <xdr:cNvPr id="10" name="Graphic 9">
            <a:extLst>
              <a:ext uri="{FF2B5EF4-FFF2-40B4-BE49-F238E27FC236}">
                <a16:creationId xmlns:a16="http://schemas.microsoft.com/office/drawing/2014/main" id="{96361A7F-D550-4538-9396-675DAE0D6047}"/>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1155347"/>
            <a:ext cx="1485588" cy="1214436"/>
          </a:xfrm>
          <a:prstGeom prst="rect">
            <a:avLst/>
          </a:prstGeom>
        </xdr:spPr>
      </xdr:pic>
      <xdr:pic>
        <xdr:nvPicPr>
          <xdr:cNvPr id="11" name="Graphic 10">
            <a:extLst>
              <a:ext uri="{FF2B5EF4-FFF2-40B4-BE49-F238E27FC236}">
                <a16:creationId xmlns:a16="http://schemas.microsoft.com/office/drawing/2014/main" id="{4AB2EC08-8D50-4702-BBC1-C551FFDCEB32}"/>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1655848"/>
            <a:ext cx="1485588" cy="1214436"/>
          </a:xfrm>
          <a:prstGeom prst="rect">
            <a:avLst/>
          </a:prstGeom>
        </xdr:spPr>
      </xdr:pic>
      <xdr:pic>
        <xdr:nvPicPr>
          <xdr:cNvPr id="12" name="Graphic 11">
            <a:extLst>
              <a:ext uri="{FF2B5EF4-FFF2-40B4-BE49-F238E27FC236}">
                <a16:creationId xmlns:a16="http://schemas.microsoft.com/office/drawing/2014/main" id="{0F248D61-CFEC-473C-8705-FC559A4D1C4D}"/>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2156349"/>
            <a:ext cx="1485588" cy="1214436"/>
          </a:xfrm>
          <a:prstGeom prst="rect">
            <a:avLst/>
          </a:prstGeom>
        </xdr:spPr>
      </xdr:pic>
      <xdr:pic>
        <xdr:nvPicPr>
          <xdr:cNvPr id="13" name="Graphic 12">
            <a:extLst>
              <a:ext uri="{FF2B5EF4-FFF2-40B4-BE49-F238E27FC236}">
                <a16:creationId xmlns:a16="http://schemas.microsoft.com/office/drawing/2014/main" id="{07344ED6-044C-44C4-8E3A-EB368416B895}"/>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2656850"/>
            <a:ext cx="1485588" cy="1214436"/>
          </a:xfrm>
          <a:prstGeom prst="rect">
            <a:avLst/>
          </a:prstGeom>
        </xdr:spPr>
      </xdr:pic>
      <xdr:pic>
        <xdr:nvPicPr>
          <xdr:cNvPr id="14" name="Graphic 13">
            <a:extLst>
              <a:ext uri="{FF2B5EF4-FFF2-40B4-BE49-F238E27FC236}">
                <a16:creationId xmlns:a16="http://schemas.microsoft.com/office/drawing/2014/main" id="{F9B4C20B-6EA3-46BA-A6DE-BD07062CF3C4}"/>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3157351"/>
            <a:ext cx="1485588" cy="1214436"/>
          </a:xfrm>
          <a:prstGeom prst="rect">
            <a:avLst/>
          </a:prstGeom>
        </xdr:spPr>
      </xdr:pic>
      <xdr:pic>
        <xdr:nvPicPr>
          <xdr:cNvPr id="15" name="Graphic 14">
            <a:extLst>
              <a:ext uri="{FF2B5EF4-FFF2-40B4-BE49-F238E27FC236}">
                <a16:creationId xmlns:a16="http://schemas.microsoft.com/office/drawing/2014/main" id="{95CC14D1-8C46-4489-B749-7247EC118EE3}"/>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3657852"/>
            <a:ext cx="1485588" cy="1214436"/>
          </a:xfrm>
          <a:prstGeom prst="rect">
            <a:avLst/>
          </a:prstGeom>
        </xdr:spPr>
      </xdr:pic>
      <xdr:pic>
        <xdr:nvPicPr>
          <xdr:cNvPr id="16" name="Graphic 15">
            <a:extLst>
              <a:ext uri="{FF2B5EF4-FFF2-40B4-BE49-F238E27FC236}">
                <a16:creationId xmlns:a16="http://schemas.microsoft.com/office/drawing/2014/main" id="{9A0279D0-A7FB-4FD7-BFE4-34FF62EB54B7}"/>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4158353"/>
            <a:ext cx="1485588" cy="1214436"/>
          </a:xfrm>
          <a:prstGeom prst="rect">
            <a:avLst/>
          </a:prstGeom>
        </xdr:spPr>
      </xdr:pic>
      <xdr:pic>
        <xdr:nvPicPr>
          <xdr:cNvPr id="18" name="Graphic 17">
            <a:extLst>
              <a:ext uri="{FF2B5EF4-FFF2-40B4-BE49-F238E27FC236}">
                <a16:creationId xmlns:a16="http://schemas.microsoft.com/office/drawing/2014/main" id="{412BDAEB-71D1-440D-9D71-7326DEE19629}"/>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5159355"/>
            <a:ext cx="1485588" cy="1214436"/>
          </a:xfrm>
          <a:prstGeom prst="rect">
            <a:avLst/>
          </a:prstGeom>
        </xdr:spPr>
      </xdr:pic>
      <xdr:pic>
        <xdr:nvPicPr>
          <xdr:cNvPr id="17" name="Graphic 16">
            <a:extLst>
              <a:ext uri="{FF2B5EF4-FFF2-40B4-BE49-F238E27FC236}">
                <a16:creationId xmlns:a16="http://schemas.microsoft.com/office/drawing/2014/main" id="{625C7465-9397-42F3-9502-5CB589BDE4E4}"/>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rcRect r="28388"/>
          <a:stretch/>
        </xdr:blipFill>
        <xdr:spPr>
          <a:xfrm>
            <a:off x="350042" y="4658854"/>
            <a:ext cx="1485588" cy="1214436"/>
          </a:xfrm>
          <a:prstGeom prst="rect">
            <a:avLst/>
          </a:prstGeom>
        </xdr:spPr>
      </xdr:pic>
      <xdr:pic>
        <xdr:nvPicPr>
          <xdr:cNvPr id="19" name="Graphic 18">
            <a:extLst>
              <a:ext uri="{FF2B5EF4-FFF2-40B4-BE49-F238E27FC236}">
                <a16:creationId xmlns:a16="http://schemas.microsoft.com/office/drawing/2014/main" id="{16726B8C-FFAE-48CB-9BD6-4E1E2F2EFB94}"/>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5659856"/>
            <a:ext cx="1485588" cy="1214436"/>
          </a:xfrm>
          <a:prstGeom prst="rect">
            <a:avLst/>
          </a:prstGeom>
        </xdr:spPr>
      </xdr:pic>
      <xdr:pic>
        <xdr:nvPicPr>
          <xdr:cNvPr id="20" name="Graphic 19">
            <a:extLst>
              <a:ext uri="{FF2B5EF4-FFF2-40B4-BE49-F238E27FC236}">
                <a16:creationId xmlns:a16="http://schemas.microsoft.com/office/drawing/2014/main" id="{404D2BCD-B3F1-47C1-8F0E-4E78B72CB47F}"/>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6160357"/>
            <a:ext cx="1485588" cy="1214436"/>
          </a:xfrm>
          <a:prstGeom prst="rect">
            <a:avLst/>
          </a:prstGeom>
        </xdr:spPr>
      </xdr:pic>
      <xdr:pic>
        <xdr:nvPicPr>
          <xdr:cNvPr id="21" name="Graphic 20">
            <a:extLst>
              <a:ext uri="{FF2B5EF4-FFF2-40B4-BE49-F238E27FC236}">
                <a16:creationId xmlns:a16="http://schemas.microsoft.com/office/drawing/2014/main" id="{70A613FE-9773-49CB-980C-1C0E4992121B}"/>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6660858"/>
            <a:ext cx="1485588" cy="1214436"/>
          </a:xfrm>
          <a:prstGeom prst="rect">
            <a:avLst/>
          </a:prstGeom>
        </xdr:spPr>
      </xdr:pic>
      <xdr:pic>
        <xdr:nvPicPr>
          <xdr:cNvPr id="22" name="Graphic 21">
            <a:extLst>
              <a:ext uri="{FF2B5EF4-FFF2-40B4-BE49-F238E27FC236}">
                <a16:creationId xmlns:a16="http://schemas.microsoft.com/office/drawing/2014/main" id="{4F0E1413-63E9-45A7-8FDB-A701F7F9B826}"/>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7161359"/>
            <a:ext cx="1485588" cy="1214436"/>
          </a:xfrm>
          <a:prstGeom prst="rect">
            <a:avLst/>
          </a:prstGeom>
        </xdr:spPr>
      </xdr:pic>
      <xdr:pic>
        <xdr:nvPicPr>
          <xdr:cNvPr id="23" name="Graphic 22">
            <a:extLst>
              <a:ext uri="{FF2B5EF4-FFF2-40B4-BE49-F238E27FC236}">
                <a16:creationId xmlns:a16="http://schemas.microsoft.com/office/drawing/2014/main" id="{46E4DDC2-C531-4096-AAD4-CDC35C26CE84}"/>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7661860"/>
            <a:ext cx="1485588" cy="1214436"/>
          </a:xfrm>
          <a:prstGeom prst="rect">
            <a:avLst/>
          </a:prstGeom>
        </xdr:spPr>
      </xdr:pic>
      <xdr:pic>
        <xdr:nvPicPr>
          <xdr:cNvPr id="24" name="Graphic 23">
            <a:extLst>
              <a:ext uri="{FF2B5EF4-FFF2-40B4-BE49-F238E27FC236}">
                <a16:creationId xmlns:a16="http://schemas.microsoft.com/office/drawing/2014/main" id="{D92C84F6-E93A-40C8-BEAD-491F3A6BE737}"/>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8162361"/>
            <a:ext cx="1485588" cy="1214436"/>
          </a:xfrm>
          <a:prstGeom prst="rect">
            <a:avLst/>
          </a:prstGeom>
        </xdr:spPr>
      </xdr:pic>
      <xdr:pic>
        <xdr:nvPicPr>
          <xdr:cNvPr id="25" name="Graphic 24">
            <a:extLst>
              <a:ext uri="{FF2B5EF4-FFF2-40B4-BE49-F238E27FC236}">
                <a16:creationId xmlns:a16="http://schemas.microsoft.com/office/drawing/2014/main" id="{60735430-6422-455F-999E-222124C264D4}"/>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8662862"/>
            <a:ext cx="1485588" cy="1214436"/>
          </a:xfrm>
          <a:prstGeom prst="rect">
            <a:avLst/>
          </a:prstGeom>
        </xdr:spPr>
      </xdr:pic>
      <xdr:pic>
        <xdr:nvPicPr>
          <xdr:cNvPr id="26" name="Graphic 25">
            <a:extLst>
              <a:ext uri="{FF2B5EF4-FFF2-40B4-BE49-F238E27FC236}">
                <a16:creationId xmlns:a16="http://schemas.microsoft.com/office/drawing/2014/main" id="{A0DC52AF-A4EF-4736-98DC-602004806551}"/>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9163363"/>
            <a:ext cx="1485588" cy="1214436"/>
          </a:xfrm>
          <a:prstGeom prst="rect">
            <a:avLst/>
          </a:prstGeom>
        </xdr:spPr>
      </xdr:pic>
      <xdr:pic>
        <xdr:nvPicPr>
          <xdr:cNvPr id="27" name="Graphic 26">
            <a:extLst>
              <a:ext uri="{FF2B5EF4-FFF2-40B4-BE49-F238E27FC236}">
                <a16:creationId xmlns:a16="http://schemas.microsoft.com/office/drawing/2014/main" id="{0028E15C-AE8E-46E9-86E1-CAE67BE676AE}"/>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9663872"/>
            <a:ext cx="1485588" cy="1214436"/>
          </a:xfrm>
          <a:prstGeom prst="rect">
            <a:avLst/>
          </a:prstGeom>
        </xdr:spPr>
      </xdr:pic>
    </xdr:grpSp>
    <xdr:clientData/>
  </xdr:twoCellAnchor>
  <xdr:twoCellAnchor>
    <xdr:from>
      <xdr:col>0</xdr:col>
      <xdr:colOff>453617</xdr:colOff>
      <xdr:row>6</xdr:row>
      <xdr:rowOff>93938</xdr:rowOff>
    </xdr:from>
    <xdr:to>
      <xdr:col>2</xdr:col>
      <xdr:colOff>508089</xdr:colOff>
      <xdr:row>54</xdr:row>
      <xdr:rowOff>152087</xdr:rowOff>
    </xdr:to>
    <xdr:grpSp>
      <xdr:nvGrpSpPr>
        <xdr:cNvPr id="28" name="Group 27">
          <a:extLst>
            <a:ext uri="{FF2B5EF4-FFF2-40B4-BE49-F238E27FC236}">
              <a16:creationId xmlns:a16="http://schemas.microsoft.com/office/drawing/2014/main" id="{30FE9E84-94B8-485A-9D9B-6C551A80C429}"/>
            </a:ext>
          </a:extLst>
        </xdr:cNvPr>
        <xdr:cNvGrpSpPr/>
      </xdr:nvGrpSpPr>
      <xdr:grpSpPr>
        <a:xfrm>
          <a:off x="453617" y="1225032"/>
          <a:ext cx="1364160" cy="9184290"/>
          <a:chOff x="487686" y="1129784"/>
          <a:chExt cx="1268910" cy="9273586"/>
        </a:xfrm>
      </xdr:grpSpPr>
      <xdr:sp macro="" textlink="">
        <xdr:nvSpPr>
          <xdr:cNvPr id="29" name="TextBox 28">
            <a:hlinkClick xmlns:r="http://schemas.openxmlformats.org/officeDocument/2006/relationships" r:id="rId9"/>
            <a:extLst>
              <a:ext uri="{FF2B5EF4-FFF2-40B4-BE49-F238E27FC236}">
                <a16:creationId xmlns:a16="http://schemas.microsoft.com/office/drawing/2014/main" id="{6AD41771-7AC7-44F2-97A9-3BF414493B27}"/>
              </a:ext>
            </a:extLst>
          </xdr:cNvPr>
          <xdr:cNvSpPr txBox="1"/>
        </xdr:nvSpPr>
        <xdr:spPr>
          <a:xfrm>
            <a:off x="784825" y="1129784"/>
            <a:ext cx="67317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Từ</a:t>
            </a:r>
            <a:r>
              <a:rPr lang="en-US" sz="1100" b="1" baseline="0">
                <a:solidFill>
                  <a:schemeClr val="bg1"/>
                </a:solidFill>
              </a:rPr>
              <a:t> khóa</a:t>
            </a:r>
            <a:endParaRPr lang="en-US" sz="1100" b="1">
              <a:solidFill>
                <a:schemeClr val="bg1"/>
              </a:solidFill>
            </a:endParaRPr>
          </a:p>
        </xdr:txBody>
      </xdr:sp>
      <xdr:sp macro="" textlink="">
        <xdr:nvSpPr>
          <xdr:cNvPr id="30" name="TextBox 29">
            <a:hlinkClick xmlns:r="http://schemas.openxmlformats.org/officeDocument/2006/relationships" r:id="rId10"/>
            <a:extLst>
              <a:ext uri="{FF2B5EF4-FFF2-40B4-BE49-F238E27FC236}">
                <a16:creationId xmlns:a16="http://schemas.microsoft.com/office/drawing/2014/main" id="{045A5794-BE30-42CE-A62D-449AAB23D33E}"/>
              </a:ext>
            </a:extLst>
          </xdr:cNvPr>
          <xdr:cNvSpPr txBox="1"/>
        </xdr:nvSpPr>
        <xdr:spPr>
          <a:xfrm>
            <a:off x="708434" y="1630285"/>
            <a:ext cx="82595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Dashboard</a:t>
            </a:r>
          </a:p>
        </xdr:txBody>
      </xdr:sp>
      <xdr:sp macro="" textlink="">
        <xdr:nvSpPr>
          <xdr:cNvPr id="31" name="TextBox 30">
            <a:hlinkClick xmlns:r="http://schemas.openxmlformats.org/officeDocument/2006/relationships" r:id="rId11"/>
            <a:extLst>
              <a:ext uri="{FF2B5EF4-FFF2-40B4-BE49-F238E27FC236}">
                <a16:creationId xmlns:a16="http://schemas.microsoft.com/office/drawing/2014/main" id="{DDDD9F6F-3490-4208-9699-A5663E42B2C1}"/>
              </a:ext>
            </a:extLst>
          </xdr:cNvPr>
          <xdr:cNvSpPr txBox="1"/>
        </xdr:nvSpPr>
        <xdr:spPr>
          <a:xfrm>
            <a:off x="495750" y="2130786"/>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Mục</a:t>
            </a:r>
            <a:r>
              <a:rPr lang="en-US" sz="1100" b="1" baseline="0">
                <a:solidFill>
                  <a:schemeClr val="bg1"/>
                </a:solidFill>
                <a:effectLst/>
                <a:latin typeface="+mn-lt"/>
                <a:ea typeface="+mn-ea"/>
                <a:cs typeface="+mn-cs"/>
              </a:rPr>
              <a:t> tiêu bản thân</a:t>
            </a:r>
            <a:endParaRPr lang="en-US">
              <a:solidFill>
                <a:schemeClr val="bg1"/>
              </a:solidFill>
              <a:effectLst/>
            </a:endParaRPr>
          </a:p>
        </xdr:txBody>
      </xdr:sp>
      <xdr:sp macro="" textlink="">
        <xdr:nvSpPr>
          <xdr:cNvPr id="32" name="TextBox 31">
            <a:hlinkClick xmlns:r="http://schemas.openxmlformats.org/officeDocument/2006/relationships" r:id="rId12"/>
            <a:extLst>
              <a:ext uri="{FF2B5EF4-FFF2-40B4-BE49-F238E27FC236}">
                <a16:creationId xmlns:a16="http://schemas.microsoft.com/office/drawing/2014/main" id="{A14776C0-88B9-4951-BBDC-9FBE97B4ABEF}"/>
              </a:ext>
            </a:extLst>
          </xdr:cNvPr>
          <xdr:cNvSpPr txBox="1"/>
        </xdr:nvSpPr>
        <xdr:spPr>
          <a:xfrm>
            <a:off x="495750" y="2631287"/>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Mục</a:t>
            </a:r>
            <a:r>
              <a:rPr lang="en-US" sz="1100" b="1" baseline="0">
                <a:solidFill>
                  <a:schemeClr val="bg1"/>
                </a:solidFill>
                <a:effectLst/>
                <a:latin typeface="+mn-lt"/>
                <a:ea typeface="+mn-ea"/>
                <a:cs typeface="+mn-cs"/>
              </a:rPr>
              <a:t> tiêu tài chính</a:t>
            </a:r>
            <a:endParaRPr lang="en-US">
              <a:solidFill>
                <a:schemeClr val="bg1"/>
              </a:solidFill>
              <a:effectLst/>
            </a:endParaRPr>
          </a:p>
        </xdr:txBody>
      </xdr:sp>
      <xdr:sp macro="" textlink="">
        <xdr:nvSpPr>
          <xdr:cNvPr id="33" name="TextBox 32">
            <a:hlinkClick xmlns:r="http://schemas.openxmlformats.org/officeDocument/2006/relationships" r:id="rId13"/>
            <a:extLst>
              <a:ext uri="{FF2B5EF4-FFF2-40B4-BE49-F238E27FC236}">
                <a16:creationId xmlns:a16="http://schemas.microsoft.com/office/drawing/2014/main" id="{CF41DAFD-72D4-4A45-B1AE-0CA35DA31F5C}"/>
              </a:ext>
            </a:extLst>
          </xdr:cNvPr>
          <xdr:cNvSpPr txBox="1"/>
        </xdr:nvSpPr>
        <xdr:spPr>
          <a:xfrm>
            <a:off x="487686" y="3020663"/>
            <a:ext cx="1260846" cy="459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b="1">
                <a:solidFill>
                  <a:schemeClr val="bg1"/>
                </a:solidFill>
                <a:effectLst/>
                <a:latin typeface="+mn-lt"/>
                <a:ea typeface="+mn-ea"/>
                <a:cs typeface="+mn-cs"/>
              </a:rPr>
              <a:t>Cân</a:t>
            </a:r>
            <a:r>
              <a:rPr lang="en-US" sz="1100" b="1" baseline="0">
                <a:solidFill>
                  <a:schemeClr val="bg1"/>
                </a:solidFill>
                <a:effectLst/>
                <a:latin typeface="+mn-lt"/>
                <a:ea typeface="+mn-ea"/>
                <a:cs typeface="+mn-cs"/>
              </a:rPr>
              <a:t> đối</a:t>
            </a:r>
            <a:endParaRPr lang="en-US">
              <a:solidFill>
                <a:schemeClr val="bg1"/>
              </a:solidFill>
              <a:effectLst/>
            </a:endParaRPr>
          </a:p>
          <a:p>
            <a:pPr algn="ctr"/>
            <a:r>
              <a:rPr lang="en-US" sz="1100" b="1" baseline="0">
                <a:solidFill>
                  <a:schemeClr val="bg1"/>
                </a:solidFill>
                <a:effectLst/>
                <a:latin typeface="+mn-lt"/>
                <a:ea typeface="+mn-ea"/>
                <a:cs typeface="+mn-cs"/>
              </a:rPr>
              <a:t>l</a:t>
            </a:r>
            <a:r>
              <a:rPr lang="en-US" sz="1100" b="1">
                <a:solidFill>
                  <a:schemeClr val="bg1"/>
                </a:solidFill>
                <a:effectLst/>
                <a:latin typeface="+mn-lt"/>
                <a:ea typeface="+mn-ea"/>
                <a:cs typeface="+mn-cs"/>
              </a:rPr>
              <a:t>ộ</a:t>
            </a:r>
            <a:r>
              <a:rPr lang="en-US" sz="1100" b="1" baseline="0">
                <a:solidFill>
                  <a:schemeClr val="bg1"/>
                </a:solidFill>
                <a:effectLst/>
                <a:latin typeface="+mn-lt"/>
                <a:ea typeface="+mn-ea"/>
                <a:cs typeface="+mn-cs"/>
              </a:rPr>
              <a:t> trình nghề nghiệp</a:t>
            </a:r>
            <a:endParaRPr lang="en-US">
              <a:solidFill>
                <a:schemeClr val="bg1"/>
              </a:solidFill>
              <a:effectLst/>
            </a:endParaRPr>
          </a:p>
        </xdr:txBody>
      </xdr:sp>
      <xdr:sp macro="" textlink="">
        <xdr:nvSpPr>
          <xdr:cNvPr id="34" name="TextBox 33">
            <a:hlinkClick xmlns:r="http://schemas.openxmlformats.org/officeDocument/2006/relationships" r:id="rId14"/>
            <a:extLst>
              <a:ext uri="{FF2B5EF4-FFF2-40B4-BE49-F238E27FC236}">
                <a16:creationId xmlns:a16="http://schemas.microsoft.com/office/drawing/2014/main" id="{2C6211E1-5FF9-43AC-9129-94E857E27A68}"/>
              </a:ext>
            </a:extLst>
          </xdr:cNvPr>
          <xdr:cNvSpPr txBox="1"/>
        </xdr:nvSpPr>
        <xdr:spPr>
          <a:xfrm>
            <a:off x="487686" y="3521164"/>
            <a:ext cx="1260846" cy="459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100" b="1">
                <a:solidFill>
                  <a:schemeClr val="bg1"/>
                </a:solidFill>
                <a:effectLst/>
                <a:latin typeface="+mn-lt"/>
                <a:ea typeface="+mn-ea"/>
                <a:cs typeface="+mn-cs"/>
              </a:rPr>
              <a:t>Kế</a:t>
            </a:r>
            <a:r>
              <a:rPr lang="en-US" sz="1100" b="1" baseline="0">
                <a:solidFill>
                  <a:schemeClr val="bg1"/>
                </a:solidFill>
                <a:effectLst/>
                <a:latin typeface="+mn-lt"/>
                <a:ea typeface="+mn-ea"/>
                <a:cs typeface="+mn-cs"/>
              </a:rPr>
              <a:t> hoạch </a:t>
            </a:r>
          </a:p>
          <a:p>
            <a:pPr algn="ctr"/>
            <a:r>
              <a:rPr lang="en-US" sz="1100" b="1" baseline="0">
                <a:solidFill>
                  <a:schemeClr val="bg1"/>
                </a:solidFill>
                <a:effectLst/>
                <a:latin typeface="+mn-lt"/>
                <a:ea typeface="+mn-ea"/>
                <a:cs typeface="+mn-cs"/>
              </a:rPr>
              <a:t>thu nhập &amp; chi tiêu</a:t>
            </a:r>
            <a:endParaRPr lang="en-US">
              <a:solidFill>
                <a:schemeClr val="bg1"/>
              </a:solidFill>
              <a:effectLst/>
            </a:endParaRPr>
          </a:p>
        </xdr:txBody>
      </xdr:sp>
      <xdr:sp macro="" textlink="">
        <xdr:nvSpPr>
          <xdr:cNvPr id="35" name="TextBox 34">
            <a:hlinkClick xmlns:r="http://schemas.openxmlformats.org/officeDocument/2006/relationships" r:id="rId15"/>
            <a:extLst>
              <a:ext uri="{FF2B5EF4-FFF2-40B4-BE49-F238E27FC236}">
                <a16:creationId xmlns:a16="http://schemas.microsoft.com/office/drawing/2014/main" id="{0053036D-5B5E-4A37-828F-5BBAC6112493}"/>
              </a:ext>
            </a:extLst>
          </xdr:cNvPr>
          <xdr:cNvSpPr txBox="1"/>
        </xdr:nvSpPr>
        <xdr:spPr>
          <a:xfrm>
            <a:off x="495750" y="413279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a:t>
            </a:r>
            <a:endParaRPr lang="en-US">
              <a:solidFill>
                <a:schemeClr val="bg1"/>
              </a:solidFill>
              <a:effectLst/>
            </a:endParaRPr>
          </a:p>
        </xdr:txBody>
      </xdr:sp>
      <xdr:sp macro="" textlink="">
        <xdr:nvSpPr>
          <xdr:cNvPr id="36" name="TextBox 35">
            <a:hlinkClick xmlns:r="http://schemas.openxmlformats.org/officeDocument/2006/relationships" r:id="rId16"/>
            <a:extLst>
              <a:ext uri="{FF2B5EF4-FFF2-40B4-BE49-F238E27FC236}">
                <a16:creationId xmlns:a16="http://schemas.microsoft.com/office/drawing/2014/main" id="{F7DFF76B-8591-49C9-A91F-87DC20AD2F98}"/>
              </a:ext>
            </a:extLst>
          </xdr:cNvPr>
          <xdr:cNvSpPr txBox="1"/>
        </xdr:nvSpPr>
        <xdr:spPr>
          <a:xfrm>
            <a:off x="495750" y="4633291"/>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2</a:t>
            </a:r>
            <a:endParaRPr lang="en-US">
              <a:solidFill>
                <a:schemeClr val="bg1"/>
              </a:solidFill>
              <a:effectLst/>
            </a:endParaRPr>
          </a:p>
        </xdr:txBody>
      </xdr:sp>
      <xdr:sp macro="" textlink="">
        <xdr:nvSpPr>
          <xdr:cNvPr id="37" name="TextBox 36">
            <a:hlinkClick xmlns:r="http://schemas.openxmlformats.org/officeDocument/2006/relationships" r:id="rId17"/>
            <a:extLst>
              <a:ext uri="{FF2B5EF4-FFF2-40B4-BE49-F238E27FC236}">
                <a16:creationId xmlns:a16="http://schemas.microsoft.com/office/drawing/2014/main" id="{E77BA575-DE5C-4F7E-B739-657420FCC5A1}"/>
              </a:ext>
            </a:extLst>
          </xdr:cNvPr>
          <xdr:cNvSpPr txBox="1"/>
        </xdr:nvSpPr>
        <xdr:spPr>
          <a:xfrm>
            <a:off x="495750" y="5133792"/>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ysClr val="windowText" lastClr="000000"/>
                </a:solidFill>
                <a:effectLst/>
                <a:latin typeface="+mn-lt"/>
                <a:ea typeface="+mn-ea"/>
                <a:cs typeface="+mn-cs"/>
              </a:rPr>
              <a:t>Theo dõi</a:t>
            </a:r>
            <a:r>
              <a:rPr lang="en-US" sz="1100" b="1" baseline="0">
                <a:solidFill>
                  <a:sysClr val="windowText" lastClr="000000"/>
                </a:solidFill>
                <a:effectLst/>
                <a:latin typeface="+mn-lt"/>
                <a:ea typeface="+mn-ea"/>
                <a:cs typeface="+mn-cs"/>
              </a:rPr>
              <a:t> tháng 3</a:t>
            </a:r>
            <a:endParaRPr lang="en-US">
              <a:solidFill>
                <a:sysClr val="windowText" lastClr="000000"/>
              </a:solidFill>
              <a:effectLst/>
            </a:endParaRPr>
          </a:p>
        </xdr:txBody>
      </xdr:sp>
      <xdr:sp macro="" textlink="">
        <xdr:nvSpPr>
          <xdr:cNvPr id="38" name="TextBox 37">
            <a:hlinkClick xmlns:r="http://schemas.openxmlformats.org/officeDocument/2006/relationships" r:id="rId18"/>
            <a:extLst>
              <a:ext uri="{FF2B5EF4-FFF2-40B4-BE49-F238E27FC236}">
                <a16:creationId xmlns:a16="http://schemas.microsoft.com/office/drawing/2014/main" id="{2F8A9075-0C7D-498B-BA41-9049AFAD38A4}"/>
              </a:ext>
            </a:extLst>
          </xdr:cNvPr>
          <xdr:cNvSpPr txBox="1"/>
        </xdr:nvSpPr>
        <xdr:spPr>
          <a:xfrm>
            <a:off x="495750" y="5634293"/>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4</a:t>
            </a:r>
            <a:endParaRPr lang="en-US">
              <a:solidFill>
                <a:schemeClr val="bg1"/>
              </a:solidFill>
              <a:effectLst/>
            </a:endParaRPr>
          </a:p>
        </xdr:txBody>
      </xdr:sp>
      <xdr:sp macro="" textlink="">
        <xdr:nvSpPr>
          <xdr:cNvPr id="39" name="TextBox 38">
            <a:hlinkClick xmlns:r="http://schemas.openxmlformats.org/officeDocument/2006/relationships" r:id="rId19"/>
            <a:extLst>
              <a:ext uri="{FF2B5EF4-FFF2-40B4-BE49-F238E27FC236}">
                <a16:creationId xmlns:a16="http://schemas.microsoft.com/office/drawing/2014/main" id="{E320CD7F-321B-4160-AAC5-AF39A8B08F05}"/>
              </a:ext>
            </a:extLst>
          </xdr:cNvPr>
          <xdr:cNvSpPr txBox="1"/>
        </xdr:nvSpPr>
        <xdr:spPr>
          <a:xfrm>
            <a:off x="495750" y="6134794"/>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5</a:t>
            </a:r>
            <a:endParaRPr lang="en-US">
              <a:solidFill>
                <a:schemeClr val="bg1"/>
              </a:solidFill>
              <a:effectLst/>
            </a:endParaRPr>
          </a:p>
        </xdr:txBody>
      </xdr:sp>
      <xdr:sp macro="" textlink="">
        <xdr:nvSpPr>
          <xdr:cNvPr id="40" name="TextBox 39">
            <a:hlinkClick xmlns:r="http://schemas.openxmlformats.org/officeDocument/2006/relationships" r:id="rId20"/>
            <a:extLst>
              <a:ext uri="{FF2B5EF4-FFF2-40B4-BE49-F238E27FC236}">
                <a16:creationId xmlns:a16="http://schemas.microsoft.com/office/drawing/2014/main" id="{5EF3FE39-3A43-4DEB-B32A-4CB2B4591E43}"/>
              </a:ext>
            </a:extLst>
          </xdr:cNvPr>
          <xdr:cNvSpPr txBox="1"/>
        </xdr:nvSpPr>
        <xdr:spPr>
          <a:xfrm>
            <a:off x="495750" y="6635295"/>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6</a:t>
            </a:r>
            <a:endParaRPr lang="en-US">
              <a:solidFill>
                <a:schemeClr val="bg1"/>
              </a:solidFill>
              <a:effectLst/>
            </a:endParaRPr>
          </a:p>
        </xdr:txBody>
      </xdr:sp>
      <xdr:sp macro="" textlink="">
        <xdr:nvSpPr>
          <xdr:cNvPr id="41" name="TextBox 40">
            <a:hlinkClick xmlns:r="http://schemas.openxmlformats.org/officeDocument/2006/relationships" r:id="rId21"/>
            <a:extLst>
              <a:ext uri="{FF2B5EF4-FFF2-40B4-BE49-F238E27FC236}">
                <a16:creationId xmlns:a16="http://schemas.microsoft.com/office/drawing/2014/main" id="{0882AD0B-2C94-4C02-BD75-C07BAF76C2D8}"/>
              </a:ext>
            </a:extLst>
          </xdr:cNvPr>
          <xdr:cNvSpPr txBox="1"/>
        </xdr:nvSpPr>
        <xdr:spPr>
          <a:xfrm>
            <a:off x="495750" y="7135796"/>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7</a:t>
            </a:r>
            <a:endParaRPr lang="en-US">
              <a:solidFill>
                <a:schemeClr val="bg1"/>
              </a:solidFill>
              <a:effectLst/>
            </a:endParaRPr>
          </a:p>
        </xdr:txBody>
      </xdr:sp>
      <xdr:sp macro="" textlink="">
        <xdr:nvSpPr>
          <xdr:cNvPr id="42" name="TextBox 41">
            <a:hlinkClick xmlns:r="http://schemas.openxmlformats.org/officeDocument/2006/relationships" r:id="rId22"/>
            <a:extLst>
              <a:ext uri="{FF2B5EF4-FFF2-40B4-BE49-F238E27FC236}">
                <a16:creationId xmlns:a16="http://schemas.microsoft.com/office/drawing/2014/main" id="{89A86A89-0F39-4366-803C-0E9CBA9037BF}"/>
              </a:ext>
            </a:extLst>
          </xdr:cNvPr>
          <xdr:cNvSpPr txBox="1"/>
        </xdr:nvSpPr>
        <xdr:spPr>
          <a:xfrm>
            <a:off x="495750" y="7636297"/>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8</a:t>
            </a:r>
            <a:endParaRPr lang="en-US">
              <a:solidFill>
                <a:schemeClr val="bg1"/>
              </a:solidFill>
              <a:effectLst/>
            </a:endParaRPr>
          </a:p>
        </xdr:txBody>
      </xdr:sp>
      <xdr:sp macro="" textlink="">
        <xdr:nvSpPr>
          <xdr:cNvPr id="43" name="TextBox 42">
            <a:hlinkClick xmlns:r="http://schemas.openxmlformats.org/officeDocument/2006/relationships" r:id="rId23"/>
            <a:extLst>
              <a:ext uri="{FF2B5EF4-FFF2-40B4-BE49-F238E27FC236}">
                <a16:creationId xmlns:a16="http://schemas.microsoft.com/office/drawing/2014/main" id="{07971DE7-E8BE-4F71-8196-20B613BC3435}"/>
              </a:ext>
            </a:extLst>
          </xdr:cNvPr>
          <xdr:cNvSpPr txBox="1"/>
        </xdr:nvSpPr>
        <xdr:spPr>
          <a:xfrm>
            <a:off x="495750" y="8136798"/>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9</a:t>
            </a:r>
            <a:endParaRPr lang="en-US">
              <a:solidFill>
                <a:schemeClr val="bg1"/>
              </a:solidFill>
              <a:effectLst/>
            </a:endParaRPr>
          </a:p>
        </xdr:txBody>
      </xdr:sp>
      <xdr:sp macro="" textlink="">
        <xdr:nvSpPr>
          <xdr:cNvPr id="44" name="TextBox 43">
            <a:hlinkClick xmlns:r="http://schemas.openxmlformats.org/officeDocument/2006/relationships" r:id="rId24"/>
            <a:extLst>
              <a:ext uri="{FF2B5EF4-FFF2-40B4-BE49-F238E27FC236}">
                <a16:creationId xmlns:a16="http://schemas.microsoft.com/office/drawing/2014/main" id="{1477BD96-15EA-4062-B00C-16CD4D8BF006}"/>
              </a:ext>
            </a:extLst>
          </xdr:cNvPr>
          <xdr:cNvSpPr txBox="1"/>
        </xdr:nvSpPr>
        <xdr:spPr>
          <a:xfrm>
            <a:off x="495750" y="8637299"/>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10</a:t>
            </a:r>
            <a:endParaRPr lang="en-US">
              <a:solidFill>
                <a:schemeClr val="bg1"/>
              </a:solidFill>
              <a:effectLst/>
            </a:endParaRPr>
          </a:p>
        </xdr:txBody>
      </xdr:sp>
      <xdr:sp macro="" textlink="">
        <xdr:nvSpPr>
          <xdr:cNvPr id="45" name="TextBox 44">
            <a:hlinkClick xmlns:r="http://schemas.openxmlformats.org/officeDocument/2006/relationships" r:id="rId25"/>
            <a:extLst>
              <a:ext uri="{FF2B5EF4-FFF2-40B4-BE49-F238E27FC236}">
                <a16:creationId xmlns:a16="http://schemas.microsoft.com/office/drawing/2014/main" id="{EE07E0E1-98ED-439B-9F64-E8521FE61126}"/>
              </a:ext>
            </a:extLst>
          </xdr:cNvPr>
          <xdr:cNvSpPr txBox="1"/>
        </xdr:nvSpPr>
        <xdr:spPr>
          <a:xfrm>
            <a:off x="495750" y="913780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11</a:t>
            </a:r>
            <a:endParaRPr lang="en-US">
              <a:solidFill>
                <a:schemeClr val="bg1"/>
              </a:solidFill>
              <a:effectLst/>
            </a:endParaRPr>
          </a:p>
        </xdr:txBody>
      </xdr:sp>
      <xdr:sp macro="" textlink="">
        <xdr:nvSpPr>
          <xdr:cNvPr id="46" name="TextBox 45">
            <a:hlinkClick xmlns:r="http://schemas.openxmlformats.org/officeDocument/2006/relationships" r:id="rId26"/>
            <a:extLst>
              <a:ext uri="{FF2B5EF4-FFF2-40B4-BE49-F238E27FC236}">
                <a16:creationId xmlns:a16="http://schemas.microsoft.com/office/drawing/2014/main" id="{673FB4A7-BDA8-48C4-BE44-671EEB42A886}"/>
              </a:ext>
            </a:extLst>
          </xdr:cNvPr>
          <xdr:cNvSpPr txBox="1"/>
        </xdr:nvSpPr>
        <xdr:spPr>
          <a:xfrm>
            <a:off x="495750" y="9638301"/>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12</a:t>
            </a:r>
            <a:endParaRPr lang="en-US">
              <a:solidFill>
                <a:schemeClr val="bg1"/>
              </a:solidFill>
              <a:effectLst/>
            </a:endParaRPr>
          </a:p>
        </xdr:txBody>
      </xdr:sp>
      <xdr:sp macro="" textlink="">
        <xdr:nvSpPr>
          <xdr:cNvPr id="47" name="TextBox 46">
            <a:hlinkClick xmlns:r="http://schemas.openxmlformats.org/officeDocument/2006/relationships" r:id="rId27"/>
            <a:extLst>
              <a:ext uri="{FF2B5EF4-FFF2-40B4-BE49-F238E27FC236}">
                <a16:creationId xmlns:a16="http://schemas.microsoft.com/office/drawing/2014/main" id="{F348C878-AD85-4FA3-8D0C-A75F500C76BF}"/>
              </a:ext>
            </a:extLst>
          </xdr:cNvPr>
          <xdr:cNvSpPr txBox="1"/>
        </xdr:nvSpPr>
        <xdr:spPr>
          <a:xfrm>
            <a:off x="495750" y="1013881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b="1">
                <a:solidFill>
                  <a:schemeClr val="bg1"/>
                </a:solidFill>
                <a:effectLst/>
                <a:latin typeface="+mn-lt"/>
                <a:ea typeface="+mn-ea"/>
                <a:cs typeface="+mn-cs"/>
              </a:rPr>
              <a:t>Bảng</a:t>
            </a:r>
            <a:r>
              <a:rPr lang="en-US" sz="1100" b="1" baseline="0">
                <a:solidFill>
                  <a:schemeClr val="bg1"/>
                </a:solidFill>
                <a:effectLst/>
                <a:latin typeface="+mn-lt"/>
                <a:ea typeface="+mn-ea"/>
                <a:cs typeface="+mn-cs"/>
              </a:rPr>
              <a:t> khảo sát</a:t>
            </a:r>
            <a:endParaRPr lang="en-US">
              <a:solidFill>
                <a:schemeClr val="bg1"/>
              </a:solidFill>
              <a:effectLst/>
            </a:endParaRP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190500</xdr:colOff>
      <xdr:row>0</xdr:row>
      <xdr:rowOff>103688</xdr:rowOff>
    </xdr:from>
    <xdr:to>
      <xdr:col>2</xdr:col>
      <xdr:colOff>472440</xdr:colOff>
      <xdr:row>3</xdr:row>
      <xdr:rowOff>24759</xdr:rowOff>
    </xdr:to>
    <xdr:grpSp>
      <xdr:nvGrpSpPr>
        <xdr:cNvPr id="2" name="Group 1">
          <a:hlinkClick xmlns:r="http://schemas.openxmlformats.org/officeDocument/2006/relationships" r:id="rId1"/>
          <a:extLst>
            <a:ext uri="{FF2B5EF4-FFF2-40B4-BE49-F238E27FC236}">
              <a16:creationId xmlns:a16="http://schemas.microsoft.com/office/drawing/2014/main" id="{BD5B93AF-4FF7-40A6-ADDA-A9BE8D4674DD}"/>
            </a:ext>
          </a:extLst>
        </xdr:cNvPr>
        <xdr:cNvGrpSpPr/>
      </xdr:nvGrpSpPr>
      <xdr:grpSpPr>
        <a:xfrm>
          <a:off x="190500" y="103688"/>
          <a:ext cx="1591628" cy="486619"/>
          <a:chOff x="190500" y="103688"/>
          <a:chExt cx="1501140" cy="492571"/>
        </a:xfrm>
      </xdr:grpSpPr>
      <xdr:sp macro="" textlink="">
        <xdr:nvSpPr>
          <xdr:cNvPr id="3" name="TextBox 2">
            <a:extLst>
              <a:ext uri="{FF2B5EF4-FFF2-40B4-BE49-F238E27FC236}">
                <a16:creationId xmlns:a16="http://schemas.microsoft.com/office/drawing/2014/main" id="{E0EE7E43-03DF-43CB-A06B-76018DE0B9E0}"/>
              </a:ext>
            </a:extLst>
          </xdr:cNvPr>
          <xdr:cNvSpPr txBox="1"/>
        </xdr:nvSpPr>
        <xdr:spPr>
          <a:xfrm>
            <a:off x="457200" y="103688"/>
            <a:ext cx="1234440" cy="4925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300" b="1" baseline="0">
                <a:solidFill>
                  <a:schemeClr val="bg1"/>
                </a:solidFill>
                <a:latin typeface="Roboto" pitchFamily="2" charset="0"/>
                <a:ea typeface="Roboto" pitchFamily="2" charset="0"/>
                <a:cs typeface="Times New Roman" panose="02020603050405020304" pitchFamily="18" charset="0"/>
              </a:rPr>
              <a:t>TÀI CHÍNH</a:t>
            </a:r>
          </a:p>
          <a:p>
            <a:pPr algn="ctr"/>
            <a:r>
              <a:rPr lang="en-US" sz="1300" b="1" baseline="0">
                <a:solidFill>
                  <a:schemeClr val="bg1"/>
                </a:solidFill>
                <a:latin typeface="Roboto" pitchFamily="2" charset="0"/>
                <a:ea typeface="Roboto" pitchFamily="2" charset="0"/>
                <a:cs typeface="Times New Roman" panose="02020603050405020304" pitchFamily="18" charset="0"/>
              </a:rPr>
              <a:t>CÁ NHÂN</a:t>
            </a:r>
            <a:endParaRPr lang="en-US" sz="1300" b="1">
              <a:solidFill>
                <a:schemeClr val="bg1"/>
              </a:solidFill>
              <a:latin typeface="Roboto" pitchFamily="2" charset="0"/>
              <a:ea typeface="Roboto" pitchFamily="2" charset="0"/>
              <a:cs typeface="Times New Roman" panose="02020603050405020304" pitchFamily="18" charset="0"/>
            </a:endParaRPr>
          </a:p>
        </xdr:txBody>
      </xdr:sp>
      <xdr:pic>
        <xdr:nvPicPr>
          <xdr:cNvPr id="4" name="Graphic 3" descr="Diamond">
            <a:extLst>
              <a:ext uri="{FF2B5EF4-FFF2-40B4-BE49-F238E27FC236}">
                <a16:creationId xmlns:a16="http://schemas.microsoft.com/office/drawing/2014/main" id="{BBF076F7-6AFE-4DF4-9FF3-0C5AFC84576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90500" y="167093"/>
            <a:ext cx="365760" cy="365760"/>
          </a:xfrm>
          <a:prstGeom prst="rect">
            <a:avLst/>
          </a:prstGeom>
        </xdr:spPr>
      </xdr:pic>
    </xdr:grpSp>
    <xdr:clientData/>
  </xdr:twoCellAnchor>
  <xdr:twoCellAnchor>
    <xdr:from>
      <xdr:col>9</xdr:col>
      <xdr:colOff>321468</xdr:colOff>
      <xdr:row>7</xdr:row>
      <xdr:rowOff>170258</xdr:rowOff>
    </xdr:from>
    <xdr:to>
      <xdr:col>23</xdr:col>
      <xdr:colOff>0</xdr:colOff>
      <xdr:row>22</xdr:row>
      <xdr:rowOff>35719</xdr:rowOff>
    </xdr:to>
    <xdr:graphicFrame macro="">
      <xdr:nvGraphicFramePr>
        <xdr:cNvPr id="7" name="Chart 6">
          <a:extLst>
            <a:ext uri="{FF2B5EF4-FFF2-40B4-BE49-F238E27FC236}">
              <a16:creationId xmlns:a16="http://schemas.microsoft.com/office/drawing/2014/main" id="{F15B2DC6-A500-46F1-8708-FFA7C286A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345279</xdr:colOff>
      <xdr:row>4</xdr:row>
      <xdr:rowOff>0</xdr:rowOff>
    </xdr:from>
    <xdr:to>
      <xdr:col>3</xdr:col>
      <xdr:colOff>9211</xdr:colOff>
      <xdr:row>57</xdr:row>
      <xdr:rowOff>43619</xdr:rowOff>
    </xdr:to>
    <xdr:grpSp>
      <xdr:nvGrpSpPr>
        <xdr:cNvPr id="8" name="Group 7">
          <a:extLst>
            <a:ext uri="{FF2B5EF4-FFF2-40B4-BE49-F238E27FC236}">
              <a16:creationId xmlns:a16="http://schemas.microsoft.com/office/drawing/2014/main" id="{FF92CA66-646A-4CD6-AD85-B97995F94E85}"/>
            </a:ext>
          </a:extLst>
        </xdr:cNvPr>
        <xdr:cNvGrpSpPr/>
      </xdr:nvGrpSpPr>
      <xdr:grpSpPr>
        <a:xfrm>
          <a:off x="345279" y="750094"/>
          <a:ext cx="1628463" cy="10134166"/>
          <a:chOff x="350042" y="654846"/>
          <a:chExt cx="1485588" cy="10223462"/>
        </a:xfrm>
      </xdr:grpSpPr>
      <xdr:pic>
        <xdr:nvPicPr>
          <xdr:cNvPr id="9" name="Graphic 8">
            <a:extLst>
              <a:ext uri="{FF2B5EF4-FFF2-40B4-BE49-F238E27FC236}">
                <a16:creationId xmlns:a16="http://schemas.microsoft.com/office/drawing/2014/main" id="{2729D1DD-FA4A-4B8C-AF04-2162A5A18429}"/>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654846"/>
            <a:ext cx="1485588" cy="1214436"/>
          </a:xfrm>
          <a:prstGeom prst="rect">
            <a:avLst/>
          </a:prstGeom>
        </xdr:spPr>
      </xdr:pic>
      <xdr:pic>
        <xdr:nvPicPr>
          <xdr:cNvPr id="10" name="Graphic 9">
            <a:extLst>
              <a:ext uri="{FF2B5EF4-FFF2-40B4-BE49-F238E27FC236}">
                <a16:creationId xmlns:a16="http://schemas.microsoft.com/office/drawing/2014/main" id="{F4D921F1-AB77-4EAE-85F5-35B0707793DC}"/>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1155347"/>
            <a:ext cx="1485588" cy="1214436"/>
          </a:xfrm>
          <a:prstGeom prst="rect">
            <a:avLst/>
          </a:prstGeom>
        </xdr:spPr>
      </xdr:pic>
      <xdr:pic>
        <xdr:nvPicPr>
          <xdr:cNvPr id="11" name="Graphic 10">
            <a:extLst>
              <a:ext uri="{FF2B5EF4-FFF2-40B4-BE49-F238E27FC236}">
                <a16:creationId xmlns:a16="http://schemas.microsoft.com/office/drawing/2014/main" id="{05A238AB-EC3E-4C4D-A962-04AE17D03A3A}"/>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1655848"/>
            <a:ext cx="1485588" cy="1214436"/>
          </a:xfrm>
          <a:prstGeom prst="rect">
            <a:avLst/>
          </a:prstGeom>
        </xdr:spPr>
      </xdr:pic>
      <xdr:pic>
        <xdr:nvPicPr>
          <xdr:cNvPr id="12" name="Graphic 11">
            <a:extLst>
              <a:ext uri="{FF2B5EF4-FFF2-40B4-BE49-F238E27FC236}">
                <a16:creationId xmlns:a16="http://schemas.microsoft.com/office/drawing/2014/main" id="{9FEFC741-94D9-487B-8650-0A912E5E4DD9}"/>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2156349"/>
            <a:ext cx="1485588" cy="1214436"/>
          </a:xfrm>
          <a:prstGeom prst="rect">
            <a:avLst/>
          </a:prstGeom>
        </xdr:spPr>
      </xdr:pic>
      <xdr:pic>
        <xdr:nvPicPr>
          <xdr:cNvPr id="13" name="Graphic 12">
            <a:extLst>
              <a:ext uri="{FF2B5EF4-FFF2-40B4-BE49-F238E27FC236}">
                <a16:creationId xmlns:a16="http://schemas.microsoft.com/office/drawing/2014/main" id="{7C597649-91DC-4C04-8026-2C9C6873C30C}"/>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2656850"/>
            <a:ext cx="1485588" cy="1214436"/>
          </a:xfrm>
          <a:prstGeom prst="rect">
            <a:avLst/>
          </a:prstGeom>
        </xdr:spPr>
      </xdr:pic>
      <xdr:pic>
        <xdr:nvPicPr>
          <xdr:cNvPr id="14" name="Graphic 13">
            <a:extLst>
              <a:ext uri="{FF2B5EF4-FFF2-40B4-BE49-F238E27FC236}">
                <a16:creationId xmlns:a16="http://schemas.microsoft.com/office/drawing/2014/main" id="{7CB8E08A-F177-43AA-8C19-F4B8C7E582BE}"/>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3157351"/>
            <a:ext cx="1485588" cy="1214436"/>
          </a:xfrm>
          <a:prstGeom prst="rect">
            <a:avLst/>
          </a:prstGeom>
        </xdr:spPr>
      </xdr:pic>
      <xdr:pic>
        <xdr:nvPicPr>
          <xdr:cNvPr id="15" name="Graphic 14">
            <a:extLst>
              <a:ext uri="{FF2B5EF4-FFF2-40B4-BE49-F238E27FC236}">
                <a16:creationId xmlns:a16="http://schemas.microsoft.com/office/drawing/2014/main" id="{D60CD789-18E5-495D-81AC-09AA78984A94}"/>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3657852"/>
            <a:ext cx="1485588" cy="1214436"/>
          </a:xfrm>
          <a:prstGeom prst="rect">
            <a:avLst/>
          </a:prstGeom>
        </xdr:spPr>
      </xdr:pic>
      <xdr:pic>
        <xdr:nvPicPr>
          <xdr:cNvPr id="16" name="Graphic 15">
            <a:extLst>
              <a:ext uri="{FF2B5EF4-FFF2-40B4-BE49-F238E27FC236}">
                <a16:creationId xmlns:a16="http://schemas.microsoft.com/office/drawing/2014/main" id="{9CDCCA9E-90E0-4FF0-AFDF-6D59434B12C6}"/>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4158353"/>
            <a:ext cx="1485588" cy="1214436"/>
          </a:xfrm>
          <a:prstGeom prst="rect">
            <a:avLst/>
          </a:prstGeom>
        </xdr:spPr>
      </xdr:pic>
      <xdr:pic>
        <xdr:nvPicPr>
          <xdr:cNvPr id="17" name="Graphic 16">
            <a:extLst>
              <a:ext uri="{FF2B5EF4-FFF2-40B4-BE49-F238E27FC236}">
                <a16:creationId xmlns:a16="http://schemas.microsoft.com/office/drawing/2014/main" id="{D0538ACA-9336-4BE4-9CB1-5287E6A7C997}"/>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4658854"/>
            <a:ext cx="1485588" cy="1214436"/>
          </a:xfrm>
          <a:prstGeom prst="rect">
            <a:avLst/>
          </a:prstGeom>
        </xdr:spPr>
      </xdr:pic>
      <xdr:pic>
        <xdr:nvPicPr>
          <xdr:cNvPr id="19" name="Graphic 18">
            <a:extLst>
              <a:ext uri="{FF2B5EF4-FFF2-40B4-BE49-F238E27FC236}">
                <a16:creationId xmlns:a16="http://schemas.microsoft.com/office/drawing/2014/main" id="{BFC345D6-9507-424F-A4A0-5EED58F5EA66}"/>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5659856"/>
            <a:ext cx="1485588" cy="1214436"/>
          </a:xfrm>
          <a:prstGeom prst="rect">
            <a:avLst/>
          </a:prstGeom>
        </xdr:spPr>
      </xdr:pic>
      <xdr:pic>
        <xdr:nvPicPr>
          <xdr:cNvPr id="18" name="Graphic 17">
            <a:extLst>
              <a:ext uri="{FF2B5EF4-FFF2-40B4-BE49-F238E27FC236}">
                <a16:creationId xmlns:a16="http://schemas.microsoft.com/office/drawing/2014/main" id="{0FD3D4FA-7277-44EE-A801-29E592C747D2}"/>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rcRect r="28388"/>
          <a:stretch/>
        </xdr:blipFill>
        <xdr:spPr>
          <a:xfrm>
            <a:off x="350042" y="5159355"/>
            <a:ext cx="1485588" cy="1214436"/>
          </a:xfrm>
          <a:prstGeom prst="rect">
            <a:avLst/>
          </a:prstGeom>
        </xdr:spPr>
      </xdr:pic>
      <xdr:pic>
        <xdr:nvPicPr>
          <xdr:cNvPr id="20" name="Graphic 19">
            <a:extLst>
              <a:ext uri="{FF2B5EF4-FFF2-40B4-BE49-F238E27FC236}">
                <a16:creationId xmlns:a16="http://schemas.microsoft.com/office/drawing/2014/main" id="{8024095A-F1D5-4DD8-B528-A079E52E5771}"/>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6160357"/>
            <a:ext cx="1485588" cy="1214436"/>
          </a:xfrm>
          <a:prstGeom prst="rect">
            <a:avLst/>
          </a:prstGeom>
        </xdr:spPr>
      </xdr:pic>
      <xdr:pic>
        <xdr:nvPicPr>
          <xdr:cNvPr id="21" name="Graphic 20">
            <a:extLst>
              <a:ext uri="{FF2B5EF4-FFF2-40B4-BE49-F238E27FC236}">
                <a16:creationId xmlns:a16="http://schemas.microsoft.com/office/drawing/2014/main" id="{EAA22ABC-643B-41A8-A54A-5D83D17C65DA}"/>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6660858"/>
            <a:ext cx="1485588" cy="1214436"/>
          </a:xfrm>
          <a:prstGeom prst="rect">
            <a:avLst/>
          </a:prstGeom>
        </xdr:spPr>
      </xdr:pic>
      <xdr:pic>
        <xdr:nvPicPr>
          <xdr:cNvPr id="22" name="Graphic 21">
            <a:extLst>
              <a:ext uri="{FF2B5EF4-FFF2-40B4-BE49-F238E27FC236}">
                <a16:creationId xmlns:a16="http://schemas.microsoft.com/office/drawing/2014/main" id="{19547956-290D-4C7F-845D-5E3F98093E41}"/>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7161359"/>
            <a:ext cx="1485588" cy="1214436"/>
          </a:xfrm>
          <a:prstGeom prst="rect">
            <a:avLst/>
          </a:prstGeom>
        </xdr:spPr>
      </xdr:pic>
      <xdr:pic>
        <xdr:nvPicPr>
          <xdr:cNvPr id="23" name="Graphic 22">
            <a:extLst>
              <a:ext uri="{FF2B5EF4-FFF2-40B4-BE49-F238E27FC236}">
                <a16:creationId xmlns:a16="http://schemas.microsoft.com/office/drawing/2014/main" id="{85A988D4-5070-449F-BDBF-9B6028BF9419}"/>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7661860"/>
            <a:ext cx="1485588" cy="1214436"/>
          </a:xfrm>
          <a:prstGeom prst="rect">
            <a:avLst/>
          </a:prstGeom>
        </xdr:spPr>
      </xdr:pic>
      <xdr:pic>
        <xdr:nvPicPr>
          <xdr:cNvPr id="24" name="Graphic 23">
            <a:extLst>
              <a:ext uri="{FF2B5EF4-FFF2-40B4-BE49-F238E27FC236}">
                <a16:creationId xmlns:a16="http://schemas.microsoft.com/office/drawing/2014/main" id="{58068D0A-3742-4A02-9012-1B9CB10CCB29}"/>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8162361"/>
            <a:ext cx="1485588" cy="1214436"/>
          </a:xfrm>
          <a:prstGeom prst="rect">
            <a:avLst/>
          </a:prstGeom>
        </xdr:spPr>
      </xdr:pic>
      <xdr:pic>
        <xdr:nvPicPr>
          <xdr:cNvPr id="25" name="Graphic 24">
            <a:extLst>
              <a:ext uri="{FF2B5EF4-FFF2-40B4-BE49-F238E27FC236}">
                <a16:creationId xmlns:a16="http://schemas.microsoft.com/office/drawing/2014/main" id="{CBE8C0E1-F879-44C3-BBC6-A2F875FCDE5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8662862"/>
            <a:ext cx="1485588" cy="1214436"/>
          </a:xfrm>
          <a:prstGeom prst="rect">
            <a:avLst/>
          </a:prstGeom>
        </xdr:spPr>
      </xdr:pic>
      <xdr:pic>
        <xdr:nvPicPr>
          <xdr:cNvPr id="26" name="Graphic 25">
            <a:extLst>
              <a:ext uri="{FF2B5EF4-FFF2-40B4-BE49-F238E27FC236}">
                <a16:creationId xmlns:a16="http://schemas.microsoft.com/office/drawing/2014/main" id="{1D7020EA-B34B-43ED-A040-8EB673E5EB5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9163363"/>
            <a:ext cx="1485588" cy="1214436"/>
          </a:xfrm>
          <a:prstGeom prst="rect">
            <a:avLst/>
          </a:prstGeom>
        </xdr:spPr>
      </xdr:pic>
      <xdr:pic>
        <xdr:nvPicPr>
          <xdr:cNvPr id="27" name="Graphic 26">
            <a:extLst>
              <a:ext uri="{FF2B5EF4-FFF2-40B4-BE49-F238E27FC236}">
                <a16:creationId xmlns:a16="http://schemas.microsoft.com/office/drawing/2014/main" id="{A9F7C15B-EEBA-4CCF-AC5E-9BF0D6CCC1AB}"/>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9663872"/>
            <a:ext cx="1485588" cy="1214436"/>
          </a:xfrm>
          <a:prstGeom prst="rect">
            <a:avLst/>
          </a:prstGeom>
        </xdr:spPr>
      </xdr:pic>
    </xdr:grpSp>
    <xdr:clientData/>
  </xdr:twoCellAnchor>
  <xdr:twoCellAnchor>
    <xdr:from>
      <xdr:col>0</xdr:col>
      <xdr:colOff>453618</xdr:colOff>
      <xdr:row>6</xdr:row>
      <xdr:rowOff>93938</xdr:rowOff>
    </xdr:from>
    <xdr:to>
      <xdr:col>2</xdr:col>
      <xdr:colOff>508090</xdr:colOff>
      <xdr:row>54</xdr:row>
      <xdr:rowOff>152087</xdr:rowOff>
    </xdr:to>
    <xdr:grpSp>
      <xdr:nvGrpSpPr>
        <xdr:cNvPr id="28" name="Group 27">
          <a:extLst>
            <a:ext uri="{FF2B5EF4-FFF2-40B4-BE49-F238E27FC236}">
              <a16:creationId xmlns:a16="http://schemas.microsoft.com/office/drawing/2014/main" id="{0393C489-596A-4C3F-A91D-2B2808D4283B}"/>
            </a:ext>
          </a:extLst>
        </xdr:cNvPr>
        <xdr:cNvGrpSpPr/>
      </xdr:nvGrpSpPr>
      <xdr:grpSpPr>
        <a:xfrm>
          <a:off x="453618" y="1225032"/>
          <a:ext cx="1364160" cy="9184290"/>
          <a:chOff x="487686" y="1129784"/>
          <a:chExt cx="1268910" cy="9273586"/>
        </a:xfrm>
      </xdr:grpSpPr>
      <xdr:sp macro="" textlink="">
        <xdr:nvSpPr>
          <xdr:cNvPr id="29" name="TextBox 28">
            <a:hlinkClick xmlns:r="http://schemas.openxmlformats.org/officeDocument/2006/relationships" r:id="rId9"/>
            <a:extLst>
              <a:ext uri="{FF2B5EF4-FFF2-40B4-BE49-F238E27FC236}">
                <a16:creationId xmlns:a16="http://schemas.microsoft.com/office/drawing/2014/main" id="{BFCEB04F-BEC5-4F3E-9B2A-9A5A13A1E23E}"/>
              </a:ext>
            </a:extLst>
          </xdr:cNvPr>
          <xdr:cNvSpPr txBox="1"/>
        </xdr:nvSpPr>
        <xdr:spPr>
          <a:xfrm>
            <a:off x="784825" y="1129784"/>
            <a:ext cx="67317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Từ</a:t>
            </a:r>
            <a:r>
              <a:rPr lang="en-US" sz="1100" b="1" baseline="0">
                <a:solidFill>
                  <a:schemeClr val="bg1"/>
                </a:solidFill>
              </a:rPr>
              <a:t> khóa</a:t>
            </a:r>
            <a:endParaRPr lang="en-US" sz="1100" b="1">
              <a:solidFill>
                <a:schemeClr val="bg1"/>
              </a:solidFill>
            </a:endParaRPr>
          </a:p>
        </xdr:txBody>
      </xdr:sp>
      <xdr:sp macro="" textlink="">
        <xdr:nvSpPr>
          <xdr:cNvPr id="30" name="TextBox 29">
            <a:hlinkClick xmlns:r="http://schemas.openxmlformats.org/officeDocument/2006/relationships" r:id="rId10"/>
            <a:extLst>
              <a:ext uri="{FF2B5EF4-FFF2-40B4-BE49-F238E27FC236}">
                <a16:creationId xmlns:a16="http://schemas.microsoft.com/office/drawing/2014/main" id="{55503E1E-7259-4A84-9006-5F421D0F4F3F}"/>
              </a:ext>
            </a:extLst>
          </xdr:cNvPr>
          <xdr:cNvSpPr txBox="1"/>
        </xdr:nvSpPr>
        <xdr:spPr>
          <a:xfrm>
            <a:off x="708434" y="1630285"/>
            <a:ext cx="82595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Dashboard</a:t>
            </a:r>
          </a:p>
        </xdr:txBody>
      </xdr:sp>
      <xdr:sp macro="" textlink="">
        <xdr:nvSpPr>
          <xdr:cNvPr id="31" name="TextBox 30">
            <a:hlinkClick xmlns:r="http://schemas.openxmlformats.org/officeDocument/2006/relationships" r:id="rId11"/>
            <a:extLst>
              <a:ext uri="{FF2B5EF4-FFF2-40B4-BE49-F238E27FC236}">
                <a16:creationId xmlns:a16="http://schemas.microsoft.com/office/drawing/2014/main" id="{44B604AC-3456-4821-8FBD-08FFEE90B213}"/>
              </a:ext>
            </a:extLst>
          </xdr:cNvPr>
          <xdr:cNvSpPr txBox="1"/>
        </xdr:nvSpPr>
        <xdr:spPr>
          <a:xfrm>
            <a:off x="495750" y="2130786"/>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Mục</a:t>
            </a:r>
            <a:r>
              <a:rPr lang="en-US" sz="1100" b="1" baseline="0">
                <a:solidFill>
                  <a:schemeClr val="bg1"/>
                </a:solidFill>
                <a:effectLst/>
                <a:latin typeface="+mn-lt"/>
                <a:ea typeface="+mn-ea"/>
                <a:cs typeface="+mn-cs"/>
              </a:rPr>
              <a:t> tiêu bản thân</a:t>
            </a:r>
            <a:endParaRPr lang="en-US">
              <a:solidFill>
                <a:schemeClr val="bg1"/>
              </a:solidFill>
              <a:effectLst/>
            </a:endParaRPr>
          </a:p>
        </xdr:txBody>
      </xdr:sp>
      <xdr:sp macro="" textlink="">
        <xdr:nvSpPr>
          <xdr:cNvPr id="32" name="TextBox 31">
            <a:hlinkClick xmlns:r="http://schemas.openxmlformats.org/officeDocument/2006/relationships" r:id="rId12"/>
            <a:extLst>
              <a:ext uri="{FF2B5EF4-FFF2-40B4-BE49-F238E27FC236}">
                <a16:creationId xmlns:a16="http://schemas.microsoft.com/office/drawing/2014/main" id="{60BCF595-39E5-42F0-AD8A-EDB053F5A264}"/>
              </a:ext>
            </a:extLst>
          </xdr:cNvPr>
          <xdr:cNvSpPr txBox="1"/>
        </xdr:nvSpPr>
        <xdr:spPr>
          <a:xfrm>
            <a:off x="495750" y="2631287"/>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Mục</a:t>
            </a:r>
            <a:r>
              <a:rPr lang="en-US" sz="1100" b="1" baseline="0">
                <a:solidFill>
                  <a:schemeClr val="bg1"/>
                </a:solidFill>
                <a:effectLst/>
                <a:latin typeface="+mn-lt"/>
                <a:ea typeface="+mn-ea"/>
                <a:cs typeface="+mn-cs"/>
              </a:rPr>
              <a:t> tiêu tài chính</a:t>
            </a:r>
            <a:endParaRPr lang="en-US">
              <a:solidFill>
                <a:schemeClr val="bg1"/>
              </a:solidFill>
              <a:effectLst/>
            </a:endParaRPr>
          </a:p>
        </xdr:txBody>
      </xdr:sp>
      <xdr:sp macro="" textlink="">
        <xdr:nvSpPr>
          <xdr:cNvPr id="33" name="TextBox 32">
            <a:hlinkClick xmlns:r="http://schemas.openxmlformats.org/officeDocument/2006/relationships" r:id="rId13"/>
            <a:extLst>
              <a:ext uri="{FF2B5EF4-FFF2-40B4-BE49-F238E27FC236}">
                <a16:creationId xmlns:a16="http://schemas.microsoft.com/office/drawing/2014/main" id="{F2CE8B2F-5EEF-441C-BED1-3E1A6C3C4BAA}"/>
              </a:ext>
            </a:extLst>
          </xdr:cNvPr>
          <xdr:cNvSpPr txBox="1"/>
        </xdr:nvSpPr>
        <xdr:spPr>
          <a:xfrm>
            <a:off x="487686" y="3020663"/>
            <a:ext cx="1260846" cy="459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b="1">
                <a:solidFill>
                  <a:schemeClr val="bg1"/>
                </a:solidFill>
                <a:effectLst/>
                <a:latin typeface="+mn-lt"/>
                <a:ea typeface="+mn-ea"/>
                <a:cs typeface="+mn-cs"/>
              </a:rPr>
              <a:t>Cân</a:t>
            </a:r>
            <a:r>
              <a:rPr lang="en-US" sz="1100" b="1" baseline="0">
                <a:solidFill>
                  <a:schemeClr val="bg1"/>
                </a:solidFill>
                <a:effectLst/>
                <a:latin typeface="+mn-lt"/>
                <a:ea typeface="+mn-ea"/>
                <a:cs typeface="+mn-cs"/>
              </a:rPr>
              <a:t> đối</a:t>
            </a:r>
            <a:endParaRPr lang="en-US">
              <a:solidFill>
                <a:schemeClr val="bg1"/>
              </a:solidFill>
              <a:effectLst/>
            </a:endParaRPr>
          </a:p>
          <a:p>
            <a:pPr algn="ctr"/>
            <a:r>
              <a:rPr lang="en-US" sz="1100" b="1" baseline="0">
                <a:solidFill>
                  <a:schemeClr val="bg1"/>
                </a:solidFill>
                <a:effectLst/>
                <a:latin typeface="+mn-lt"/>
                <a:ea typeface="+mn-ea"/>
                <a:cs typeface="+mn-cs"/>
              </a:rPr>
              <a:t>l</a:t>
            </a:r>
            <a:r>
              <a:rPr lang="en-US" sz="1100" b="1">
                <a:solidFill>
                  <a:schemeClr val="bg1"/>
                </a:solidFill>
                <a:effectLst/>
                <a:latin typeface="+mn-lt"/>
                <a:ea typeface="+mn-ea"/>
                <a:cs typeface="+mn-cs"/>
              </a:rPr>
              <a:t>ộ</a:t>
            </a:r>
            <a:r>
              <a:rPr lang="en-US" sz="1100" b="1" baseline="0">
                <a:solidFill>
                  <a:schemeClr val="bg1"/>
                </a:solidFill>
                <a:effectLst/>
                <a:latin typeface="+mn-lt"/>
                <a:ea typeface="+mn-ea"/>
                <a:cs typeface="+mn-cs"/>
              </a:rPr>
              <a:t> trình nghề nghiệp</a:t>
            </a:r>
            <a:endParaRPr lang="en-US">
              <a:solidFill>
                <a:schemeClr val="bg1"/>
              </a:solidFill>
              <a:effectLst/>
            </a:endParaRPr>
          </a:p>
        </xdr:txBody>
      </xdr:sp>
      <xdr:sp macro="" textlink="">
        <xdr:nvSpPr>
          <xdr:cNvPr id="34" name="TextBox 33">
            <a:hlinkClick xmlns:r="http://schemas.openxmlformats.org/officeDocument/2006/relationships" r:id="rId14"/>
            <a:extLst>
              <a:ext uri="{FF2B5EF4-FFF2-40B4-BE49-F238E27FC236}">
                <a16:creationId xmlns:a16="http://schemas.microsoft.com/office/drawing/2014/main" id="{469DA540-A0D6-424A-AE2D-3E86A4919485}"/>
              </a:ext>
            </a:extLst>
          </xdr:cNvPr>
          <xdr:cNvSpPr txBox="1"/>
        </xdr:nvSpPr>
        <xdr:spPr>
          <a:xfrm>
            <a:off x="487686" y="3521164"/>
            <a:ext cx="1260846" cy="459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100" b="1">
                <a:solidFill>
                  <a:schemeClr val="bg1"/>
                </a:solidFill>
                <a:effectLst/>
                <a:latin typeface="+mn-lt"/>
                <a:ea typeface="+mn-ea"/>
                <a:cs typeface="+mn-cs"/>
              </a:rPr>
              <a:t>Kế</a:t>
            </a:r>
            <a:r>
              <a:rPr lang="en-US" sz="1100" b="1" baseline="0">
                <a:solidFill>
                  <a:schemeClr val="bg1"/>
                </a:solidFill>
                <a:effectLst/>
                <a:latin typeface="+mn-lt"/>
                <a:ea typeface="+mn-ea"/>
                <a:cs typeface="+mn-cs"/>
              </a:rPr>
              <a:t> hoạch </a:t>
            </a:r>
          </a:p>
          <a:p>
            <a:pPr algn="ctr"/>
            <a:r>
              <a:rPr lang="en-US" sz="1100" b="1" baseline="0">
                <a:solidFill>
                  <a:schemeClr val="bg1"/>
                </a:solidFill>
                <a:effectLst/>
                <a:latin typeface="+mn-lt"/>
                <a:ea typeface="+mn-ea"/>
                <a:cs typeface="+mn-cs"/>
              </a:rPr>
              <a:t>thu nhập &amp; chi tiêu</a:t>
            </a:r>
            <a:endParaRPr lang="en-US">
              <a:solidFill>
                <a:schemeClr val="bg1"/>
              </a:solidFill>
              <a:effectLst/>
            </a:endParaRPr>
          </a:p>
        </xdr:txBody>
      </xdr:sp>
      <xdr:sp macro="" textlink="">
        <xdr:nvSpPr>
          <xdr:cNvPr id="35" name="TextBox 34">
            <a:hlinkClick xmlns:r="http://schemas.openxmlformats.org/officeDocument/2006/relationships" r:id="rId15"/>
            <a:extLst>
              <a:ext uri="{FF2B5EF4-FFF2-40B4-BE49-F238E27FC236}">
                <a16:creationId xmlns:a16="http://schemas.microsoft.com/office/drawing/2014/main" id="{0F114139-BB29-44FC-8E27-AF1E96E2CA97}"/>
              </a:ext>
            </a:extLst>
          </xdr:cNvPr>
          <xdr:cNvSpPr txBox="1"/>
        </xdr:nvSpPr>
        <xdr:spPr>
          <a:xfrm>
            <a:off x="495750" y="413279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a:t>
            </a:r>
            <a:endParaRPr lang="en-US">
              <a:solidFill>
                <a:schemeClr val="bg1"/>
              </a:solidFill>
              <a:effectLst/>
            </a:endParaRPr>
          </a:p>
        </xdr:txBody>
      </xdr:sp>
      <xdr:sp macro="" textlink="">
        <xdr:nvSpPr>
          <xdr:cNvPr id="36" name="TextBox 35">
            <a:hlinkClick xmlns:r="http://schemas.openxmlformats.org/officeDocument/2006/relationships" r:id="rId16"/>
            <a:extLst>
              <a:ext uri="{FF2B5EF4-FFF2-40B4-BE49-F238E27FC236}">
                <a16:creationId xmlns:a16="http://schemas.microsoft.com/office/drawing/2014/main" id="{ADE331B5-0B21-4524-AE35-3CA372A4D0D9}"/>
              </a:ext>
            </a:extLst>
          </xdr:cNvPr>
          <xdr:cNvSpPr txBox="1"/>
        </xdr:nvSpPr>
        <xdr:spPr>
          <a:xfrm>
            <a:off x="495750" y="4633291"/>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2</a:t>
            </a:r>
            <a:endParaRPr lang="en-US">
              <a:solidFill>
                <a:schemeClr val="bg1"/>
              </a:solidFill>
              <a:effectLst/>
            </a:endParaRPr>
          </a:p>
        </xdr:txBody>
      </xdr:sp>
      <xdr:sp macro="" textlink="">
        <xdr:nvSpPr>
          <xdr:cNvPr id="37" name="TextBox 36">
            <a:hlinkClick xmlns:r="http://schemas.openxmlformats.org/officeDocument/2006/relationships" r:id="rId17"/>
            <a:extLst>
              <a:ext uri="{FF2B5EF4-FFF2-40B4-BE49-F238E27FC236}">
                <a16:creationId xmlns:a16="http://schemas.microsoft.com/office/drawing/2014/main" id="{EC7D2633-ADD8-406C-A258-0CDCF22B7C82}"/>
              </a:ext>
            </a:extLst>
          </xdr:cNvPr>
          <xdr:cNvSpPr txBox="1"/>
        </xdr:nvSpPr>
        <xdr:spPr>
          <a:xfrm>
            <a:off x="495750" y="5133792"/>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3</a:t>
            </a:r>
            <a:endParaRPr lang="en-US">
              <a:solidFill>
                <a:schemeClr val="bg1"/>
              </a:solidFill>
              <a:effectLst/>
            </a:endParaRPr>
          </a:p>
        </xdr:txBody>
      </xdr:sp>
      <xdr:sp macro="" textlink="">
        <xdr:nvSpPr>
          <xdr:cNvPr id="38" name="TextBox 37">
            <a:hlinkClick xmlns:r="http://schemas.openxmlformats.org/officeDocument/2006/relationships" r:id="rId18"/>
            <a:extLst>
              <a:ext uri="{FF2B5EF4-FFF2-40B4-BE49-F238E27FC236}">
                <a16:creationId xmlns:a16="http://schemas.microsoft.com/office/drawing/2014/main" id="{8B9DFCE8-2210-49AA-ADFB-72F40BAAA459}"/>
              </a:ext>
            </a:extLst>
          </xdr:cNvPr>
          <xdr:cNvSpPr txBox="1"/>
        </xdr:nvSpPr>
        <xdr:spPr>
          <a:xfrm>
            <a:off x="495750" y="5634293"/>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ysClr val="windowText" lastClr="000000"/>
                </a:solidFill>
                <a:effectLst/>
                <a:latin typeface="+mn-lt"/>
                <a:ea typeface="+mn-ea"/>
                <a:cs typeface="+mn-cs"/>
              </a:rPr>
              <a:t>Theo dõi</a:t>
            </a:r>
            <a:r>
              <a:rPr lang="en-US" sz="1100" b="1" baseline="0">
                <a:solidFill>
                  <a:sysClr val="windowText" lastClr="000000"/>
                </a:solidFill>
                <a:effectLst/>
                <a:latin typeface="+mn-lt"/>
                <a:ea typeface="+mn-ea"/>
                <a:cs typeface="+mn-cs"/>
              </a:rPr>
              <a:t> tháng 4</a:t>
            </a:r>
            <a:endParaRPr lang="en-US">
              <a:solidFill>
                <a:sysClr val="windowText" lastClr="000000"/>
              </a:solidFill>
              <a:effectLst/>
            </a:endParaRPr>
          </a:p>
        </xdr:txBody>
      </xdr:sp>
      <xdr:sp macro="" textlink="">
        <xdr:nvSpPr>
          <xdr:cNvPr id="39" name="TextBox 38">
            <a:hlinkClick xmlns:r="http://schemas.openxmlformats.org/officeDocument/2006/relationships" r:id="rId19"/>
            <a:extLst>
              <a:ext uri="{FF2B5EF4-FFF2-40B4-BE49-F238E27FC236}">
                <a16:creationId xmlns:a16="http://schemas.microsoft.com/office/drawing/2014/main" id="{D2886DDD-2FEA-48C7-89F4-954EE13F8C6D}"/>
              </a:ext>
            </a:extLst>
          </xdr:cNvPr>
          <xdr:cNvSpPr txBox="1"/>
        </xdr:nvSpPr>
        <xdr:spPr>
          <a:xfrm>
            <a:off x="495750" y="6134794"/>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5</a:t>
            </a:r>
            <a:endParaRPr lang="en-US">
              <a:solidFill>
                <a:schemeClr val="bg1"/>
              </a:solidFill>
              <a:effectLst/>
            </a:endParaRPr>
          </a:p>
        </xdr:txBody>
      </xdr:sp>
      <xdr:sp macro="" textlink="">
        <xdr:nvSpPr>
          <xdr:cNvPr id="40" name="TextBox 39">
            <a:hlinkClick xmlns:r="http://schemas.openxmlformats.org/officeDocument/2006/relationships" r:id="rId20"/>
            <a:extLst>
              <a:ext uri="{FF2B5EF4-FFF2-40B4-BE49-F238E27FC236}">
                <a16:creationId xmlns:a16="http://schemas.microsoft.com/office/drawing/2014/main" id="{C02D4038-EE0D-436B-8DC7-5AC49C23D4CC}"/>
              </a:ext>
            </a:extLst>
          </xdr:cNvPr>
          <xdr:cNvSpPr txBox="1"/>
        </xdr:nvSpPr>
        <xdr:spPr>
          <a:xfrm>
            <a:off x="495750" y="6635295"/>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6</a:t>
            </a:r>
            <a:endParaRPr lang="en-US">
              <a:solidFill>
                <a:schemeClr val="bg1"/>
              </a:solidFill>
              <a:effectLst/>
            </a:endParaRPr>
          </a:p>
        </xdr:txBody>
      </xdr:sp>
      <xdr:sp macro="" textlink="">
        <xdr:nvSpPr>
          <xdr:cNvPr id="41" name="TextBox 40">
            <a:hlinkClick xmlns:r="http://schemas.openxmlformats.org/officeDocument/2006/relationships" r:id="rId21"/>
            <a:extLst>
              <a:ext uri="{FF2B5EF4-FFF2-40B4-BE49-F238E27FC236}">
                <a16:creationId xmlns:a16="http://schemas.microsoft.com/office/drawing/2014/main" id="{21F8244F-89E6-453D-9E87-9EF29559A936}"/>
              </a:ext>
            </a:extLst>
          </xdr:cNvPr>
          <xdr:cNvSpPr txBox="1"/>
        </xdr:nvSpPr>
        <xdr:spPr>
          <a:xfrm>
            <a:off x="495750" y="7135796"/>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7</a:t>
            </a:r>
            <a:endParaRPr lang="en-US">
              <a:solidFill>
                <a:schemeClr val="bg1"/>
              </a:solidFill>
              <a:effectLst/>
            </a:endParaRPr>
          </a:p>
        </xdr:txBody>
      </xdr:sp>
      <xdr:sp macro="" textlink="">
        <xdr:nvSpPr>
          <xdr:cNvPr id="42" name="TextBox 41">
            <a:hlinkClick xmlns:r="http://schemas.openxmlformats.org/officeDocument/2006/relationships" r:id="rId22"/>
            <a:extLst>
              <a:ext uri="{FF2B5EF4-FFF2-40B4-BE49-F238E27FC236}">
                <a16:creationId xmlns:a16="http://schemas.microsoft.com/office/drawing/2014/main" id="{1A209BAB-AE5C-428D-BE30-53B4977B6119}"/>
              </a:ext>
            </a:extLst>
          </xdr:cNvPr>
          <xdr:cNvSpPr txBox="1"/>
        </xdr:nvSpPr>
        <xdr:spPr>
          <a:xfrm>
            <a:off x="495750" y="7636297"/>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8</a:t>
            </a:r>
            <a:endParaRPr lang="en-US">
              <a:solidFill>
                <a:schemeClr val="bg1"/>
              </a:solidFill>
              <a:effectLst/>
            </a:endParaRPr>
          </a:p>
        </xdr:txBody>
      </xdr:sp>
      <xdr:sp macro="" textlink="">
        <xdr:nvSpPr>
          <xdr:cNvPr id="43" name="TextBox 42">
            <a:hlinkClick xmlns:r="http://schemas.openxmlformats.org/officeDocument/2006/relationships" r:id="rId23"/>
            <a:extLst>
              <a:ext uri="{FF2B5EF4-FFF2-40B4-BE49-F238E27FC236}">
                <a16:creationId xmlns:a16="http://schemas.microsoft.com/office/drawing/2014/main" id="{D4E5C019-90AC-4841-B720-405E142BAA9B}"/>
              </a:ext>
            </a:extLst>
          </xdr:cNvPr>
          <xdr:cNvSpPr txBox="1"/>
        </xdr:nvSpPr>
        <xdr:spPr>
          <a:xfrm>
            <a:off x="495750" y="8136798"/>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9</a:t>
            </a:r>
            <a:endParaRPr lang="en-US">
              <a:solidFill>
                <a:schemeClr val="bg1"/>
              </a:solidFill>
              <a:effectLst/>
            </a:endParaRPr>
          </a:p>
        </xdr:txBody>
      </xdr:sp>
      <xdr:sp macro="" textlink="">
        <xdr:nvSpPr>
          <xdr:cNvPr id="44" name="TextBox 43">
            <a:hlinkClick xmlns:r="http://schemas.openxmlformats.org/officeDocument/2006/relationships" r:id="rId24"/>
            <a:extLst>
              <a:ext uri="{FF2B5EF4-FFF2-40B4-BE49-F238E27FC236}">
                <a16:creationId xmlns:a16="http://schemas.microsoft.com/office/drawing/2014/main" id="{6294D814-8331-4FA6-9B15-C78FEB06246B}"/>
              </a:ext>
            </a:extLst>
          </xdr:cNvPr>
          <xdr:cNvSpPr txBox="1"/>
        </xdr:nvSpPr>
        <xdr:spPr>
          <a:xfrm>
            <a:off x="495750" y="8637299"/>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10</a:t>
            </a:r>
            <a:endParaRPr lang="en-US">
              <a:solidFill>
                <a:schemeClr val="bg1"/>
              </a:solidFill>
              <a:effectLst/>
            </a:endParaRPr>
          </a:p>
        </xdr:txBody>
      </xdr:sp>
      <xdr:sp macro="" textlink="">
        <xdr:nvSpPr>
          <xdr:cNvPr id="45" name="TextBox 44">
            <a:hlinkClick xmlns:r="http://schemas.openxmlformats.org/officeDocument/2006/relationships" r:id="rId25"/>
            <a:extLst>
              <a:ext uri="{FF2B5EF4-FFF2-40B4-BE49-F238E27FC236}">
                <a16:creationId xmlns:a16="http://schemas.microsoft.com/office/drawing/2014/main" id="{184AC79D-43F8-4CBE-A7C3-7366656BE16F}"/>
              </a:ext>
            </a:extLst>
          </xdr:cNvPr>
          <xdr:cNvSpPr txBox="1"/>
        </xdr:nvSpPr>
        <xdr:spPr>
          <a:xfrm>
            <a:off x="495750" y="913780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11</a:t>
            </a:r>
            <a:endParaRPr lang="en-US">
              <a:solidFill>
                <a:schemeClr val="bg1"/>
              </a:solidFill>
              <a:effectLst/>
            </a:endParaRPr>
          </a:p>
        </xdr:txBody>
      </xdr:sp>
      <xdr:sp macro="" textlink="">
        <xdr:nvSpPr>
          <xdr:cNvPr id="46" name="TextBox 45">
            <a:hlinkClick xmlns:r="http://schemas.openxmlformats.org/officeDocument/2006/relationships" r:id="rId26"/>
            <a:extLst>
              <a:ext uri="{FF2B5EF4-FFF2-40B4-BE49-F238E27FC236}">
                <a16:creationId xmlns:a16="http://schemas.microsoft.com/office/drawing/2014/main" id="{547893C9-5FD4-4FA0-9130-888AA03A90B6}"/>
              </a:ext>
            </a:extLst>
          </xdr:cNvPr>
          <xdr:cNvSpPr txBox="1"/>
        </xdr:nvSpPr>
        <xdr:spPr>
          <a:xfrm>
            <a:off x="495750" y="9638301"/>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12</a:t>
            </a:r>
            <a:endParaRPr lang="en-US">
              <a:solidFill>
                <a:schemeClr val="bg1"/>
              </a:solidFill>
              <a:effectLst/>
            </a:endParaRPr>
          </a:p>
        </xdr:txBody>
      </xdr:sp>
      <xdr:sp macro="" textlink="">
        <xdr:nvSpPr>
          <xdr:cNvPr id="47" name="TextBox 46">
            <a:hlinkClick xmlns:r="http://schemas.openxmlformats.org/officeDocument/2006/relationships" r:id="rId27"/>
            <a:extLst>
              <a:ext uri="{FF2B5EF4-FFF2-40B4-BE49-F238E27FC236}">
                <a16:creationId xmlns:a16="http://schemas.microsoft.com/office/drawing/2014/main" id="{7CADD853-0CF2-4A25-805B-83E9125BCBD4}"/>
              </a:ext>
            </a:extLst>
          </xdr:cNvPr>
          <xdr:cNvSpPr txBox="1"/>
        </xdr:nvSpPr>
        <xdr:spPr>
          <a:xfrm>
            <a:off x="495750" y="1013881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b="1">
                <a:solidFill>
                  <a:schemeClr val="bg1"/>
                </a:solidFill>
                <a:effectLst/>
                <a:latin typeface="+mn-lt"/>
                <a:ea typeface="+mn-ea"/>
                <a:cs typeface="+mn-cs"/>
              </a:rPr>
              <a:t>Bảng</a:t>
            </a:r>
            <a:r>
              <a:rPr lang="en-US" sz="1100" b="1" baseline="0">
                <a:solidFill>
                  <a:schemeClr val="bg1"/>
                </a:solidFill>
                <a:effectLst/>
                <a:latin typeface="+mn-lt"/>
                <a:ea typeface="+mn-ea"/>
                <a:cs typeface="+mn-cs"/>
              </a:rPr>
              <a:t> khảo sát</a:t>
            </a:r>
            <a:endParaRPr lang="en-US">
              <a:solidFill>
                <a:schemeClr val="bg1"/>
              </a:solidFill>
              <a:effectLst/>
            </a:endParaRPr>
          </a:p>
        </xdr:txBody>
      </xdr:sp>
    </xdr:grp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190500</xdr:colOff>
      <xdr:row>0</xdr:row>
      <xdr:rowOff>103688</xdr:rowOff>
    </xdr:from>
    <xdr:to>
      <xdr:col>2</xdr:col>
      <xdr:colOff>472440</xdr:colOff>
      <xdr:row>3</xdr:row>
      <xdr:rowOff>24759</xdr:rowOff>
    </xdr:to>
    <xdr:grpSp>
      <xdr:nvGrpSpPr>
        <xdr:cNvPr id="2" name="Group 1">
          <a:hlinkClick xmlns:r="http://schemas.openxmlformats.org/officeDocument/2006/relationships" r:id="rId1"/>
          <a:extLst>
            <a:ext uri="{FF2B5EF4-FFF2-40B4-BE49-F238E27FC236}">
              <a16:creationId xmlns:a16="http://schemas.microsoft.com/office/drawing/2014/main" id="{7C723F08-C452-42CD-8B3C-3AB5FC0CEE08}"/>
            </a:ext>
          </a:extLst>
        </xdr:cNvPr>
        <xdr:cNvGrpSpPr/>
      </xdr:nvGrpSpPr>
      <xdr:grpSpPr>
        <a:xfrm>
          <a:off x="190500" y="103688"/>
          <a:ext cx="1591628" cy="486619"/>
          <a:chOff x="190500" y="103688"/>
          <a:chExt cx="1501140" cy="492571"/>
        </a:xfrm>
      </xdr:grpSpPr>
      <xdr:sp macro="" textlink="">
        <xdr:nvSpPr>
          <xdr:cNvPr id="3" name="TextBox 2">
            <a:extLst>
              <a:ext uri="{FF2B5EF4-FFF2-40B4-BE49-F238E27FC236}">
                <a16:creationId xmlns:a16="http://schemas.microsoft.com/office/drawing/2014/main" id="{82D725FC-52E8-4517-94A0-9B4FA505B455}"/>
              </a:ext>
            </a:extLst>
          </xdr:cNvPr>
          <xdr:cNvSpPr txBox="1"/>
        </xdr:nvSpPr>
        <xdr:spPr>
          <a:xfrm>
            <a:off x="457200" y="103688"/>
            <a:ext cx="1234440" cy="4925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300" b="1" baseline="0">
                <a:solidFill>
                  <a:schemeClr val="bg1"/>
                </a:solidFill>
                <a:latin typeface="Roboto" pitchFamily="2" charset="0"/>
                <a:ea typeface="Roboto" pitchFamily="2" charset="0"/>
                <a:cs typeface="Times New Roman" panose="02020603050405020304" pitchFamily="18" charset="0"/>
              </a:rPr>
              <a:t>TÀI CHÍNH</a:t>
            </a:r>
          </a:p>
          <a:p>
            <a:pPr algn="ctr"/>
            <a:r>
              <a:rPr lang="en-US" sz="1300" b="1" baseline="0">
                <a:solidFill>
                  <a:schemeClr val="bg1"/>
                </a:solidFill>
                <a:latin typeface="Roboto" pitchFamily="2" charset="0"/>
                <a:ea typeface="Roboto" pitchFamily="2" charset="0"/>
                <a:cs typeface="Times New Roman" panose="02020603050405020304" pitchFamily="18" charset="0"/>
              </a:rPr>
              <a:t>CÁ NHÂN</a:t>
            </a:r>
            <a:endParaRPr lang="en-US" sz="1300" b="1">
              <a:solidFill>
                <a:schemeClr val="bg1"/>
              </a:solidFill>
              <a:latin typeface="Roboto" pitchFamily="2" charset="0"/>
              <a:ea typeface="Roboto" pitchFamily="2" charset="0"/>
              <a:cs typeface="Times New Roman" panose="02020603050405020304" pitchFamily="18" charset="0"/>
            </a:endParaRPr>
          </a:p>
        </xdr:txBody>
      </xdr:sp>
      <xdr:pic>
        <xdr:nvPicPr>
          <xdr:cNvPr id="4" name="Graphic 3" descr="Diamond">
            <a:extLst>
              <a:ext uri="{FF2B5EF4-FFF2-40B4-BE49-F238E27FC236}">
                <a16:creationId xmlns:a16="http://schemas.microsoft.com/office/drawing/2014/main" id="{BE370C59-B3C1-4249-876E-19D470BFB0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90500" y="167093"/>
            <a:ext cx="365760" cy="365760"/>
          </a:xfrm>
          <a:prstGeom prst="rect">
            <a:avLst/>
          </a:prstGeom>
        </xdr:spPr>
      </xdr:pic>
    </xdr:grpSp>
    <xdr:clientData/>
  </xdr:twoCellAnchor>
  <xdr:twoCellAnchor>
    <xdr:from>
      <xdr:col>9</xdr:col>
      <xdr:colOff>321468</xdr:colOff>
      <xdr:row>7</xdr:row>
      <xdr:rowOff>170258</xdr:rowOff>
    </xdr:from>
    <xdr:to>
      <xdr:col>23</xdr:col>
      <xdr:colOff>0</xdr:colOff>
      <xdr:row>22</xdr:row>
      <xdr:rowOff>35719</xdr:rowOff>
    </xdr:to>
    <xdr:graphicFrame macro="">
      <xdr:nvGraphicFramePr>
        <xdr:cNvPr id="7" name="Chart 6">
          <a:extLst>
            <a:ext uri="{FF2B5EF4-FFF2-40B4-BE49-F238E27FC236}">
              <a16:creationId xmlns:a16="http://schemas.microsoft.com/office/drawing/2014/main" id="{5F07042A-5B03-41E7-B849-017446F9B7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345279</xdr:colOff>
      <xdr:row>4</xdr:row>
      <xdr:rowOff>0</xdr:rowOff>
    </xdr:from>
    <xdr:to>
      <xdr:col>3</xdr:col>
      <xdr:colOff>9211</xdr:colOff>
      <xdr:row>57</xdr:row>
      <xdr:rowOff>43619</xdr:rowOff>
    </xdr:to>
    <xdr:grpSp>
      <xdr:nvGrpSpPr>
        <xdr:cNvPr id="8" name="Group 7">
          <a:extLst>
            <a:ext uri="{FF2B5EF4-FFF2-40B4-BE49-F238E27FC236}">
              <a16:creationId xmlns:a16="http://schemas.microsoft.com/office/drawing/2014/main" id="{27D24E87-C5BF-4F18-A1FB-2BE1DB4798D4}"/>
            </a:ext>
          </a:extLst>
        </xdr:cNvPr>
        <xdr:cNvGrpSpPr/>
      </xdr:nvGrpSpPr>
      <xdr:grpSpPr>
        <a:xfrm>
          <a:off x="345279" y="750094"/>
          <a:ext cx="1628463" cy="10134166"/>
          <a:chOff x="350042" y="654846"/>
          <a:chExt cx="1485588" cy="10223462"/>
        </a:xfrm>
      </xdr:grpSpPr>
      <xdr:pic>
        <xdr:nvPicPr>
          <xdr:cNvPr id="9" name="Graphic 8">
            <a:extLst>
              <a:ext uri="{FF2B5EF4-FFF2-40B4-BE49-F238E27FC236}">
                <a16:creationId xmlns:a16="http://schemas.microsoft.com/office/drawing/2014/main" id="{CDABBFE0-34AA-49AF-9A31-B105B43AEF3C}"/>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654846"/>
            <a:ext cx="1485588" cy="1214436"/>
          </a:xfrm>
          <a:prstGeom prst="rect">
            <a:avLst/>
          </a:prstGeom>
        </xdr:spPr>
      </xdr:pic>
      <xdr:pic>
        <xdr:nvPicPr>
          <xdr:cNvPr id="10" name="Graphic 9">
            <a:extLst>
              <a:ext uri="{FF2B5EF4-FFF2-40B4-BE49-F238E27FC236}">
                <a16:creationId xmlns:a16="http://schemas.microsoft.com/office/drawing/2014/main" id="{FAF8703C-16C4-46F4-8A66-89B20CE0041D}"/>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1155347"/>
            <a:ext cx="1485588" cy="1214436"/>
          </a:xfrm>
          <a:prstGeom prst="rect">
            <a:avLst/>
          </a:prstGeom>
        </xdr:spPr>
      </xdr:pic>
      <xdr:pic>
        <xdr:nvPicPr>
          <xdr:cNvPr id="11" name="Graphic 10">
            <a:extLst>
              <a:ext uri="{FF2B5EF4-FFF2-40B4-BE49-F238E27FC236}">
                <a16:creationId xmlns:a16="http://schemas.microsoft.com/office/drawing/2014/main" id="{52784101-6DB1-4F89-A934-4A4BD4E0C465}"/>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1655848"/>
            <a:ext cx="1485588" cy="1214436"/>
          </a:xfrm>
          <a:prstGeom prst="rect">
            <a:avLst/>
          </a:prstGeom>
        </xdr:spPr>
      </xdr:pic>
      <xdr:pic>
        <xdr:nvPicPr>
          <xdr:cNvPr id="12" name="Graphic 11">
            <a:extLst>
              <a:ext uri="{FF2B5EF4-FFF2-40B4-BE49-F238E27FC236}">
                <a16:creationId xmlns:a16="http://schemas.microsoft.com/office/drawing/2014/main" id="{79C331C8-3024-4DD3-BEA0-6FD29DD37F8D}"/>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2156349"/>
            <a:ext cx="1485588" cy="1214436"/>
          </a:xfrm>
          <a:prstGeom prst="rect">
            <a:avLst/>
          </a:prstGeom>
        </xdr:spPr>
      </xdr:pic>
      <xdr:pic>
        <xdr:nvPicPr>
          <xdr:cNvPr id="13" name="Graphic 12">
            <a:extLst>
              <a:ext uri="{FF2B5EF4-FFF2-40B4-BE49-F238E27FC236}">
                <a16:creationId xmlns:a16="http://schemas.microsoft.com/office/drawing/2014/main" id="{34B2C051-505A-4FF7-816A-165E12C81FE6}"/>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2656850"/>
            <a:ext cx="1485588" cy="1214436"/>
          </a:xfrm>
          <a:prstGeom prst="rect">
            <a:avLst/>
          </a:prstGeom>
        </xdr:spPr>
      </xdr:pic>
      <xdr:pic>
        <xdr:nvPicPr>
          <xdr:cNvPr id="14" name="Graphic 13">
            <a:extLst>
              <a:ext uri="{FF2B5EF4-FFF2-40B4-BE49-F238E27FC236}">
                <a16:creationId xmlns:a16="http://schemas.microsoft.com/office/drawing/2014/main" id="{FBD34A44-5973-418D-8706-8A06A60665A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3157351"/>
            <a:ext cx="1485588" cy="1214436"/>
          </a:xfrm>
          <a:prstGeom prst="rect">
            <a:avLst/>
          </a:prstGeom>
        </xdr:spPr>
      </xdr:pic>
      <xdr:pic>
        <xdr:nvPicPr>
          <xdr:cNvPr id="15" name="Graphic 14">
            <a:extLst>
              <a:ext uri="{FF2B5EF4-FFF2-40B4-BE49-F238E27FC236}">
                <a16:creationId xmlns:a16="http://schemas.microsoft.com/office/drawing/2014/main" id="{757A4B48-099B-4CF4-97E4-A605A63215CE}"/>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3657852"/>
            <a:ext cx="1485588" cy="1214436"/>
          </a:xfrm>
          <a:prstGeom prst="rect">
            <a:avLst/>
          </a:prstGeom>
        </xdr:spPr>
      </xdr:pic>
      <xdr:pic>
        <xdr:nvPicPr>
          <xdr:cNvPr id="16" name="Graphic 15">
            <a:extLst>
              <a:ext uri="{FF2B5EF4-FFF2-40B4-BE49-F238E27FC236}">
                <a16:creationId xmlns:a16="http://schemas.microsoft.com/office/drawing/2014/main" id="{6C0CE850-D890-4AA0-BC43-F26864937CCA}"/>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4158353"/>
            <a:ext cx="1485588" cy="1214436"/>
          </a:xfrm>
          <a:prstGeom prst="rect">
            <a:avLst/>
          </a:prstGeom>
        </xdr:spPr>
      </xdr:pic>
      <xdr:pic>
        <xdr:nvPicPr>
          <xdr:cNvPr id="17" name="Graphic 16">
            <a:extLst>
              <a:ext uri="{FF2B5EF4-FFF2-40B4-BE49-F238E27FC236}">
                <a16:creationId xmlns:a16="http://schemas.microsoft.com/office/drawing/2014/main" id="{26AACE53-2D77-417B-8E33-4281AD4DA894}"/>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4658854"/>
            <a:ext cx="1485588" cy="1214436"/>
          </a:xfrm>
          <a:prstGeom prst="rect">
            <a:avLst/>
          </a:prstGeom>
        </xdr:spPr>
      </xdr:pic>
      <xdr:pic>
        <xdr:nvPicPr>
          <xdr:cNvPr id="18" name="Graphic 17">
            <a:extLst>
              <a:ext uri="{FF2B5EF4-FFF2-40B4-BE49-F238E27FC236}">
                <a16:creationId xmlns:a16="http://schemas.microsoft.com/office/drawing/2014/main" id="{E1C23F5F-77F5-4BAA-A9CC-F4EBFEDD4175}"/>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5159355"/>
            <a:ext cx="1485588" cy="1214436"/>
          </a:xfrm>
          <a:prstGeom prst="rect">
            <a:avLst/>
          </a:prstGeom>
        </xdr:spPr>
      </xdr:pic>
      <xdr:pic>
        <xdr:nvPicPr>
          <xdr:cNvPr id="20" name="Graphic 19">
            <a:extLst>
              <a:ext uri="{FF2B5EF4-FFF2-40B4-BE49-F238E27FC236}">
                <a16:creationId xmlns:a16="http://schemas.microsoft.com/office/drawing/2014/main" id="{7BC9E9F2-A761-472A-9EDE-7B19D515AE2D}"/>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6160357"/>
            <a:ext cx="1485588" cy="1214436"/>
          </a:xfrm>
          <a:prstGeom prst="rect">
            <a:avLst/>
          </a:prstGeom>
        </xdr:spPr>
      </xdr:pic>
      <xdr:pic>
        <xdr:nvPicPr>
          <xdr:cNvPr id="19" name="Graphic 18">
            <a:extLst>
              <a:ext uri="{FF2B5EF4-FFF2-40B4-BE49-F238E27FC236}">
                <a16:creationId xmlns:a16="http://schemas.microsoft.com/office/drawing/2014/main" id="{00A3DBD9-2828-4482-8101-9412475191A8}"/>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rcRect r="28388"/>
          <a:stretch/>
        </xdr:blipFill>
        <xdr:spPr>
          <a:xfrm>
            <a:off x="350042" y="5659856"/>
            <a:ext cx="1485588" cy="1214436"/>
          </a:xfrm>
          <a:prstGeom prst="rect">
            <a:avLst/>
          </a:prstGeom>
        </xdr:spPr>
      </xdr:pic>
      <xdr:pic>
        <xdr:nvPicPr>
          <xdr:cNvPr id="21" name="Graphic 20">
            <a:extLst>
              <a:ext uri="{FF2B5EF4-FFF2-40B4-BE49-F238E27FC236}">
                <a16:creationId xmlns:a16="http://schemas.microsoft.com/office/drawing/2014/main" id="{A7789AFF-3F5A-4B25-977C-31CEFF256DF4}"/>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6660858"/>
            <a:ext cx="1485588" cy="1214436"/>
          </a:xfrm>
          <a:prstGeom prst="rect">
            <a:avLst/>
          </a:prstGeom>
        </xdr:spPr>
      </xdr:pic>
      <xdr:pic>
        <xdr:nvPicPr>
          <xdr:cNvPr id="22" name="Graphic 21">
            <a:extLst>
              <a:ext uri="{FF2B5EF4-FFF2-40B4-BE49-F238E27FC236}">
                <a16:creationId xmlns:a16="http://schemas.microsoft.com/office/drawing/2014/main" id="{BD96659A-42B4-4700-B0A0-D30956D1DD9A}"/>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7161359"/>
            <a:ext cx="1485588" cy="1214436"/>
          </a:xfrm>
          <a:prstGeom prst="rect">
            <a:avLst/>
          </a:prstGeom>
        </xdr:spPr>
      </xdr:pic>
      <xdr:pic>
        <xdr:nvPicPr>
          <xdr:cNvPr id="23" name="Graphic 22">
            <a:extLst>
              <a:ext uri="{FF2B5EF4-FFF2-40B4-BE49-F238E27FC236}">
                <a16:creationId xmlns:a16="http://schemas.microsoft.com/office/drawing/2014/main" id="{BF6A04E2-88A0-4808-A79C-2F9B4D93D9E6}"/>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7661860"/>
            <a:ext cx="1485588" cy="1214436"/>
          </a:xfrm>
          <a:prstGeom prst="rect">
            <a:avLst/>
          </a:prstGeom>
        </xdr:spPr>
      </xdr:pic>
      <xdr:pic>
        <xdr:nvPicPr>
          <xdr:cNvPr id="24" name="Graphic 23">
            <a:extLst>
              <a:ext uri="{FF2B5EF4-FFF2-40B4-BE49-F238E27FC236}">
                <a16:creationId xmlns:a16="http://schemas.microsoft.com/office/drawing/2014/main" id="{1EFDAB9A-6040-45DE-9138-673A9CB1E41C}"/>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8162361"/>
            <a:ext cx="1485588" cy="1214436"/>
          </a:xfrm>
          <a:prstGeom prst="rect">
            <a:avLst/>
          </a:prstGeom>
        </xdr:spPr>
      </xdr:pic>
      <xdr:pic>
        <xdr:nvPicPr>
          <xdr:cNvPr id="25" name="Graphic 24">
            <a:extLst>
              <a:ext uri="{FF2B5EF4-FFF2-40B4-BE49-F238E27FC236}">
                <a16:creationId xmlns:a16="http://schemas.microsoft.com/office/drawing/2014/main" id="{7314B56B-E1EB-40FD-8E3F-30532C58D023}"/>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8662862"/>
            <a:ext cx="1485588" cy="1214436"/>
          </a:xfrm>
          <a:prstGeom prst="rect">
            <a:avLst/>
          </a:prstGeom>
        </xdr:spPr>
      </xdr:pic>
      <xdr:pic>
        <xdr:nvPicPr>
          <xdr:cNvPr id="26" name="Graphic 25">
            <a:extLst>
              <a:ext uri="{FF2B5EF4-FFF2-40B4-BE49-F238E27FC236}">
                <a16:creationId xmlns:a16="http://schemas.microsoft.com/office/drawing/2014/main" id="{24D386D8-5F1F-4888-971B-8F920D9AA37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9163363"/>
            <a:ext cx="1485588" cy="1214436"/>
          </a:xfrm>
          <a:prstGeom prst="rect">
            <a:avLst/>
          </a:prstGeom>
        </xdr:spPr>
      </xdr:pic>
      <xdr:pic>
        <xdr:nvPicPr>
          <xdr:cNvPr id="27" name="Graphic 26">
            <a:extLst>
              <a:ext uri="{FF2B5EF4-FFF2-40B4-BE49-F238E27FC236}">
                <a16:creationId xmlns:a16="http://schemas.microsoft.com/office/drawing/2014/main" id="{49EEFDD6-FD11-4476-B1EB-0923D7A8056D}"/>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9663872"/>
            <a:ext cx="1485588" cy="1214436"/>
          </a:xfrm>
          <a:prstGeom prst="rect">
            <a:avLst/>
          </a:prstGeom>
        </xdr:spPr>
      </xdr:pic>
    </xdr:grpSp>
    <xdr:clientData/>
  </xdr:twoCellAnchor>
  <xdr:twoCellAnchor>
    <xdr:from>
      <xdr:col>0</xdr:col>
      <xdr:colOff>453618</xdr:colOff>
      <xdr:row>6</xdr:row>
      <xdr:rowOff>93938</xdr:rowOff>
    </xdr:from>
    <xdr:to>
      <xdr:col>2</xdr:col>
      <xdr:colOff>508090</xdr:colOff>
      <xdr:row>54</xdr:row>
      <xdr:rowOff>152087</xdr:rowOff>
    </xdr:to>
    <xdr:grpSp>
      <xdr:nvGrpSpPr>
        <xdr:cNvPr id="28" name="Group 27">
          <a:extLst>
            <a:ext uri="{FF2B5EF4-FFF2-40B4-BE49-F238E27FC236}">
              <a16:creationId xmlns:a16="http://schemas.microsoft.com/office/drawing/2014/main" id="{C804AD1F-EDC1-4D2E-9644-ABCD566F2CA1}"/>
            </a:ext>
          </a:extLst>
        </xdr:cNvPr>
        <xdr:cNvGrpSpPr/>
      </xdr:nvGrpSpPr>
      <xdr:grpSpPr>
        <a:xfrm>
          <a:off x="453618" y="1225032"/>
          <a:ext cx="1364160" cy="9184290"/>
          <a:chOff x="487686" y="1129784"/>
          <a:chExt cx="1268910" cy="9273586"/>
        </a:xfrm>
      </xdr:grpSpPr>
      <xdr:sp macro="" textlink="">
        <xdr:nvSpPr>
          <xdr:cNvPr id="29" name="TextBox 28">
            <a:hlinkClick xmlns:r="http://schemas.openxmlformats.org/officeDocument/2006/relationships" r:id="rId9"/>
            <a:extLst>
              <a:ext uri="{FF2B5EF4-FFF2-40B4-BE49-F238E27FC236}">
                <a16:creationId xmlns:a16="http://schemas.microsoft.com/office/drawing/2014/main" id="{EDC8DDCA-A2E9-4CCE-98F8-31E90879635C}"/>
              </a:ext>
            </a:extLst>
          </xdr:cNvPr>
          <xdr:cNvSpPr txBox="1"/>
        </xdr:nvSpPr>
        <xdr:spPr>
          <a:xfrm>
            <a:off x="784825" y="1129784"/>
            <a:ext cx="67317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Từ</a:t>
            </a:r>
            <a:r>
              <a:rPr lang="en-US" sz="1100" b="1" baseline="0">
                <a:solidFill>
                  <a:schemeClr val="bg1"/>
                </a:solidFill>
              </a:rPr>
              <a:t> khóa</a:t>
            </a:r>
            <a:endParaRPr lang="en-US" sz="1100" b="1">
              <a:solidFill>
                <a:schemeClr val="bg1"/>
              </a:solidFill>
            </a:endParaRPr>
          </a:p>
        </xdr:txBody>
      </xdr:sp>
      <xdr:sp macro="" textlink="">
        <xdr:nvSpPr>
          <xdr:cNvPr id="30" name="TextBox 29">
            <a:hlinkClick xmlns:r="http://schemas.openxmlformats.org/officeDocument/2006/relationships" r:id="rId10"/>
            <a:extLst>
              <a:ext uri="{FF2B5EF4-FFF2-40B4-BE49-F238E27FC236}">
                <a16:creationId xmlns:a16="http://schemas.microsoft.com/office/drawing/2014/main" id="{472DD51E-DFCF-4932-B015-DAD2303ED5C7}"/>
              </a:ext>
            </a:extLst>
          </xdr:cNvPr>
          <xdr:cNvSpPr txBox="1"/>
        </xdr:nvSpPr>
        <xdr:spPr>
          <a:xfrm>
            <a:off x="708434" y="1630285"/>
            <a:ext cx="82595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Dashboard</a:t>
            </a:r>
          </a:p>
        </xdr:txBody>
      </xdr:sp>
      <xdr:sp macro="" textlink="">
        <xdr:nvSpPr>
          <xdr:cNvPr id="31" name="TextBox 30">
            <a:hlinkClick xmlns:r="http://schemas.openxmlformats.org/officeDocument/2006/relationships" r:id="rId11"/>
            <a:extLst>
              <a:ext uri="{FF2B5EF4-FFF2-40B4-BE49-F238E27FC236}">
                <a16:creationId xmlns:a16="http://schemas.microsoft.com/office/drawing/2014/main" id="{C4E5F179-04F0-4CB1-81DA-C9F7B874E74E}"/>
              </a:ext>
            </a:extLst>
          </xdr:cNvPr>
          <xdr:cNvSpPr txBox="1"/>
        </xdr:nvSpPr>
        <xdr:spPr>
          <a:xfrm>
            <a:off x="495750" y="2130786"/>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Mục</a:t>
            </a:r>
            <a:r>
              <a:rPr lang="en-US" sz="1100" b="1" baseline="0">
                <a:solidFill>
                  <a:schemeClr val="bg1"/>
                </a:solidFill>
                <a:effectLst/>
                <a:latin typeface="+mn-lt"/>
                <a:ea typeface="+mn-ea"/>
                <a:cs typeface="+mn-cs"/>
              </a:rPr>
              <a:t> tiêu bản thân</a:t>
            </a:r>
            <a:endParaRPr lang="en-US">
              <a:solidFill>
                <a:schemeClr val="bg1"/>
              </a:solidFill>
              <a:effectLst/>
            </a:endParaRPr>
          </a:p>
        </xdr:txBody>
      </xdr:sp>
      <xdr:sp macro="" textlink="">
        <xdr:nvSpPr>
          <xdr:cNvPr id="32" name="TextBox 31">
            <a:hlinkClick xmlns:r="http://schemas.openxmlformats.org/officeDocument/2006/relationships" r:id="rId12"/>
            <a:extLst>
              <a:ext uri="{FF2B5EF4-FFF2-40B4-BE49-F238E27FC236}">
                <a16:creationId xmlns:a16="http://schemas.microsoft.com/office/drawing/2014/main" id="{ECA43E16-AF6F-4B94-9751-AAD327387991}"/>
              </a:ext>
            </a:extLst>
          </xdr:cNvPr>
          <xdr:cNvSpPr txBox="1"/>
        </xdr:nvSpPr>
        <xdr:spPr>
          <a:xfrm>
            <a:off x="495750" y="2631287"/>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Mục</a:t>
            </a:r>
            <a:r>
              <a:rPr lang="en-US" sz="1100" b="1" baseline="0">
                <a:solidFill>
                  <a:schemeClr val="bg1"/>
                </a:solidFill>
                <a:effectLst/>
                <a:latin typeface="+mn-lt"/>
                <a:ea typeface="+mn-ea"/>
                <a:cs typeface="+mn-cs"/>
              </a:rPr>
              <a:t> tiêu tài chính</a:t>
            </a:r>
            <a:endParaRPr lang="en-US">
              <a:solidFill>
                <a:schemeClr val="bg1"/>
              </a:solidFill>
              <a:effectLst/>
            </a:endParaRPr>
          </a:p>
        </xdr:txBody>
      </xdr:sp>
      <xdr:sp macro="" textlink="">
        <xdr:nvSpPr>
          <xdr:cNvPr id="33" name="TextBox 32">
            <a:hlinkClick xmlns:r="http://schemas.openxmlformats.org/officeDocument/2006/relationships" r:id="rId13"/>
            <a:extLst>
              <a:ext uri="{FF2B5EF4-FFF2-40B4-BE49-F238E27FC236}">
                <a16:creationId xmlns:a16="http://schemas.microsoft.com/office/drawing/2014/main" id="{CA3B6CF1-0CB3-4EF0-9FDC-CF88C491EE84}"/>
              </a:ext>
            </a:extLst>
          </xdr:cNvPr>
          <xdr:cNvSpPr txBox="1"/>
        </xdr:nvSpPr>
        <xdr:spPr>
          <a:xfrm>
            <a:off x="487686" y="3020663"/>
            <a:ext cx="1260846" cy="459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b="1">
                <a:solidFill>
                  <a:schemeClr val="bg1"/>
                </a:solidFill>
                <a:effectLst/>
                <a:latin typeface="+mn-lt"/>
                <a:ea typeface="+mn-ea"/>
                <a:cs typeface="+mn-cs"/>
              </a:rPr>
              <a:t>Cân</a:t>
            </a:r>
            <a:r>
              <a:rPr lang="en-US" sz="1100" b="1" baseline="0">
                <a:solidFill>
                  <a:schemeClr val="bg1"/>
                </a:solidFill>
                <a:effectLst/>
                <a:latin typeface="+mn-lt"/>
                <a:ea typeface="+mn-ea"/>
                <a:cs typeface="+mn-cs"/>
              </a:rPr>
              <a:t> đối</a:t>
            </a:r>
            <a:endParaRPr lang="en-US">
              <a:solidFill>
                <a:schemeClr val="bg1"/>
              </a:solidFill>
              <a:effectLst/>
            </a:endParaRPr>
          </a:p>
          <a:p>
            <a:pPr algn="ctr"/>
            <a:r>
              <a:rPr lang="en-US" sz="1100" b="1" baseline="0">
                <a:solidFill>
                  <a:schemeClr val="bg1"/>
                </a:solidFill>
                <a:effectLst/>
                <a:latin typeface="+mn-lt"/>
                <a:ea typeface="+mn-ea"/>
                <a:cs typeface="+mn-cs"/>
              </a:rPr>
              <a:t>l</a:t>
            </a:r>
            <a:r>
              <a:rPr lang="en-US" sz="1100" b="1">
                <a:solidFill>
                  <a:schemeClr val="bg1"/>
                </a:solidFill>
                <a:effectLst/>
                <a:latin typeface="+mn-lt"/>
                <a:ea typeface="+mn-ea"/>
                <a:cs typeface="+mn-cs"/>
              </a:rPr>
              <a:t>ộ</a:t>
            </a:r>
            <a:r>
              <a:rPr lang="en-US" sz="1100" b="1" baseline="0">
                <a:solidFill>
                  <a:schemeClr val="bg1"/>
                </a:solidFill>
                <a:effectLst/>
                <a:latin typeface="+mn-lt"/>
                <a:ea typeface="+mn-ea"/>
                <a:cs typeface="+mn-cs"/>
              </a:rPr>
              <a:t> trình nghề nghiệp</a:t>
            </a:r>
            <a:endParaRPr lang="en-US">
              <a:solidFill>
                <a:schemeClr val="bg1"/>
              </a:solidFill>
              <a:effectLst/>
            </a:endParaRPr>
          </a:p>
        </xdr:txBody>
      </xdr:sp>
      <xdr:sp macro="" textlink="">
        <xdr:nvSpPr>
          <xdr:cNvPr id="34" name="TextBox 33">
            <a:hlinkClick xmlns:r="http://schemas.openxmlformats.org/officeDocument/2006/relationships" r:id="rId14"/>
            <a:extLst>
              <a:ext uri="{FF2B5EF4-FFF2-40B4-BE49-F238E27FC236}">
                <a16:creationId xmlns:a16="http://schemas.microsoft.com/office/drawing/2014/main" id="{6C2C88F0-B092-4DC0-A991-A7926254EA85}"/>
              </a:ext>
            </a:extLst>
          </xdr:cNvPr>
          <xdr:cNvSpPr txBox="1"/>
        </xdr:nvSpPr>
        <xdr:spPr>
          <a:xfrm>
            <a:off x="487686" y="3521164"/>
            <a:ext cx="1260846" cy="459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100" b="1">
                <a:solidFill>
                  <a:schemeClr val="bg1"/>
                </a:solidFill>
                <a:effectLst/>
                <a:latin typeface="+mn-lt"/>
                <a:ea typeface="+mn-ea"/>
                <a:cs typeface="+mn-cs"/>
              </a:rPr>
              <a:t>Kế</a:t>
            </a:r>
            <a:r>
              <a:rPr lang="en-US" sz="1100" b="1" baseline="0">
                <a:solidFill>
                  <a:schemeClr val="bg1"/>
                </a:solidFill>
                <a:effectLst/>
                <a:latin typeface="+mn-lt"/>
                <a:ea typeface="+mn-ea"/>
                <a:cs typeface="+mn-cs"/>
              </a:rPr>
              <a:t> hoạch </a:t>
            </a:r>
          </a:p>
          <a:p>
            <a:pPr algn="ctr"/>
            <a:r>
              <a:rPr lang="en-US" sz="1100" b="1" baseline="0">
                <a:solidFill>
                  <a:schemeClr val="bg1"/>
                </a:solidFill>
                <a:effectLst/>
                <a:latin typeface="+mn-lt"/>
                <a:ea typeface="+mn-ea"/>
                <a:cs typeface="+mn-cs"/>
              </a:rPr>
              <a:t>thu nhập &amp; chi tiêu</a:t>
            </a:r>
            <a:endParaRPr lang="en-US">
              <a:solidFill>
                <a:schemeClr val="bg1"/>
              </a:solidFill>
              <a:effectLst/>
            </a:endParaRPr>
          </a:p>
        </xdr:txBody>
      </xdr:sp>
      <xdr:sp macro="" textlink="">
        <xdr:nvSpPr>
          <xdr:cNvPr id="35" name="TextBox 34">
            <a:hlinkClick xmlns:r="http://schemas.openxmlformats.org/officeDocument/2006/relationships" r:id="rId15"/>
            <a:extLst>
              <a:ext uri="{FF2B5EF4-FFF2-40B4-BE49-F238E27FC236}">
                <a16:creationId xmlns:a16="http://schemas.microsoft.com/office/drawing/2014/main" id="{E370ADCF-2F74-43C3-8621-F50A51F9B2CD}"/>
              </a:ext>
            </a:extLst>
          </xdr:cNvPr>
          <xdr:cNvSpPr txBox="1"/>
        </xdr:nvSpPr>
        <xdr:spPr>
          <a:xfrm>
            <a:off x="495750" y="413279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a:t>
            </a:r>
            <a:endParaRPr lang="en-US">
              <a:solidFill>
                <a:schemeClr val="bg1"/>
              </a:solidFill>
              <a:effectLst/>
            </a:endParaRPr>
          </a:p>
        </xdr:txBody>
      </xdr:sp>
      <xdr:sp macro="" textlink="">
        <xdr:nvSpPr>
          <xdr:cNvPr id="36" name="TextBox 35">
            <a:hlinkClick xmlns:r="http://schemas.openxmlformats.org/officeDocument/2006/relationships" r:id="rId16"/>
            <a:extLst>
              <a:ext uri="{FF2B5EF4-FFF2-40B4-BE49-F238E27FC236}">
                <a16:creationId xmlns:a16="http://schemas.microsoft.com/office/drawing/2014/main" id="{B917D1FD-CD5E-414E-B9BB-150149C4ABB8}"/>
              </a:ext>
            </a:extLst>
          </xdr:cNvPr>
          <xdr:cNvSpPr txBox="1"/>
        </xdr:nvSpPr>
        <xdr:spPr>
          <a:xfrm>
            <a:off x="495750" y="4633291"/>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2</a:t>
            </a:r>
            <a:endParaRPr lang="en-US">
              <a:solidFill>
                <a:schemeClr val="bg1"/>
              </a:solidFill>
              <a:effectLst/>
            </a:endParaRPr>
          </a:p>
        </xdr:txBody>
      </xdr:sp>
      <xdr:sp macro="" textlink="">
        <xdr:nvSpPr>
          <xdr:cNvPr id="37" name="TextBox 36">
            <a:hlinkClick xmlns:r="http://schemas.openxmlformats.org/officeDocument/2006/relationships" r:id="rId17"/>
            <a:extLst>
              <a:ext uri="{FF2B5EF4-FFF2-40B4-BE49-F238E27FC236}">
                <a16:creationId xmlns:a16="http://schemas.microsoft.com/office/drawing/2014/main" id="{854A687D-CD17-46FB-B8D6-9C7B32AAB228}"/>
              </a:ext>
            </a:extLst>
          </xdr:cNvPr>
          <xdr:cNvSpPr txBox="1"/>
        </xdr:nvSpPr>
        <xdr:spPr>
          <a:xfrm>
            <a:off x="495750" y="5133792"/>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3</a:t>
            </a:r>
            <a:endParaRPr lang="en-US">
              <a:solidFill>
                <a:schemeClr val="bg1"/>
              </a:solidFill>
              <a:effectLst/>
            </a:endParaRPr>
          </a:p>
        </xdr:txBody>
      </xdr:sp>
      <xdr:sp macro="" textlink="">
        <xdr:nvSpPr>
          <xdr:cNvPr id="38" name="TextBox 37">
            <a:hlinkClick xmlns:r="http://schemas.openxmlformats.org/officeDocument/2006/relationships" r:id="rId18"/>
            <a:extLst>
              <a:ext uri="{FF2B5EF4-FFF2-40B4-BE49-F238E27FC236}">
                <a16:creationId xmlns:a16="http://schemas.microsoft.com/office/drawing/2014/main" id="{3A51F6ED-86C0-4A4E-B049-8D9F35C99179}"/>
              </a:ext>
            </a:extLst>
          </xdr:cNvPr>
          <xdr:cNvSpPr txBox="1"/>
        </xdr:nvSpPr>
        <xdr:spPr>
          <a:xfrm>
            <a:off x="495750" y="5634293"/>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4</a:t>
            </a:r>
            <a:endParaRPr lang="en-US">
              <a:solidFill>
                <a:schemeClr val="bg1"/>
              </a:solidFill>
              <a:effectLst/>
            </a:endParaRPr>
          </a:p>
        </xdr:txBody>
      </xdr:sp>
      <xdr:sp macro="" textlink="">
        <xdr:nvSpPr>
          <xdr:cNvPr id="39" name="TextBox 38">
            <a:hlinkClick xmlns:r="http://schemas.openxmlformats.org/officeDocument/2006/relationships" r:id="rId19"/>
            <a:extLst>
              <a:ext uri="{FF2B5EF4-FFF2-40B4-BE49-F238E27FC236}">
                <a16:creationId xmlns:a16="http://schemas.microsoft.com/office/drawing/2014/main" id="{0FDB37D5-8577-4577-9711-204631298639}"/>
              </a:ext>
            </a:extLst>
          </xdr:cNvPr>
          <xdr:cNvSpPr txBox="1"/>
        </xdr:nvSpPr>
        <xdr:spPr>
          <a:xfrm>
            <a:off x="495750" y="6134794"/>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ysClr val="windowText" lastClr="000000"/>
                </a:solidFill>
                <a:effectLst/>
                <a:latin typeface="+mn-lt"/>
                <a:ea typeface="+mn-ea"/>
                <a:cs typeface="+mn-cs"/>
              </a:rPr>
              <a:t>Theo dõi</a:t>
            </a:r>
            <a:r>
              <a:rPr lang="en-US" sz="1100" b="1" baseline="0">
                <a:solidFill>
                  <a:sysClr val="windowText" lastClr="000000"/>
                </a:solidFill>
                <a:effectLst/>
                <a:latin typeface="+mn-lt"/>
                <a:ea typeface="+mn-ea"/>
                <a:cs typeface="+mn-cs"/>
              </a:rPr>
              <a:t> tháng 5</a:t>
            </a:r>
            <a:endParaRPr lang="en-US">
              <a:solidFill>
                <a:sysClr val="windowText" lastClr="000000"/>
              </a:solidFill>
              <a:effectLst/>
            </a:endParaRPr>
          </a:p>
        </xdr:txBody>
      </xdr:sp>
      <xdr:sp macro="" textlink="">
        <xdr:nvSpPr>
          <xdr:cNvPr id="40" name="TextBox 39">
            <a:hlinkClick xmlns:r="http://schemas.openxmlformats.org/officeDocument/2006/relationships" r:id="rId20"/>
            <a:extLst>
              <a:ext uri="{FF2B5EF4-FFF2-40B4-BE49-F238E27FC236}">
                <a16:creationId xmlns:a16="http://schemas.microsoft.com/office/drawing/2014/main" id="{368A79F4-9EBB-442F-999A-C28ED690D854}"/>
              </a:ext>
            </a:extLst>
          </xdr:cNvPr>
          <xdr:cNvSpPr txBox="1"/>
        </xdr:nvSpPr>
        <xdr:spPr>
          <a:xfrm>
            <a:off x="495750" y="6635295"/>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6</a:t>
            </a:r>
            <a:endParaRPr lang="en-US">
              <a:solidFill>
                <a:schemeClr val="bg1"/>
              </a:solidFill>
              <a:effectLst/>
            </a:endParaRPr>
          </a:p>
        </xdr:txBody>
      </xdr:sp>
      <xdr:sp macro="" textlink="">
        <xdr:nvSpPr>
          <xdr:cNvPr id="41" name="TextBox 40">
            <a:hlinkClick xmlns:r="http://schemas.openxmlformats.org/officeDocument/2006/relationships" r:id="rId21"/>
            <a:extLst>
              <a:ext uri="{FF2B5EF4-FFF2-40B4-BE49-F238E27FC236}">
                <a16:creationId xmlns:a16="http://schemas.microsoft.com/office/drawing/2014/main" id="{BCF16249-F1D1-4B2F-97E5-F4ABD5900958}"/>
              </a:ext>
            </a:extLst>
          </xdr:cNvPr>
          <xdr:cNvSpPr txBox="1"/>
        </xdr:nvSpPr>
        <xdr:spPr>
          <a:xfrm>
            <a:off x="495750" y="7135796"/>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7</a:t>
            </a:r>
            <a:endParaRPr lang="en-US">
              <a:solidFill>
                <a:schemeClr val="bg1"/>
              </a:solidFill>
              <a:effectLst/>
            </a:endParaRPr>
          </a:p>
        </xdr:txBody>
      </xdr:sp>
      <xdr:sp macro="" textlink="">
        <xdr:nvSpPr>
          <xdr:cNvPr id="42" name="TextBox 41">
            <a:hlinkClick xmlns:r="http://schemas.openxmlformats.org/officeDocument/2006/relationships" r:id="rId22"/>
            <a:extLst>
              <a:ext uri="{FF2B5EF4-FFF2-40B4-BE49-F238E27FC236}">
                <a16:creationId xmlns:a16="http://schemas.microsoft.com/office/drawing/2014/main" id="{413AE5C7-78BF-45B8-862E-23F287F55D59}"/>
              </a:ext>
            </a:extLst>
          </xdr:cNvPr>
          <xdr:cNvSpPr txBox="1"/>
        </xdr:nvSpPr>
        <xdr:spPr>
          <a:xfrm>
            <a:off x="495750" y="7636297"/>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8</a:t>
            </a:r>
            <a:endParaRPr lang="en-US">
              <a:solidFill>
                <a:schemeClr val="bg1"/>
              </a:solidFill>
              <a:effectLst/>
            </a:endParaRPr>
          </a:p>
        </xdr:txBody>
      </xdr:sp>
      <xdr:sp macro="" textlink="">
        <xdr:nvSpPr>
          <xdr:cNvPr id="43" name="TextBox 42">
            <a:hlinkClick xmlns:r="http://schemas.openxmlformats.org/officeDocument/2006/relationships" r:id="rId23"/>
            <a:extLst>
              <a:ext uri="{FF2B5EF4-FFF2-40B4-BE49-F238E27FC236}">
                <a16:creationId xmlns:a16="http://schemas.microsoft.com/office/drawing/2014/main" id="{7D556C00-A54D-4388-B017-A6FEFC8A0205}"/>
              </a:ext>
            </a:extLst>
          </xdr:cNvPr>
          <xdr:cNvSpPr txBox="1"/>
        </xdr:nvSpPr>
        <xdr:spPr>
          <a:xfrm>
            <a:off x="495750" y="8136798"/>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9</a:t>
            </a:r>
            <a:endParaRPr lang="en-US">
              <a:solidFill>
                <a:schemeClr val="bg1"/>
              </a:solidFill>
              <a:effectLst/>
            </a:endParaRPr>
          </a:p>
        </xdr:txBody>
      </xdr:sp>
      <xdr:sp macro="" textlink="">
        <xdr:nvSpPr>
          <xdr:cNvPr id="44" name="TextBox 43">
            <a:hlinkClick xmlns:r="http://schemas.openxmlformats.org/officeDocument/2006/relationships" r:id="rId24"/>
            <a:extLst>
              <a:ext uri="{FF2B5EF4-FFF2-40B4-BE49-F238E27FC236}">
                <a16:creationId xmlns:a16="http://schemas.microsoft.com/office/drawing/2014/main" id="{9BB84A2E-957D-4712-8C34-8631FEE8CD63}"/>
              </a:ext>
            </a:extLst>
          </xdr:cNvPr>
          <xdr:cNvSpPr txBox="1"/>
        </xdr:nvSpPr>
        <xdr:spPr>
          <a:xfrm>
            <a:off x="495750" y="8637299"/>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10</a:t>
            </a:r>
            <a:endParaRPr lang="en-US">
              <a:solidFill>
                <a:schemeClr val="bg1"/>
              </a:solidFill>
              <a:effectLst/>
            </a:endParaRPr>
          </a:p>
        </xdr:txBody>
      </xdr:sp>
      <xdr:sp macro="" textlink="">
        <xdr:nvSpPr>
          <xdr:cNvPr id="45" name="TextBox 44">
            <a:hlinkClick xmlns:r="http://schemas.openxmlformats.org/officeDocument/2006/relationships" r:id="rId25"/>
            <a:extLst>
              <a:ext uri="{FF2B5EF4-FFF2-40B4-BE49-F238E27FC236}">
                <a16:creationId xmlns:a16="http://schemas.microsoft.com/office/drawing/2014/main" id="{85A50CA5-FF40-4EFA-9A89-AA4FBD718A0A}"/>
              </a:ext>
            </a:extLst>
          </xdr:cNvPr>
          <xdr:cNvSpPr txBox="1"/>
        </xdr:nvSpPr>
        <xdr:spPr>
          <a:xfrm>
            <a:off x="495750" y="913780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11</a:t>
            </a:r>
            <a:endParaRPr lang="en-US">
              <a:solidFill>
                <a:schemeClr val="bg1"/>
              </a:solidFill>
              <a:effectLst/>
            </a:endParaRPr>
          </a:p>
        </xdr:txBody>
      </xdr:sp>
      <xdr:sp macro="" textlink="">
        <xdr:nvSpPr>
          <xdr:cNvPr id="46" name="TextBox 45">
            <a:hlinkClick xmlns:r="http://schemas.openxmlformats.org/officeDocument/2006/relationships" r:id="rId26"/>
            <a:extLst>
              <a:ext uri="{FF2B5EF4-FFF2-40B4-BE49-F238E27FC236}">
                <a16:creationId xmlns:a16="http://schemas.microsoft.com/office/drawing/2014/main" id="{E3CF933C-9E7E-4648-B61E-D4A9780C1B93}"/>
              </a:ext>
            </a:extLst>
          </xdr:cNvPr>
          <xdr:cNvSpPr txBox="1"/>
        </xdr:nvSpPr>
        <xdr:spPr>
          <a:xfrm>
            <a:off x="495750" y="9638301"/>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12</a:t>
            </a:r>
            <a:endParaRPr lang="en-US">
              <a:solidFill>
                <a:schemeClr val="bg1"/>
              </a:solidFill>
              <a:effectLst/>
            </a:endParaRPr>
          </a:p>
        </xdr:txBody>
      </xdr:sp>
      <xdr:sp macro="" textlink="">
        <xdr:nvSpPr>
          <xdr:cNvPr id="47" name="TextBox 46">
            <a:hlinkClick xmlns:r="http://schemas.openxmlformats.org/officeDocument/2006/relationships" r:id="rId27"/>
            <a:extLst>
              <a:ext uri="{FF2B5EF4-FFF2-40B4-BE49-F238E27FC236}">
                <a16:creationId xmlns:a16="http://schemas.microsoft.com/office/drawing/2014/main" id="{3C9674E7-F490-46C9-B89D-71094A48AF09}"/>
              </a:ext>
            </a:extLst>
          </xdr:cNvPr>
          <xdr:cNvSpPr txBox="1"/>
        </xdr:nvSpPr>
        <xdr:spPr>
          <a:xfrm>
            <a:off x="495750" y="1013881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b="1">
                <a:solidFill>
                  <a:schemeClr val="bg1"/>
                </a:solidFill>
                <a:effectLst/>
                <a:latin typeface="+mn-lt"/>
                <a:ea typeface="+mn-ea"/>
                <a:cs typeface="+mn-cs"/>
              </a:rPr>
              <a:t>Bảng</a:t>
            </a:r>
            <a:r>
              <a:rPr lang="en-US" sz="1100" b="1" baseline="0">
                <a:solidFill>
                  <a:schemeClr val="bg1"/>
                </a:solidFill>
                <a:effectLst/>
                <a:latin typeface="+mn-lt"/>
                <a:ea typeface="+mn-ea"/>
                <a:cs typeface="+mn-cs"/>
              </a:rPr>
              <a:t> khảo sát</a:t>
            </a:r>
            <a:endParaRPr lang="en-US">
              <a:solidFill>
                <a:schemeClr val="bg1"/>
              </a:solidFill>
              <a:effectLst/>
            </a:endParaRPr>
          </a:p>
        </xdr:txBody>
      </xdr:sp>
    </xdr:grp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190500</xdr:colOff>
      <xdr:row>0</xdr:row>
      <xdr:rowOff>103688</xdr:rowOff>
    </xdr:from>
    <xdr:to>
      <xdr:col>2</xdr:col>
      <xdr:colOff>472440</xdr:colOff>
      <xdr:row>3</xdr:row>
      <xdr:rowOff>24759</xdr:rowOff>
    </xdr:to>
    <xdr:grpSp>
      <xdr:nvGrpSpPr>
        <xdr:cNvPr id="2" name="Group 1">
          <a:hlinkClick xmlns:r="http://schemas.openxmlformats.org/officeDocument/2006/relationships" r:id="rId1"/>
          <a:extLst>
            <a:ext uri="{FF2B5EF4-FFF2-40B4-BE49-F238E27FC236}">
              <a16:creationId xmlns:a16="http://schemas.microsoft.com/office/drawing/2014/main" id="{6EA15758-6A6B-4D00-9829-5FEA04E3F705}"/>
            </a:ext>
          </a:extLst>
        </xdr:cNvPr>
        <xdr:cNvGrpSpPr/>
      </xdr:nvGrpSpPr>
      <xdr:grpSpPr>
        <a:xfrm>
          <a:off x="190500" y="103688"/>
          <a:ext cx="1591628" cy="486619"/>
          <a:chOff x="190500" y="103688"/>
          <a:chExt cx="1501140" cy="492571"/>
        </a:xfrm>
      </xdr:grpSpPr>
      <xdr:sp macro="" textlink="">
        <xdr:nvSpPr>
          <xdr:cNvPr id="3" name="TextBox 2">
            <a:extLst>
              <a:ext uri="{FF2B5EF4-FFF2-40B4-BE49-F238E27FC236}">
                <a16:creationId xmlns:a16="http://schemas.microsoft.com/office/drawing/2014/main" id="{2C1FB310-24C1-4904-93D8-B123CC7B6E8B}"/>
              </a:ext>
            </a:extLst>
          </xdr:cNvPr>
          <xdr:cNvSpPr txBox="1"/>
        </xdr:nvSpPr>
        <xdr:spPr>
          <a:xfrm>
            <a:off x="457200" y="103688"/>
            <a:ext cx="1234440" cy="4925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300" b="1" baseline="0">
                <a:solidFill>
                  <a:schemeClr val="bg1"/>
                </a:solidFill>
                <a:latin typeface="Roboto" pitchFamily="2" charset="0"/>
                <a:ea typeface="Roboto" pitchFamily="2" charset="0"/>
                <a:cs typeface="Times New Roman" panose="02020603050405020304" pitchFamily="18" charset="0"/>
              </a:rPr>
              <a:t>TÀI CHÍNH</a:t>
            </a:r>
          </a:p>
          <a:p>
            <a:pPr algn="ctr"/>
            <a:r>
              <a:rPr lang="en-US" sz="1300" b="1" baseline="0">
                <a:solidFill>
                  <a:schemeClr val="bg1"/>
                </a:solidFill>
                <a:latin typeface="Roboto" pitchFamily="2" charset="0"/>
                <a:ea typeface="Roboto" pitchFamily="2" charset="0"/>
                <a:cs typeface="Times New Roman" panose="02020603050405020304" pitchFamily="18" charset="0"/>
              </a:rPr>
              <a:t>CÁ NHÂN</a:t>
            </a:r>
            <a:endParaRPr lang="en-US" sz="1300" b="1">
              <a:solidFill>
                <a:schemeClr val="bg1"/>
              </a:solidFill>
              <a:latin typeface="Roboto" pitchFamily="2" charset="0"/>
              <a:ea typeface="Roboto" pitchFamily="2" charset="0"/>
              <a:cs typeface="Times New Roman" panose="02020603050405020304" pitchFamily="18" charset="0"/>
            </a:endParaRPr>
          </a:p>
        </xdr:txBody>
      </xdr:sp>
      <xdr:pic>
        <xdr:nvPicPr>
          <xdr:cNvPr id="4" name="Graphic 3" descr="Diamond">
            <a:extLst>
              <a:ext uri="{FF2B5EF4-FFF2-40B4-BE49-F238E27FC236}">
                <a16:creationId xmlns:a16="http://schemas.microsoft.com/office/drawing/2014/main" id="{3D372929-814F-458D-BCD1-AE3F296F68E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90500" y="167093"/>
            <a:ext cx="365760" cy="365760"/>
          </a:xfrm>
          <a:prstGeom prst="rect">
            <a:avLst/>
          </a:prstGeom>
        </xdr:spPr>
      </xdr:pic>
    </xdr:grpSp>
    <xdr:clientData/>
  </xdr:twoCellAnchor>
  <xdr:twoCellAnchor>
    <xdr:from>
      <xdr:col>9</xdr:col>
      <xdr:colOff>321468</xdr:colOff>
      <xdr:row>7</xdr:row>
      <xdr:rowOff>170258</xdr:rowOff>
    </xdr:from>
    <xdr:to>
      <xdr:col>23</xdr:col>
      <xdr:colOff>0</xdr:colOff>
      <xdr:row>22</xdr:row>
      <xdr:rowOff>35719</xdr:rowOff>
    </xdr:to>
    <xdr:graphicFrame macro="">
      <xdr:nvGraphicFramePr>
        <xdr:cNvPr id="7" name="Chart 6">
          <a:extLst>
            <a:ext uri="{FF2B5EF4-FFF2-40B4-BE49-F238E27FC236}">
              <a16:creationId xmlns:a16="http://schemas.microsoft.com/office/drawing/2014/main" id="{ECC14932-1B34-4ADE-ADE0-7BE135F81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345278</xdr:colOff>
      <xdr:row>4</xdr:row>
      <xdr:rowOff>0</xdr:rowOff>
    </xdr:from>
    <xdr:to>
      <xdr:col>3</xdr:col>
      <xdr:colOff>9210</xdr:colOff>
      <xdr:row>57</xdr:row>
      <xdr:rowOff>43619</xdr:rowOff>
    </xdr:to>
    <xdr:grpSp>
      <xdr:nvGrpSpPr>
        <xdr:cNvPr id="8" name="Group 7">
          <a:extLst>
            <a:ext uri="{FF2B5EF4-FFF2-40B4-BE49-F238E27FC236}">
              <a16:creationId xmlns:a16="http://schemas.microsoft.com/office/drawing/2014/main" id="{BDEDDECF-6A0B-4F28-94DF-5D872F3F9347}"/>
            </a:ext>
          </a:extLst>
        </xdr:cNvPr>
        <xdr:cNvGrpSpPr/>
      </xdr:nvGrpSpPr>
      <xdr:grpSpPr>
        <a:xfrm>
          <a:off x="345278" y="750094"/>
          <a:ext cx="1628463" cy="10134166"/>
          <a:chOff x="350042" y="654846"/>
          <a:chExt cx="1485588" cy="10223462"/>
        </a:xfrm>
      </xdr:grpSpPr>
      <xdr:pic>
        <xdr:nvPicPr>
          <xdr:cNvPr id="9" name="Graphic 8">
            <a:extLst>
              <a:ext uri="{FF2B5EF4-FFF2-40B4-BE49-F238E27FC236}">
                <a16:creationId xmlns:a16="http://schemas.microsoft.com/office/drawing/2014/main" id="{B5582A4F-21C7-453C-810D-CD9A897328FA}"/>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654846"/>
            <a:ext cx="1485588" cy="1214436"/>
          </a:xfrm>
          <a:prstGeom prst="rect">
            <a:avLst/>
          </a:prstGeom>
        </xdr:spPr>
      </xdr:pic>
      <xdr:pic>
        <xdr:nvPicPr>
          <xdr:cNvPr id="10" name="Graphic 9">
            <a:extLst>
              <a:ext uri="{FF2B5EF4-FFF2-40B4-BE49-F238E27FC236}">
                <a16:creationId xmlns:a16="http://schemas.microsoft.com/office/drawing/2014/main" id="{57990A94-A56F-4942-AEFF-470BFC6FEA1D}"/>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1155347"/>
            <a:ext cx="1485588" cy="1214436"/>
          </a:xfrm>
          <a:prstGeom prst="rect">
            <a:avLst/>
          </a:prstGeom>
        </xdr:spPr>
      </xdr:pic>
      <xdr:pic>
        <xdr:nvPicPr>
          <xdr:cNvPr id="11" name="Graphic 10">
            <a:extLst>
              <a:ext uri="{FF2B5EF4-FFF2-40B4-BE49-F238E27FC236}">
                <a16:creationId xmlns:a16="http://schemas.microsoft.com/office/drawing/2014/main" id="{039608E5-84B3-4C21-87EA-F638B7045447}"/>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1655848"/>
            <a:ext cx="1485588" cy="1214436"/>
          </a:xfrm>
          <a:prstGeom prst="rect">
            <a:avLst/>
          </a:prstGeom>
        </xdr:spPr>
      </xdr:pic>
      <xdr:pic>
        <xdr:nvPicPr>
          <xdr:cNvPr id="12" name="Graphic 11">
            <a:extLst>
              <a:ext uri="{FF2B5EF4-FFF2-40B4-BE49-F238E27FC236}">
                <a16:creationId xmlns:a16="http://schemas.microsoft.com/office/drawing/2014/main" id="{BBCBDBDF-B7C4-4578-8453-0F7334A1515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2156349"/>
            <a:ext cx="1485588" cy="1214436"/>
          </a:xfrm>
          <a:prstGeom prst="rect">
            <a:avLst/>
          </a:prstGeom>
        </xdr:spPr>
      </xdr:pic>
      <xdr:pic>
        <xdr:nvPicPr>
          <xdr:cNvPr id="13" name="Graphic 12">
            <a:extLst>
              <a:ext uri="{FF2B5EF4-FFF2-40B4-BE49-F238E27FC236}">
                <a16:creationId xmlns:a16="http://schemas.microsoft.com/office/drawing/2014/main" id="{201E2413-38AF-4DB3-826A-462C693FF1C3}"/>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2656850"/>
            <a:ext cx="1485588" cy="1214436"/>
          </a:xfrm>
          <a:prstGeom prst="rect">
            <a:avLst/>
          </a:prstGeom>
        </xdr:spPr>
      </xdr:pic>
      <xdr:pic>
        <xdr:nvPicPr>
          <xdr:cNvPr id="14" name="Graphic 13">
            <a:extLst>
              <a:ext uri="{FF2B5EF4-FFF2-40B4-BE49-F238E27FC236}">
                <a16:creationId xmlns:a16="http://schemas.microsoft.com/office/drawing/2014/main" id="{6F736B71-ADF0-4249-A710-24A31BFCD154}"/>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3157351"/>
            <a:ext cx="1485588" cy="1214436"/>
          </a:xfrm>
          <a:prstGeom prst="rect">
            <a:avLst/>
          </a:prstGeom>
        </xdr:spPr>
      </xdr:pic>
      <xdr:pic>
        <xdr:nvPicPr>
          <xdr:cNvPr id="15" name="Graphic 14">
            <a:extLst>
              <a:ext uri="{FF2B5EF4-FFF2-40B4-BE49-F238E27FC236}">
                <a16:creationId xmlns:a16="http://schemas.microsoft.com/office/drawing/2014/main" id="{63F1CDA8-0986-4125-8167-3A5A02AE248E}"/>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3657852"/>
            <a:ext cx="1485588" cy="1214436"/>
          </a:xfrm>
          <a:prstGeom prst="rect">
            <a:avLst/>
          </a:prstGeom>
        </xdr:spPr>
      </xdr:pic>
      <xdr:pic>
        <xdr:nvPicPr>
          <xdr:cNvPr id="16" name="Graphic 15">
            <a:extLst>
              <a:ext uri="{FF2B5EF4-FFF2-40B4-BE49-F238E27FC236}">
                <a16:creationId xmlns:a16="http://schemas.microsoft.com/office/drawing/2014/main" id="{62F62C33-2957-461E-B13E-4E27D0FF8C29}"/>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4158353"/>
            <a:ext cx="1485588" cy="1214436"/>
          </a:xfrm>
          <a:prstGeom prst="rect">
            <a:avLst/>
          </a:prstGeom>
        </xdr:spPr>
      </xdr:pic>
      <xdr:pic>
        <xdr:nvPicPr>
          <xdr:cNvPr id="17" name="Graphic 16">
            <a:extLst>
              <a:ext uri="{FF2B5EF4-FFF2-40B4-BE49-F238E27FC236}">
                <a16:creationId xmlns:a16="http://schemas.microsoft.com/office/drawing/2014/main" id="{5C50783B-D092-4298-AC3F-ACC9FB0B7E7B}"/>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4658854"/>
            <a:ext cx="1485588" cy="1214436"/>
          </a:xfrm>
          <a:prstGeom prst="rect">
            <a:avLst/>
          </a:prstGeom>
        </xdr:spPr>
      </xdr:pic>
      <xdr:pic>
        <xdr:nvPicPr>
          <xdr:cNvPr id="18" name="Graphic 17">
            <a:extLst>
              <a:ext uri="{FF2B5EF4-FFF2-40B4-BE49-F238E27FC236}">
                <a16:creationId xmlns:a16="http://schemas.microsoft.com/office/drawing/2014/main" id="{16E25C29-2807-42C8-A447-3A7BE8F0FB88}"/>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5159355"/>
            <a:ext cx="1485588" cy="1214436"/>
          </a:xfrm>
          <a:prstGeom prst="rect">
            <a:avLst/>
          </a:prstGeom>
        </xdr:spPr>
      </xdr:pic>
      <xdr:pic>
        <xdr:nvPicPr>
          <xdr:cNvPr id="19" name="Graphic 18">
            <a:extLst>
              <a:ext uri="{FF2B5EF4-FFF2-40B4-BE49-F238E27FC236}">
                <a16:creationId xmlns:a16="http://schemas.microsoft.com/office/drawing/2014/main" id="{D6D555F4-CF33-4FB2-A7E8-5B0CA43C633B}"/>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5659856"/>
            <a:ext cx="1485588" cy="1214436"/>
          </a:xfrm>
          <a:prstGeom prst="rect">
            <a:avLst/>
          </a:prstGeom>
        </xdr:spPr>
      </xdr:pic>
      <xdr:pic>
        <xdr:nvPicPr>
          <xdr:cNvPr id="21" name="Graphic 20">
            <a:extLst>
              <a:ext uri="{FF2B5EF4-FFF2-40B4-BE49-F238E27FC236}">
                <a16:creationId xmlns:a16="http://schemas.microsoft.com/office/drawing/2014/main" id="{1E439ED0-44F5-4E86-942C-4F4BC82AB366}"/>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6660858"/>
            <a:ext cx="1485588" cy="1214436"/>
          </a:xfrm>
          <a:prstGeom prst="rect">
            <a:avLst/>
          </a:prstGeom>
        </xdr:spPr>
      </xdr:pic>
      <xdr:pic>
        <xdr:nvPicPr>
          <xdr:cNvPr id="20" name="Graphic 19">
            <a:extLst>
              <a:ext uri="{FF2B5EF4-FFF2-40B4-BE49-F238E27FC236}">
                <a16:creationId xmlns:a16="http://schemas.microsoft.com/office/drawing/2014/main" id="{F9F1FF23-44A3-42A5-94FA-A895897C150D}"/>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rcRect r="28388"/>
          <a:stretch/>
        </xdr:blipFill>
        <xdr:spPr>
          <a:xfrm>
            <a:off x="350042" y="6160357"/>
            <a:ext cx="1485588" cy="1214436"/>
          </a:xfrm>
          <a:prstGeom prst="rect">
            <a:avLst/>
          </a:prstGeom>
        </xdr:spPr>
      </xdr:pic>
      <xdr:pic>
        <xdr:nvPicPr>
          <xdr:cNvPr id="22" name="Graphic 21">
            <a:extLst>
              <a:ext uri="{FF2B5EF4-FFF2-40B4-BE49-F238E27FC236}">
                <a16:creationId xmlns:a16="http://schemas.microsoft.com/office/drawing/2014/main" id="{16E8243E-4364-4F6B-8FB9-34FDF500161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7161359"/>
            <a:ext cx="1485588" cy="1214436"/>
          </a:xfrm>
          <a:prstGeom prst="rect">
            <a:avLst/>
          </a:prstGeom>
        </xdr:spPr>
      </xdr:pic>
      <xdr:pic>
        <xdr:nvPicPr>
          <xdr:cNvPr id="23" name="Graphic 22">
            <a:extLst>
              <a:ext uri="{FF2B5EF4-FFF2-40B4-BE49-F238E27FC236}">
                <a16:creationId xmlns:a16="http://schemas.microsoft.com/office/drawing/2014/main" id="{040134E7-401B-4EC6-8D04-1EFB6BBB1B86}"/>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7661860"/>
            <a:ext cx="1485588" cy="1214436"/>
          </a:xfrm>
          <a:prstGeom prst="rect">
            <a:avLst/>
          </a:prstGeom>
        </xdr:spPr>
      </xdr:pic>
      <xdr:pic>
        <xdr:nvPicPr>
          <xdr:cNvPr id="24" name="Graphic 23">
            <a:extLst>
              <a:ext uri="{FF2B5EF4-FFF2-40B4-BE49-F238E27FC236}">
                <a16:creationId xmlns:a16="http://schemas.microsoft.com/office/drawing/2014/main" id="{D14D32CC-521D-4FCD-AC13-DAA9B8B937D7}"/>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8162361"/>
            <a:ext cx="1485588" cy="1214436"/>
          </a:xfrm>
          <a:prstGeom prst="rect">
            <a:avLst/>
          </a:prstGeom>
        </xdr:spPr>
      </xdr:pic>
      <xdr:pic>
        <xdr:nvPicPr>
          <xdr:cNvPr id="25" name="Graphic 24">
            <a:extLst>
              <a:ext uri="{FF2B5EF4-FFF2-40B4-BE49-F238E27FC236}">
                <a16:creationId xmlns:a16="http://schemas.microsoft.com/office/drawing/2014/main" id="{CC3B7B90-B15D-46B6-800E-ADE3F52805F6}"/>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8662862"/>
            <a:ext cx="1485588" cy="1214436"/>
          </a:xfrm>
          <a:prstGeom prst="rect">
            <a:avLst/>
          </a:prstGeom>
        </xdr:spPr>
      </xdr:pic>
      <xdr:pic>
        <xdr:nvPicPr>
          <xdr:cNvPr id="26" name="Graphic 25">
            <a:extLst>
              <a:ext uri="{FF2B5EF4-FFF2-40B4-BE49-F238E27FC236}">
                <a16:creationId xmlns:a16="http://schemas.microsoft.com/office/drawing/2014/main" id="{1EC3FFA4-C0CE-4BAD-8DDB-43DB746AF35D}"/>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9163363"/>
            <a:ext cx="1485588" cy="1214436"/>
          </a:xfrm>
          <a:prstGeom prst="rect">
            <a:avLst/>
          </a:prstGeom>
        </xdr:spPr>
      </xdr:pic>
      <xdr:pic>
        <xdr:nvPicPr>
          <xdr:cNvPr id="27" name="Graphic 26">
            <a:extLst>
              <a:ext uri="{FF2B5EF4-FFF2-40B4-BE49-F238E27FC236}">
                <a16:creationId xmlns:a16="http://schemas.microsoft.com/office/drawing/2014/main" id="{4C9D0D46-017D-4E73-8CEA-E5CC6A7A83E1}"/>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9663872"/>
            <a:ext cx="1485588" cy="1214436"/>
          </a:xfrm>
          <a:prstGeom prst="rect">
            <a:avLst/>
          </a:prstGeom>
        </xdr:spPr>
      </xdr:pic>
    </xdr:grpSp>
    <xdr:clientData/>
  </xdr:twoCellAnchor>
  <xdr:twoCellAnchor>
    <xdr:from>
      <xdr:col>0</xdr:col>
      <xdr:colOff>453617</xdr:colOff>
      <xdr:row>6</xdr:row>
      <xdr:rowOff>93938</xdr:rowOff>
    </xdr:from>
    <xdr:to>
      <xdr:col>2</xdr:col>
      <xdr:colOff>508089</xdr:colOff>
      <xdr:row>54</xdr:row>
      <xdr:rowOff>152087</xdr:rowOff>
    </xdr:to>
    <xdr:grpSp>
      <xdr:nvGrpSpPr>
        <xdr:cNvPr id="28" name="Group 27">
          <a:extLst>
            <a:ext uri="{FF2B5EF4-FFF2-40B4-BE49-F238E27FC236}">
              <a16:creationId xmlns:a16="http://schemas.microsoft.com/office/drawing/2014/main" id="{1B11CAD5-F127-4608-ACEF-508EB253772E}"/>
            </a:ext>
          </a:extLst>
        </xdr:cNvPr>
        <xdr:cNvGrpSpPr/>
      </xdr:nvGrpSpPr>
      <xdr:grpSpPr>
        <a:xfrm>
          <a:off x="453617" y="1225032"/>
          <a:ext cx="1364160" cy="9184290"/>
          <a:chOff x="487686" y="1129784"/>
          <a:chExt cx="1268910" cy="9273586"/>
        </a:xfrm>
      </xdr:grpSpPr>
      <xdr:sp macro="" textlink="">
        <xdr:nvSpPr>
          <xdr:cNvPr id="29" name="TextBox 28">
            <a:hlinkClick xmlns:r="http://schemas.openxmlformats.org/officeDocument/2006/relationships" r:id="rId9"/>
            <a:extLst>
              <a:ext uri="{FF2B5EF4-FFF2-40B4-BE49-F238E27FC236}">
                <a16:creationId xmlns:a16="http://schemas.microsoft.com/office/drawing/2014/main" id="{78D03E03-F2F2-4AAE-B8F5-C904D7431267}"/>
              </a:ext>
            </a:extLst>
          </xdr:cNvPr>
          <xdr:cNvSpPr txBox="1"/>
        </xdr:nvSpPr>
        <xdr:spPr>
          <a:xfrm>
            <a:off x="784825" y="1129784"/>
            <a:ext cx="67317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Từ</a:t>
            </a:r>
            <a:r>
              <a:rPr lang="en-US" sz="1100" b="1" baseline="0">
                <a:solidFill>
                  <a:schemeClr val="bg1"/>
                </a:solidFill>
              </a:rPr>
              <a:t> khóa</a:t>
            </a:r>
            <a:endParaRPr lang="en-US" sz="1100" b="1">
              <a:solidFill>
                <a:schemeClr val="bg1"/>
              </a:solidFill>
            </a:endParaRPr>
          </a:p>
        </xdr:txBody>
      </xdr:sp>
      <xdr:sp macro="" textlink="">
        <xdr:nvSpPr>
          <xdr:cNvPr id="30" name="TextBox 29">
            <a:hlinkClick xmlns:r="http://schemas.openxmlformats.org/officeDocument/2006/relationships" r:id="rId10"/>
            <a:extLst>
              <a:ext uri="{FF2B5EF4-FFF2-40B4-BE49-F238E27FC236}">
                <a16:creationId xmlns:a16="http://schemas.microsoft.com/office/drawing/2014/main" id="{01FFD9C6-0B47-4386-8375-D14DB27EC59D}"/>
              </a:ext>
            </a:extLst>
          </xdr:cNvPr>
          <xdr:cNvSpPr txBox="1"/>
        </xdr:nvSpPr>
        <xdr:spPr>
          <a:xfrm>
            <a:off x="708434" y="1630285"/>
            <a:ext cx="82595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Dashboard</a:t>
            </a:r>
          </a:p>
        </xdr:txBody>
      </xdr:sp>
      <xdr:sp macro="" textlink="">
        <xdr:nvSpPr>
          <xdr:cNvPr id="31" name="TextBox 30">
            <a:hlinkClick xmlns:r="http://schemas.openxmlformats.org/officeDocument/2006/relationships" r:id="rId11"/>
            <a:extLst>
              <a:ext uri="{FF2B5EF4-FFF2-40B4-BE49-F238E27FC236}">
                <a16:creationId xmlns:a16="http://schemas.microsoft.com/office/drawing/2014/main" id="{3DEB5830-8D45-4E8A-A12F-5BD2D98C932C}"/>
              </a:ext>
            </a:extLst>
          </xdr:cNvPr>
          <xdr:cNvSpPr txBox="1"/>
        </xdr:nvSpPr>
        <xdr:spPr>
          <a:xfrm>
            <a:off x="495750" y="2130786"/>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Mục</a:t>
            </a:r>
            <a:r>
              <a:rPr lang="en-US" sz="1100" b="1" baseline="0">
                <a:solidFill>
                  <a:schemeClr val="bg1"/>
                </a:solidFill>
                <a:effectLst/>
                <a:latin typeface="+mn-lt"/>
                <a:ea typeface="+mn-ea"/>
                <a:cs typeface="+mn-cs"/>
              </a:rPr>
              <a:t> tiêu bản thân</a:t>
            </a:r>
            <a:endParaRPr lang="en-US">
              <a:solidFill>
                <a:schemeClr val="bg1"/>
              </a:solidFill>
              <a:effectLst/>
            </a:endParaRPr>
          </a:p>
        </xdr:txBody>
      </xdr:sp>
      <xdr:sp macro="" textlink="">
        <xdr:nvSpPr>
          <xdr:cNvPr id="32" name="TextBox 31">
            <a:hlinkClick xmlns:r="http://schemas.openxmlformats.org/officeDocument/2006/relationships" r:id="rId12"/>
            <a:extLst>
              <a:ext uri="{FF2B5EF4-FFF2-40B4-BE49-F238E27FC236}">
                <a16:creationId xmlns:a16="http://schemas.microsoft.com/office/drawing/2014/main" id="{08A4007E-0067-4B29-BAB8-CC02938F5407}"/>
              </a:ext>
            </a:extLst>
          </xdr:cNvPr>
          <xdr:cNvSpPr txBox="1"/>
        </xdr:nvSpPr>
        <xdr:spPr>
          <a:xfrm>
            <a:off x="495750" y="2631287"/>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Mục</a:t>
            </a:r>
            <a:r>
              <a:rPr lang="en-US" sz="1100" b="1" baseline="0">
                <a:solidFill>
                  <a:schemeClr val="bg1"/>
                </a:solidFill>
                <a:effectLst/>
                <a:latin typeface="+mn-lt"/>
                <a:ea typeface="+mn-ea"/>
                <a:cs typeface="+mn-cs"/>
              </a:rPr>
              <a:t> tiêu tài chính</a:t>
            </a:r>
            <a:endParaRPr lang="en-US">
              <a:solidFill>
                <a:schemeClr val="bg1"/>
              </a:solidFill>
              <a:effectLst/>
            </a:endParaRPr>
          </a:p>
        </xdr:txBody>
      </xdr:sp>
      <xdr:sp macro="" textlink="">
        <xdr:nvSpPr>
          <xdr:cNvPr id="33" name="TextBox 32">
            <a:hlinkClick xmlns:r="http://schemas.openxmlformats.org/officeDocument/2006/relationships" r:id="rId13"/>
            <a:extLst>
              <a:ext uri="{FF2B5EF4-FFF2-40B4-BE49-F238E27FC236}">
                <a16:creationId xmlns:a16="http://schemas.microsoft.com/office/drawing/2014/main" id="{84F10C13-89C5-4D39-83AF-F4C50748841D}"/>
              </a:ext>
            </a:extLst>
          </xdr:cNvPr>
          <xdr:cNvSpPr txBox="1"/>
        </xdr:nvSpPr>
        <xdr:spPr>
          <a:xfrm>
            <a:off x="487686" y="3020663"/>
            <a:ext cx="1260846" cy="459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b="1">
                <a:solidFill>
                  <a:schemeClr val="bg1"/>
                </a:solidFill>
                <a:effectLst/>
                <a:latin typeface="+mn-lt"/>
                <a:ea typeface="+mn-ea"/>
                <a:cs typeface="+mn-cs"/>
              </a:rPr>
              <a:t>Cân</a:t>
            </a:r>
            <a:r>
              <a:rPr lang="en-US" sz="1100" b="1" baseline="0">
                <a:solidFill>
                  <a:schemeClr val="bg1"/>
                </a:solidFill>
                <a:effectLst/>
                <a:latin typeface="+mn-lt"/>
                <a:ea typeface="+mn-ea"/>
                <a:cs typeface="+mn-cs"/>
              </a:rPr>
              <a:t> đối</a:t>
            </a:r>
            <a:endParaRPr lang="en-US">
              <a:solidFill>
                <a:schemeClr val="bg1"/>
              </a:solidFill>
              <a:effectLst/>
            </a:endParaRPr>
          </a:p>
          <a:p>
            <a:pPr algn="ctr"/>
            <a:r>
              <a:rPr lang="en-US" sz="1100" b="1" baseline="0">
                <a:solidFill>
                  <a:schemeClr val="bg1"/>
                </a:solidFill>
                <a:effectLst/>
                <a:latin typeface="+mn-lt"/>
                <a:ea typeface="+mn-ea"/>
                <a:cs typeface="+mn-cs"/>
              </a:rPr>
              <a:t>l</a:t>
            </a:r>
            <a:r>
              <a:rPr lang="en-US" sz="1100" b="1">
                <a:solidFill>
                  <a:schemeClr val="bg1"/>
                </a:solidFill>
                <a:effectLst/>
                <a:latin typeface="+mn-lt"/>
                <a:ea typeface="+mn-ea"/>
                <a:cs typeface="+mn-cs"/>
              </a:rPr>
              <a:t>ộ</a:t>
            </a:r>
            <a:r>
              <a:rPr lang="en-US" sz="1100" b="1" baseline="0">
                <a:solidFill>
                  <a:schemeClr val="bg1"/>
                </a:solidFill>
                <a:effectLst/>
                <a:latin typeface="+mn-lt"/>
                <a:ea typeface="+mn-ea"/>
                <a:cs typeface="+mn-cs"/>
              </a:rPr>
              <a:t> trình nghề nghiệp</a:t>
            </a:r>
            <a:endParaRPr lang="en-US">
              <a:solidFill>
                <a:schemeClr val="bg1"/>
              </a:solidFill>
              <a:effectLst/>
            </a:endParaRPr>
          </a:p>
        </xdr:txBody>
      </xdr:sp>
      <xdr:sp macro="" textlink="">
        <xdr:nvSpPr>
          <xdr:cNvPr id="34" name="TextBox 33">
            <a:hlinkClick xmlns:r="http://schemas.openxmlformats.org/officeDocument/2006/relationships" r:id="rId14"/>
            <a:extLst>
              <a:ext uri="{FF2B5EF4-FFF2-40B4-BE49-F238E27FC236}">
                <a16:creationId xmlns:a16="http://schemas.microsoft.com/office/drawing/2014/main" id="{B1B55C26-ACEA-49C3-B3FF-1ABB64A76B11}"/>
              </a:ext>
            </a:extLst>
          </xdr:cNvPr>
          <xdr:cNvSpPr txBox="1"/>
        </xdr:nvSpPr>
        <xdr:spPr>
          <a:xfrm>
            <a:off x="487686" y="3521164"/>
            <a:ext cx="1260846" cy="459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100" b="1">
                <a:solidFill>
                  <a:schemeClr val="bg1"/>
                </a:solidFill>
                <a:effectLst/>
                <a:latin typeface="+mn-lt"/>
                <a:ea typeface="+mn-ea"/>
                <a:cs typeface="+mn-cs"/>
              </a:rPr>
              <a:t>Kế</a:t>
            </a:r>
            <a:r>
              <a:rPr lang="en-US" sz="1100" b="1" baseline="0">
                <a:solidFill>
                  <a:schemeClr val="bg1"/>
                </a:solidFill>
                <a:effectLst/>
                <a:latin typeface="+mn-lt"/>
                <a:ea typeface="+mn-ea"/>
                <a:cs typeface="+mn-cs"/>
              </a:rPr>
              <a:t> hoạch </a:t>
            </a:r>
          </a:p>
          <a:p>
            <a:pPr algn="ctr"/>
            <a:r>
              <a:rPr lang="en-US" sz="1100" b="1" baseline="0">
                <a:solidFill>
                  <a:schemeClr val="bg1"/>
                </a:solidFill>
                <a:effectLst/>
                <a:latin typeface="+mn-lt"/>
                <a:ea typeface="+mn-ea"/>
                <a:cs typeface="+mn-cs"/>
              </a:rPr>
              <a:t>thu nhập &amp; chi tiêu</a:t>
            </a:r>
            <a:endParaRPr lang="en-US">
              <a:solidFill>
                <a:schemeClr val="bg1"/>
              </a:solidFill>
              <a:effectLst/>
            </a:endParaRPr>
          </a:p>
        </xdr:txBody>
      </xdr:sp>
      <xdr:sp macro="" textlink="">
        <xdr:nvSpPr>
          <xdr:cNvPr id="35" name="TextBox 34">
            <a:hlinkClick xmlns:r="http://schemas.openxmlformats.org/officeDocument/2006/relationships" r:id="rId15"/>
            <a:extLst>
              <a:ext uri="{FF2B5EF4-FFF2-40B4-BE49-F238E27FC236}">
                <a16:creationId xmlns:a16="http://schemas.microsoft.com/office/drawing/2014/main" id="{D93074B8-C6E7-4DEF-A10A-53889CC5E977}"/>
              </a:ext>
            </a:extLst>
          </xdr:cNvPr>
          <xdr:cNvSpPr txBox="1"/>
        </xdr:nvSpPr>
        <xdr:spPr>
          <a:xfrm>
            <a:off x="495750" y="413279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a:t>
            </a:r>
            <a:endParaRPr lang="en-US">
              <a:solidFill>
                <a:schemeClr val="bg1"/>
              </a:solidFill>
              <a:effectLst/>
            </a:endParaRPr>
          </a:p>
        </xdr:txBody>
      </xdr:sp>
      <xdr:sp macro="" textlink="">
        <xdr:nvSpPr>
          <xdr:cNvPr id="36" name="TextBox 35">
            <a:hlinkClick xmlns:r="http://schemas.openxmlformats.org/officeDocument/2006/relationships" r:id="rId16"/>
            <a:extLst>
              <a:ext uri="{FF2B5EF4-FFF2-40B4-BE49-F238E27FC236}">
                <a16:creationId xmlns:a16="http://schemas.microsoft.com/office/drawing/2014/main" id="{A47E6C79-A12E-4574-A65C-9E9842D07487}"/>
              </a:ext>
            </a:extLst>
          </xdr:cNvPr>
          <xdr:cNvSpPr txBox="1"/>
        </xdr:nvSpPr>
        <xdr:spPr>
          <a:xfrm>
            <a:off x="495750" y="4633291"/>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2</a:t>
            </a:r>
            <a:endParaRPr lang="en-US">
              <a:solidFill>
                <a:schemeClr val="bg1"/>
              </a:solidFill>
              <a:effectLst/>
            </a:endParaRPr>
          </a:p>
        </xdr:txBody>
      </xdr:sp>
      <xdr:sp macro="" textlink="">
        <xdr:nvSpPr>
          <xdr:cNvPr id="37" name="TextBox 36">
            <a:hlinkClick xmlns:r="http://schemas.openxmlformats.org/officeDocument/2006/relationships" r:id="rId17"/>
            <a:extLst>
              <a:ext uri="{FF2B5EF4-FFF2-40B4-BE49-F238E27FC236}">
                <a16:creationId xmlns:a16="http://schemas.microsoft.com/office/drawing/2014/main" id="{007BF569-0FD4-4A1A-A006-8155D1F3AADC}"/>
              </a:ext>
            </a:extLst>
          </xdr:cNvPr>
          <xdr:cNvSpPr txBox="1"/>
        </xdr:nvSpPr>
        <xdr:spPr>
          <a:xfrm>
            <a:off x="495750" y="5133792"/>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3</a:t>
            </a:r>
            <a:endParaRPr lang="en-US">
              <a:solidFill>
                <a:schemeClr val="bg1"/>
              </a:solidFill>
              <a:effectLst/>
            </a:endParaRPr>
          </a:p>
        </xdr:txBody>
      </xdr:sp>
      <xdr:sp macro="" textlink="">
        <xdr:nvSpPr>
          <xdr:cNvPr id="38" name="TextBox 37">
            <a:hlinkClick xmlns:r="http://schemas.openxmlformats.org/officeDocument/2006/relationships" r:id="rId18"/>
            <a:extLst>
              <a:ext uri="{FF2B5EF4-FFF2-40B4-BE49-F238E27FC236}">
                <a16:creationId xmlns:a16="http://schemas.microsoft.com/office/drawing/2014/main" id="{8AB4BA6C-71BB-4B04-B856-4C2AE3A2D411}"/>
              </a:ext>
            </a:extLst>
          </xdr:cNvPr>
          <xdr:cNvSpPr txBox="1"/>
        </xdr:nvSpPr>
        <xdr:spPr>
          <a:xfrm>
            <a:off x="495750" y="5634293"/>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4</a:t>
            </a:r>
            <a:endParaRPr lang="en-US">
              <a:solidFill>
                <a:schemeClr val="bg1"/>
              </a:solidFill>
              <a:effectLst/>
            </a:endParaRPr>
          </a:p>
        </xdr:txBody>
      </xdr:sp>
      <xdr:sp macro="" textlink="">
        <xdr:nvSpPr>
          <xdr:cNvPr id="39" name="TextBox 38">
            <a:hlinkClick xmlns:r="http://schemas.openxmlformats.org/officeDocument/2006/relationships" r:id="rId19"/>
            <a:extLst>
              <a:ext uri="{FF2B5EF4-FFF2-40B4-BE49-F238E27FC236}">
                <a16:creationId xmlns:a16="http://schemas.microsoft.com/office/drawing/2014/main" id="{A33BCE09-4EF2-4D1B-84E9-8896DD39B4E9}"/>
              </a:ext>
            </a:extLst>
          </xdr:cNvPr>
          <xdr:cNvSpPr txBox="1"/>
        </xdr:nvSpPr>
        <xdr:spPr>
          <a:xfrm>
            <a:off x="495750" y="6134794"/>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5</a:t>
            </a:r>
            <a:endParaRPr lang="en-US">
              <a:solidFill>
                <a:schemeClr val="bg1"/>
              </a:solidFill>
              <a:effectLst/>
            </a:endParaRPr>
          </a:p>
        </xdr:txBody>
      </xdr:sp>
      <xdr:sp macro="" textlink="">
        <xdr:nvSpPr>
          <xdr:cNvPr id="40" name="TextBox 39">
            <a:hlinkClick xmlns:r="http://schemas.openxmlformats.org/officeDocument/2006/relationships" r:id="rId20"/>
            <a:extLst>
              <a:ext uri="{FF2B5EF4-FFF2-40B4-BE49-F238E27FC236}">
                <a16:creationId xmlns:a16="http://schemas.microsoft.com/office/drawing/2014/main" id="{7DF9DAFF-09F2-4F15-AD99-54D3DF62864E}"/>
              </a:ext>
            </a:extLst>
          </xdr:cNvPr>
          <xdr:cNvSpPr txBox="1"/>
        </xdr:nvSpPr>
        <xdr:spPr>
          <a:xfrm>
            <a:off x="495750" y="6635295"/>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ysClr val="windowText" lastClr="000000"/>
                </a:solidFill>
                <a:effectLst/>
                <a:latin typeface="+mn-lt"/>
                <a:ea typeface="+mn-ea"/>
                <a:cs typeface="+mn-cs"/>
              </a:rPr>
              <a:t>Theo dõi</a:t>
            </a:r>
            <a:r>
              <a:rPr lang="en-US" sz="1100" b="1" baseline="0">
                <a:solidFill>
                  <a:sysClr val="windowText" lastClr="000000"/>
                </a:solidFill>
                <a:effectLst/>
                <a:latin typeface="+mn-lt"/>
                <a:ea typeface="+mn-ea"/>
                <a:cs typeface="+mn-cs"/>
              </a:rPr>
              <a:t> tháng 6</a:t>
            </a:r>
            <a:endParaRPr lang="en-US">
              <a:solidFill>
                <a:sysClr val="windowText" lastClr="000000"/>
              </a:solidFill>
              <a:effectLst/>
            </a:endParaRPr>
          </a:p>
        </xdr:txBody>
      </xdr:sp>
      <xdr:sp macro="" textlink="">
        <xdr:nvSpPr>
          <xdr:cNvPr id="41" name="TextBox 40">
            <a:hlinkClick xmlns:r="http://schemas.openxmlformats.org/officeDocument/2006/relationships" r:id="rId21"/>
            <a:extLst>
              <a:ext uri="{FF2B5EF4-FFF2-40B4-BE49-F238E27FC236}">
                <a16:creationId xmlns:a16="http://schemas.microsoft.com/office/drawing/2014/main" id="{CA486C25-5BAC-49E3-A08C-C466AF81DEB6}"/>
              </a:ext>
            </a:extLst>
          </xdr:cNvPr>
          <xdr:cNvSpPr txBox="1"/>
        </xdr:nvSpPr>
        <xdr:spPr>
          <a:xfrm>
            <a:off x="495750" y="7135796"/>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7</a:t>
            </a:r>
            <a:endParaRPr lang="en-US">
              <a:solidFill>
                <a:schemeClr val="bg1"/>
              </a:solidFill>
              <a:effectLst/>
            </a:endParaRPr>
          </a:p>
        </xdr:txBody>
      </xdr:sp>
      <xdr:sp macro="" textlink="">
        <xdr:nvSpPr>
          <xdr:cNvPr id="42" name="TextBox 41">
            <a:hlinkClick xmlns:r="http://schemas.openxmlformats.org/officeDocument/2006/relationships" r:id="rId22"/>
            <a:extLst>
              <a:ext uri="{FF2B5EF4-FFF2-40B4-BE49-F238E27FC236}">
                <a16:creationId xmlns:a16="http://schemas.microsoft.com/office/drawing/2014/main" id="{DB01EFC5-2CFD-40DB-8821-143A3FFAF8C6}"/>
              </a:ext>
            </a:extLst>
          </xdr:cNvPr>
          <xdr:cNvSpPr txBox="1"/>
        </xdr:nvSpPr>
        <xdr:spPr>
          <a:xfrm>
            <a:off x="495750" y="7636297"/>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8</a:t>
            </a:r>
            <a:endParaRPr lang="en-US">
              <a:solidFill>
                <a:schemeClr val="bg1"/>
              </a:solidFill>
              <a:effectLst/>
            </a:endParaRPr>
          </a:p>
        </xdr:txBody>
      </xdr:sp>
      <xdr:sp macro="" textlink="">
        <xdr:nvSpPr>
          <xdr:cNvPr id="43" name="TextBox 42">
            <a:hlinkClick xmlns:r="http://schemas.openxmlformats.org/officeDocument/2006/relationships" r:id="rId23"/>
            <a:extLst>
              <a:ext uri="{FF2B5EF4-FFF2-40B4-BE49-F238E27FC236}">
                <a16:creationId xmlns:a16="http://schemas.microsoft.com/office/drawing/2014/main" id="{DE3AE700-1C11-4748-A586-7308DC573B8B}"/>
              </a:ext>
            </a:extLst>
          </xdr:cNvPr>
          <xdr:cNvSpPr txBox="1"/>
        </xdr:nvSpPr>
        <xdr:spPr>
          <a:xfrm>
            <a:off x="495750" y="8136798"/>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9</a:t>
            </a:r>
            <a:endParaRPr lang="en-US">
              <a:solidFill>
                <a:schemeClr val="bg1"/>
              </a:solidFill>
              <a:effectLst/>
            </a:endParaRPr>
          </a:p>
        </xdr:txBody>
      </xdr:sp>
      <xdr:sp macro="" textlink="">
        <xdr:nvSpPr>
          <xdr:cNvPr id="44" name="TextBox 43">
            <a:hlinkClick xmlns:r="http://schemas.openxmlformats.org/officeDocument/2006/relationships" r:id="rId24"/>
            <a:extLst>
              <a:ext uri="{FF2B5EF4-FFF2-40B4-BE49-F238E27FC236}">
                <a16:creationId xmlns:a16="http://schemas.microsoft.com/office/drawing/2014/main" id="{B03D7C5D-826C-4AD8-99F6-474AC90473FE}"/>
              </a:ext>
            </a:extLst>
          </xdr:cNvPr>
          <xdr:cNvSpPr txBox="1"/>
        </xdr:nvSpPr>
        <xdr:spPr>
          <a:xfrm>
            <a:off x="495750" y="8637299"/>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10</a:t>
            </a:r>
            <a:endParaRPr lang="en-US">
              <a:solidFill>
                <a:schemeClr val="bg1"/>
              </a:solidFill>
              <a:effectLst/>
            </a:endParaRPr>
          </a:p>
        </xdr:txBody>
      </xdr:sp>
      <xdr:sp macro="" textlink="">
        <xdr:nvSpPr>
          <xdr:cNvPr id="45" name="TextBox 44">
            <a:hlinkClick xmlns:r="http://schemas.openxmlformats.org/officeDocument/2006/relationships" r:id="rId25"/>
            <a:extLst>
              <a:ext uri="{FF2B5EF4-FFF2-40B4-BE49-F238E27FC236}">
                <a16:creationId xmlns:a16="http://schemas.microsoft.com/office/drawing/2014/main" id="{DB82076C-E296-4350-B2FB-17BF06151A73}"/>
              </a:ext>
            </a:extLst>
          </xdr:cNvPr>
          <xdr:cNvSpPr txBox="1"/>
        </xdr:nvSpPr>
        <xdr:spPr>
          <a:xfrm>
            <a:off x="495750" y="913780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11</a:t>
            </a:r>
            <a:endParaRPr lang="en-US">
              <a:solidFill>
                <a:schemeClr val="bg1"/>
              </a:solidFill>
              <a:effectLst/>
            </a:endParaRPr>
          </a:p>
        </xdr:txBody>
      </xdr:sp>
      <xdr:sp macro="" textlink="">
        <xdr:nvSpPr>
          <xdr:cNvPr id="46" name="TextBox 45">
            <a:hlinkClick xmlns:r="http://schemas.openxmlformats.org/officeDocument/2006/relationships" r:id="rId26"/>
            <a:extLst>
              <a:ext uri="{FF2B5EF4-FFF2-40B4-BE49-F238E27FC236}">
                <a16:creationId xmlns:a16="http://schemas.microsoft.com/office/drawing/2014/main" id="{0A4892E7-8D81-4147-836C-AABCE65A4F00}"/>
              </a:ext>
            </a:extLst>
          </xdr:cNvPr>
          <xdr:cNvSpPr txBox="1"/>
        </xdr:nvSpPr>
        <xdr:spPr>
          <a:xfrm>
            <a:off x="495750" y="9638301"/>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12</a:t>
            </a:r>
            <a:endParaRPr lang="en-US">
              <a:solidFill>
                <a:schemeClr val="bg1"/>
              </a:solidFill>
              <a:effectLst/>
            </a:endParaRPr>
          </a:p>
        </xdr:txBody>
      </xdr:sp>
      <xdr:sp macro="" textlink="">
        <xdr:nvSpPr>
          <xdr:cNvPr id="47" name="TextBox 46">
            <a:hlinkClick xmlns:r="http://schemas.openxmlformats.org/officeDocument/2006/relationships" r:id="rId27"/>
            <a:extLst>
              <a:ext uri="{FF2B5EF4-FFF2-40B4-BE49-F238E27FC236}">
                <a16:creationId xmlns:a16="http://schemas.microsoft.com/office/drawing/2014/main" id="{8E3A8AE4-0EEA-49A5-B0D9-D497B85CC852}"/>
              </a:ext>
            </a:extLst>
          </xdr:cNvPr>
          <xdr:cNvSpPr txBox="1"/>
        </xdr:nvSpPr>
        <xdr:spPr>
          <a:xfrm>
            <a:off x="495750" y="1013881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b="1">
                <a:solidFill>
                  <a:schemeClr val="bg1"/>
                </a:solidFill>
                <a:effectLst/>
                <a:latin typeface="+mn-lt"/>
                <a:ea typeface="+mn-ea"/>
                <a:cs typeface="+mn-cs"/>
              </a:rPr>
              <a:t>Bảng</a:t>
            </a:r>
            <a:r>
              <a:rPr lang="en-US" sz="1100" b="1" baseline="0">
                <a:solidFill>
                  <a:schemeClr val="bg1"/>
                </a:solidFill>
                <a:effectLst/>
                <a:latin typeface="+mn-lt"/>
                <a:ea typeface="+mn-ea"/>
                <a:cs typeface="+mn-cs"/>
              </a:rPr>
              <a:t> khảo sát</a:t>
            </a:r>
            <a:endParaRPr lang="en-US">
              <a:solidFill>
                <a:schemeClr val="bg1"/>
              </a:solidFill>
              <a:effectLst/>
            </a:endParaRPr>
          </a:p>
        </xdr:txBody>
      </xdr:sp>
    </xdr:grp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190500</xdr:colOff>
      <xdr:row>0</xdr:row>
      <xdr:rowOff>103688</xdr:rowOff>
    </xdr:from>
    <xdr:to>
      <xdr:col>2</xdr:col>
      <xdr:colOff>472440</xdr:colOff>
      <xdr:row>3</xdr:row>
      <xdr:rowOff>24759</xdr:rowOff>
    </xdr:to>
    <xdr:grpSp>
      <xdr:nvGrpSpPr>
        <xdr:cNvPr id="2" name="Group 1">
          <a:hlinkClick xmlns:r="http://schemas.openxmlformats.org/officeDocument/2006/relationships" r:id="rId1"/>
          <a:extLst>
            <a:ext uri="{FF2B5EF4-FFF2-40B4-BE49-F238E27FC236}">
              <a16:creationId xmlns:a16="http://schemas.microsoft.com/office/drawing/2014/main" id="{BBE72FE0-3492-48F3-B094-558AA30E1275}"/>
            </a:ext>
          </a:extLst>
        </xdr:cNvPr>
        <xdr:cNvGrpSpPr/>
      </xdr:nvGrpSpPr>
      <xdr:grpSpPr>
        <a:xfrm>
          <a:off x="190500" y="103688"/>
          <a:ext cx="1591628" cy="486619"/>
          <a:chOff x="190500" y="103688"/>
          <a:chExt cx="1501140" cy="492571"/>
        </a:xfrm>
      </xdr:grpSpPr>
      <xdr:sp macro="" textlink="">
        <xdr:nvSpPr>
          <xdr:cNvPr id="3" name="TextBox 2">
            <a:extLst>
              <a:ext uri="{FF2B5EF4-FFF2-40B4-BE49-F238E27FC236}">
                <a16:creationId xmlns:a16="http://schemas.microsoft.com/office/drawing/2014/main" id="{4BCF4373-DD61-4840-BCB0-E72A960EA8D1}"/>
              </a:ext>
            </a:extLst>
          </xdr:cNvPr>
          <xdr:cNvSpPr txBox="1"/>
        </xdr:nvSpPr>
        <xdr:spPr>
          <a:xfrm>
            <a:off x="457200" y="103688"/>
            <a:ext cx="1234440" cy="4925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300" b="1" baseline="0">
                <a:solidFill>
                  <a:schemeClr val="bg1"/>
                </a:solidFill>
                <a:latin typeface="Roboto" pitchFamily="2" charset="0"/>
                <a:ea typeface="Roboto" pitchFamily="2" charset="0"/>
                <a:cs typeface="Times New Roman" panose="02020603050405020304" pitchFamily="18" charset="0"/>
              </a:rPr>
              <a:t>TÀI CHÍNH</a:t>
            </a:r>
          </a:p>
          <a:p>
            <a:pPr algn="ctr"/>
            <a:r>
              <a:rPr lang="en-US" sz="1300" b="1" baseline="0">
                <a:solidFill>
                  <a:schemeClr val="bg1"/>
                </a:solidFill>
                <a:latin typeface="Roboto" pitchFamily="2" charset="0"/>
                <a:ea typeface="Roboto" pitchFamily="2" charset="0"/>
                <a:cs typeface="Times New Roman" panose="02020603050405020304" pitchFamily="18" charset="0"/>
              </a:rPr>
              <a:t>CÁ NHÂN</a:t>
            </a:r>
            <a:endParaRPr lang="en-US" sz="1300" b="1">
              <a:solidFill>
                <a:schemeClr val="bg1"/>
              </a:solidFill>
              <a:latin typeface="Roboto" pitchFamily="2" charset="0"/>
              <a:ea typeface="Roboto" pitchFamily="2" charset="0"/>
              <a:cs typeface="Times New Roman" panose="02020603050405020304" pitchFamily="18" charset="0"/>
            </a:endParaRPr>
          </a:p>
        </xdr:txBody>
      </xdr:sp>
      <xdr:pic>
        <xdr:nvPicPr>
          <xdr:cNvPr id="4" name="Graphic 3" descr="Diamond">
            <a:extLst>
              <a:ext uri="{FF2B5EF4-FFF2-40B4-BE49-F238E27FC236}">
                <a16:creationId xmlns:a16="http://schemas.microsoft.com/office/drawing/2014/main" id="{08DFFB52-55F6-4526-8392-92863861CA9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90500" y="167093"/>
            <a:ext cx="365760" cy="365760"/>
          </a:xfrm>
          <a:prstGeom prst="rect">
            <a:avLst/>
          </a:prstGeom>
        </xdr:spPr>
      </xdr:pic>
    </xdr:grpSp>
    <xdr:clientData/>
  </xdr:twoCellAnchor>
  <xdr:twoCellAnchor>
    <xdr:from>
      <xdr:col>9</xdr:col>
      <xdr:colOff>321468</xdr:colOff>
      <xdr:row>7</xdr:row>
      <xdr:rowOff>170258</xdr:rowOff>
    </xdr:from>
    <xdr:to>
      <xdr:col>23</xdr:col>
      <xdr:colOff>0</xdr:colOff>
      <xdr:row>22</xdr:row>
      <xdr:rowOff>35719</xdr:rowOff>
    </xdr:to>
    <xdr:graphicFrame macro="">
      <xdr:nvGraphicFramePr>
        <xdr:cNvPr id="7" name="Chart 6">
          <a:extLst>
            <a:ext uri="{FF2B5EF4-FFF2-40B4-BE49-F238E27FC236}">
              <a16:creationId xmlns:a16="http://schemas.microsoft.com/office/drawing/2014/main" id="{B97CBE4D-2497-4C4F-9903-BCA7A22AD4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345278</xdr:colOff>
      <xdr:row>4</xdr:row>
      <xdr:rowOff>0</xdr:rowOff>
    </xdr:from>
    <xdr:to>
      <xdr:col>3</xdr:col>
      <xdr:colOff>9210</xdr:colOff>
      <xdr:row>57</xdr:row>
      <xdr:rowOff>43619</xdr:rowOff>
    </xdr:to>
    <xdr:grpSp>
      <xdr:nvGrpSpPr>
        <xdr:cNvPr id="8" name="Group 7">
          <a:extLst>
            <a:ext uri="{FF2B5EF4-FFF2-40B4-BE49-F238E27FC236}">
              <a16:creationId xmlns:a16="http://schemas.microsoft.com/office/drawing/2014/main" id="{47F5E0E5-0E02-4306-99B8-800DCE59B9EA}"/>
            </a:ext>
          </a:extLst>
        </xdr:cNvPr>
        <xdr:cNvGrpSpPr/>
      </xdr:nvGrpSpPr>
      <xdr:grpSpPr>
        <a:xfrm>
          <a:off x="345278" y="750094"/>
          <a:ext cx="1628463" cy="10134166"/>
          <a:chOff x="350042" y="654846"/>
          <a:chExt cx="1485588" cy="10223462"/>
        </a:xfrm>
      </xdr:grpSpPr>
      <xdr:pic>
        <xdr:nvPicPr>
          <xdr:cNvPr id="9" name="Graphic 8">
            <a:extLst>
              <a:ext uri="{FF2B5EF4-FFF2-40B4-BE49-F238E27FC236}">
                <a16:creationId xmlns:a16="http://schemas.microsoft.com/office/drawing/2014/main" id="{53350D92-7C45-4D92-ACA9-838892877BB7}"/>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654846"/>
            <a:ext cx="1485588" cy="1214436"/>
          </a:xfrm>
          <a:prstGeom prst="rect">
            <a:avLst/>
          </a:prstGeom>
        </xdr:spPr>
      </xdr:pic>
      <xdr:pic>
        <xdr:nvPicPr>
          <xdr:cNvPr id="10" name="Graphic 9">
            <a:extLst>
              <a:ext uri="{FF2B5EF4-FFF2-40B4-BE49-F238E27FC236}">
                <a16:creationId xmlns:a16="http://schemas.microsoft.com/office/drawing/2014/main" id="{D6C37AAC-1DD7-4482-ACF3-822F6C931301}"/>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1155347"/>
            <a:ext cx="1485588" cy="1214436"/>
          </a:xfrm>
          <a:prstGeom prst="rect">
            <a:avLst/>
          </a:prstGeom>
        </xdr:spPr>
      </xdr:pic>
      <xdr:pic>
        <xdr:nvPicPr>
          <xdr:cNvPr id="11" name="Graphic 10">
            <a:extLst>
              <a:ext uri="{FF2B5EF4-FFF2-40B4-BE49-F238E27FC236}">
                <a16:creationId xmlns:a16="http://schemas.microsoft.com/office/drawing/2014/main" id="{47776566-DF41-4272-936F-A207074B40AB}"/>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1655848"/>
            <a:ext cx="1485588" cy="1214436"/>
          </a:xfrm>
          <a:prstGeom prst="rect">
            <a:avLst/>
          </a:prstGeom>
        </xdr:spPr>
      </xdr:pic>
      <xdr:pic>
        <xdr:nvPicPr>
          <xdr:cNvPr id="12" name="Graphic 11">
            <a:extLst>
              <a:ext uri="{FF2B5EF4-FFF2-40B4-BE49-F238E27FC236}">
                <a16:creationId xmlns:a16="http://schemas.microsoft.com/office/drawing/2014/main" id="{F6225F0E-B3C7-4475-891A-F3D19BDA1E7E}"/>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2156349"/>
            <a:ext cx="1485588" cy="1214436"/>
          </a:xfrm>
          <a:prstGeom prst="rect">
            <a:avLst/>
          </a:prstGeom>
        </xdr:spPr>
      </xdr:pic>
      <xdr:pic>
        <xdr:nvPicPr>
          <xdr:cNvPr id="13" name="Graphic 12">
            <a:extLst>
              <a:ext uri="{FF2B5EF4-FFF2-40B4-BE49-F238E27FC236}">
                <a16:creationId xmlns:a16="http://schemas.microsoft.com/office/drawing/2014/main" id="{E1DE110C-B630-4005-A17B-DB8905C76455}"/>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2656850"/>
            <a:ext cx="1485588" cy="1214436"/>
          </a:xfrm>
          <a:prstGeom prst="rect">
            <a:avLst/>
          </a:prstGeom>
        </xdr:spPr>
      </xdr:pic>
      <xdr:pic>
        <xdr:nvPicPr>
          <xdr:cNvPr id="14" name="Graphic 13">
            <a:extLst>
              <a:ext uri="{FF2B5EF4-FFF2-40B4-BE49-F238E27FC236}">
                <a16:creationId xmlns:a16="http://schemas.microsoft.com/office/drawing/2014/main" id="{24FFCD35-E3C2-49DB-BF3A-03B4B2B9A364}"/>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3157351"/>
            <a:ext cx="1485588" cy="1214436"/>
          </a:xfrm>
          <a:prstGeom prst="rect">
            <a:avLst/>
          </a:prstGeom>
        </xdr:spPr>
      </xdr:pic>
      <xdr:pic>
        <xdr:nvPicPr>
          <xdr:cNvPr id="15" name="Graphic 14">
            <a:extLst>
              <a:ext uri="{FF2B5EF4-FFF2-40B4-BE49-F238E27FC236}">
                <a16:creationId xmlns:a16="http://schemas.microsoft.com/office/drawing/2014/main" id="{92461C6C-F6A7-4505-B756-C9B2B30E0936}"/>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3657852"/>
            <a:ext cx="1485588" cy="1214436"/>
          </a:xfrm>
          <a:prstGeom prst="rect">
            <a:avLst/>
          </a:prstGeom>
        </xdr:spPr>
      </xdr:pic>
      <xdr:pic>
        <xdr:nvPicPr>
          <xdr:cNvPr id="16" name="Graphic 15">
            <a:extLst>
              <a:ext uri="{FF2B5EF4-FFF2-40B4-BE49-F238E27FC236}">
                <a16:creationId xmlns:a16="http://schemas.microsoft.com/office/drawing/2014/main" id="{145892CC-7603-4A6C-B9E9-87F8427A54A8}"/>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4158353"/>
            <a:ext cx="1485588" cy="1214436"/>
          </a:xfrm>
          <a:prstGeom prst="rect">
            <a:avLst/>
          </a:prstGeom>
        </xdr:spPr>
      </xdr:pic>
      <xdr:pic>
        <xdr:nvPicPr>
          <xdr:cNvPr id="17" name="Graphic 16">
            <a:extLst>
              <a:ext uri="{FF2B5EF4-FFF2-40B4-BE49-F238E27FC236}">
                <a16:creationId xmlns:a16="http://schemas.microsoft.com/office/drawing/2014/main" id="{EF5C123F-CB1B-498E-9FA9-95E783F08C4B}"/>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4658854"/>
            <a:ext cx="1485588" cy="1214436"/>
          </a:xfrm>
          <a:prstGeom prst="rect">
            <a:avLst/>
          </a:prstGeom>
        </xdr:spPr>
      </xdr:pic>
      <xdr:pic>
        <xdr:nvPicPr>
          <xdr:cNvPr id="18" name="Graphic 17">
            <a:extLst>
              <a:ext uri="{FF2B5EF4-FFF2-40B4-BE49-F238E27FC236}">
                <a16:creationId xmlns:a16="http://schemas.microsoft.com/office/drawing/2014/main" id="{41F9B530-2975-48FC-830D-C7C5D34DA55C}"/>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5159355"/>
            <a:ext cx="1485588" cy="1214436"/>
          </a:xfrm>
          <a:prstGeom prst="rect">
            <a:avLst/>
          </a:prstGeom>
        </xdr:spPr>
      </xdr:pic>
      <xdr:pic>
        <xdr:nvPicPr>
          <xdr:cNvPr id="19" name="Graphic 18">
            <a:extLst>
              <a:ext uri="{FF2B5EF4-FFF2-40B4-BE49-F238E27FC236}">
                <a16:creationId xmlns:a16="http://schemas.microsoft.com/office/drawing/2014/main" id="{E1A09B87-636B-4A7E-9C54-624732D2FDB9}"/>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5659856"/>
            <a:ext cx="1485588" cy="1214436"/>
          </a:xfrm>
          <a:prstGeom prst="rect">
            <a:avLst/>
          </a:prstGeom>
        </xdr:spPr>
      </xdr:pic>
      <xdr:pic>
        <xdr:nvPicPr>
          <xdr:cNvPr id="20" name="Graphic 19">
            <a:extLst>
              <a:ext uri="{FF2B5EF4-FFF2-40B4-BE49-F238E27FC236}">
                <a16:creationId xmlns:a16="http://schemas.microsoft.com/office/drawing/2014/main" id="{BF41736F-C27C-4339-A6D8-DC6BFBF1AD5A}"/>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6160357"/>
            <a:ext cx="1485588" cy="1214436"/>
          </a:xfrm>
          <a:prstGeom prst="rect">
            <a:avLst/>
          </a:prstGeom>
        </xdr:spPr>
      </xdr:pic>
      <xdr:pic>
        <xdr:nvPicPr>
          <xdr:cNvPr id="22" name="Graphic 21">
            <a:extLst>
              <a:ext uri="{FF2B5EF4-FFF2-40B4-BE49-F238E27FC236}">
                <a16:creationId xmlns:a16="http://schemas.microsoft.com/office/drawing/2014/main" id="{CA8889B1-992D-4FF0-96A1-910D4AE1ADE3}"/>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7161359"/>
            <a:ext cx="1485588" cy="1214436"/>
          </a:xfrm>
          <a:prstGeom prst="rect">
            <a:avLst/>
          </a:prstGeom>
        </xdr:spPr>
      </xdr:pic>
      <xdr:pic>
        <xdr:nvPicPr>
          <xdr:cNvPr id="21" name="Graphic 20">
            <a:extLst>
              <a:ext uri="{FF2B5EF4-FFF2-40B4-BE49-F238E27FC236}">
                <a16:creationId xmlns:a16="http://schemas.microsoft.com/office/drawing/2014/main" id="{976E304D-2F79-45D2-A5FC-DE3347F272A6}"/>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rcRect r="28388"/>
          <a:stretch/>
        </xdr:blipFill>
        <xdr:spPr>
          <a:xfrm>
            <a:off x="350042" y="6660858"/>
            <a:ext cx="1485588" cy="1214436"/>
          </a:xfrm>
          <a:prstGeom prst="rect">
            <a:avLst/>
          </a:prstGeom>
        </xdr:spPr>
      </xdr:pic>
      <xdr:pic>
        <xdr:nvPicPr>
          <xdr:cNvPr id="23" name="Graphic 22">
            <a:extLst>
              <a:ext uri="{FF2B5EF4-FFF2-40B4-BE49-F238E27FC236}">
                <a16:creationId xmlns:a16="http://schemas.microsoft.com/office/drawing/2014/main" id="{A1DCAC3B-E319-41B6-BC4F-FD2F010D7982}"/>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7661860"/>
            <a:ext cx="1485588" cy="1214436"/>
          </a:xfrm>
          <a:prstGeom prst="rect">
            <a:avLst/>
          </a:prstGeom>
        </xdr:spPr>
      </xdr:pic>
      <xdr:pic>
        <xdr:nvPicPr>
          <xdr:cNvPr id="24" name="Graphic 23">
            <a:extLst>
              <a:ext uri="{FF2B5EF4-FFF2-40B4-BE49-F238E27FC236}">
                <a16:creationId xmlns:a16="http://schemas.microsoft.com/office/drawing/2014/main" id="{B1B5D5C3-5704-4344-8BD0-10F20F8DD912}"/>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8162361"/>
            <a:ext cx="1485588" cy="1214436"/>
          </a:xfrm>
          <a:prstGeom prst="rect">
            <a:avLst/>
          </a:prstGeom>
        </xdr:spPr>
      </xdr:pic>
      <xdr:pic>
        <xdr:nvPicPr>
          <xdr:cNvPr id="25" name="Graphic 24">
            <a:extLst>
              <a:ext uri="{FF2B5EF4-FFF2-40B4-BE49-F238E27FC236}">
                <a16:creationId xmlns:a16="http://schemas.microsoft.com/office/drawing/2014/main" id="{6F09917D-7EDE-4DB3-8175-E812B0662D53}"/>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8662862"/>
            <a:ext cx="1485588" cy="1214436"/>
          </a:xfrm>
          <a:prstGeom prst="rect">
            <a:avLst/>
          </a:prstGeom>
        </xdr:spPr>
      </xdr:pic>
      <xdr:pic>
        <xdr:nvPicPr>
          <xdr:cNvPr id="26" name="Graphic 25">
            <a:extLst>
              <a:ext uri="{FF2B5EF4-FFF2-40B4-BE49-F238E27FC236}">
                <a16:creationId xmlns:a16="http://schemas.microsoft.com/office/drawing/2014/main" id="{240DC2E9-069F-4475-8959-1A8AB0C45873}"/>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9163363"/>
            <a:ext cx="1485588" cy="1214436"/>
          </a:xfrm>
          <a:prstGeom prst="rect">
            <a:avLst/>
          </a:prstGeom>
        </xdr:spPr>
      </xdr:pic>
      <xdr:pic>
        <xdr:nvPicPr>
          <xdr:cNvPr id="27" name="Graphic 26">
            <a:extLst>
              <a:ext uri="{FF2B5EF4-FFF2-40B4-BE49-F238E27FC236}">
                <a16:creationId xmlns:a16="http://schemas.microsoft.com/office/drawing/2014/main" id="{22C96B31-24B4-4C7B-A2E4-E263F08911C5}"/>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9663872"/>
            <a:ext cx="1485588" cy="1214436"/>
          </a:xfrm>
          <a:prstGeom prst="rect">
            <a:avLst/>
          </a:prstGeom>
        </xdr:spPr>
      </xdr:pic>
    </xdr:grpSp>
    <xdr:clientData/>
  </xdr:twoCellAnchor>
  <xdr:twoCellAnchor>
    <xdr:from>
      <xdr:col>0</xdr:col>
      <xdr:colOff>453617</xdr:colOff>
      <xdr:row>6</xdr:row>
      <xdr:rowOff>93938</xdr:rowOff>
    </xdr:from>
    <xdr:to>
      <xdr:col>2</xdr:col>
      <xdr:colOff>508089</xdr:colOff>
      <xdr:row>54</xdr:row>
      <xdr:rowOff>152087</xdr:rowOff>
    </xdr:to>
    <xdr:grpSp>
      <xdr:nvGrpSpPr>
        <xdr:cNvPr id="28" name="Group 27">
          <a:extLst>
            <a:ext uri="{FF2B5EF4-FFF2-40B4-BE49-F238E27FC236}">
              <a16:creationId xmlns:a16="http://schemas.microsoft.com/office/drawing/2014/main" id="{FD0919D8-953C-4D6D-A840-0E9F4B073E0F}"/>
            </a:ext>
          </a:extLst>
        </xdr:cNvPr>
        <xdr:cNvGrpSpPr/>
      </xdr:nvGrpSpPr>
      <xdr:grpSpPr>
        <a:xfrm>
          <a:off x="453617" y="1225032"/>
          <a:ext cx="1364160" cy="9184290"/>
          <a:chOff x="487686" y="1129784"/>
          <a:chExt cx="1268910" cy="9273586"/>
        </a:xfrm>
      </xdr:grpSpPr>
      <xdr:sp macro="" textlink="">
        <xdr:nvSpPr>
          <xdr:cNvPr id="29" name="TextBox 28">
            <a:hlinkClick xmlns:r="http://schemas.openxmlformats.org/officeDocument/2006/relationships" r:id="rId9"/>
            <a:extLst>
              <a:ext uri="{FF2B5EF4-FFF2-40B4-BE49-F238E27FC236}">
                <a16:creationId xmlns:a16="http://schemas.microsoft.com/office/drawing/2014/main" id="{892A7DE5-27F5-473C-B1CB-E770DE7320E4}"/>
              </a:ext>
            </a:extLst>
          </xdr:cNvPr>
          <xdr:cNvSpPr txBox="1"/>
        </xdr:nvSpPr>
        <xdr:spPr>
          <a:xfrm>
            <a:off x="784825" y="1129784"/>
            <a:ext cx="67317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Từ</a:t>
            </a:r>
            <a:r>
              <a:rPr lang="en-US" sz="1100" b="1" baseline="0">
                <a:solidFill>
                  <a:schemeClr val="bg1"/>
                </a:solidFill>
              </a:rPr>
              <a:t> khóa</a:t>
            </a:r>
            <a:endParaRPr lang="en-US" sz="1100" b="1">
              <a:solidFill>
                <a:schemeClr val="bg1"/>
              </a:solidFill>
            </a:endParaRPr>
          </a:p>
        </xdr:txBody>
      </xdr:sp>
      <xdr:sp macro="" textlink="">
        <xdr:nvSpPr>
          <xdr:cNvPr id="30" name="TextBox 29">
            <a:hlinkClick xmlns:r="http://schemas.openxmlformats.org/officeDocument/2006/relationships" r:id="rId10"/>
            <a:extLst>
              <a:ext uri="{FF2B5EF4-FFF2-40B4-BE49-F238E27FC236}">
                <a16:creationId xmlns:a16="http://schemas.microsoft.com/office/drawing/2014/main" id="{A699820E-BEE3-4F18-826A-91E0760B0721}"/>
              </a:ext>
            </a:extLst>
          </xdr:cNvPr>
          <xdr:cNvSpPr txBox="1"/>
        </xdr:nvSpPr>
        <xdr:spPr>
          <a:xfrm>
            <a:off x="708434" y="1630285"/>
            <a:ext cx="82595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Dashboard</a:t>
            </a:r>
          </a:p>
        </xdr:txBody>
      </xdr:sp>
      <xdr:sp macro="" textlink="">
        <xdr:nvSpPr>
          <xdr:cNvPr id="31" name="TextBox 30">
            <a:hlinkClick xmlns:r="http://schemas.openxmlformats.org/officeDocument/2006/relationships" r:id="rId11"/>
            <a:extLst>
              <a:ext uri="{FF2B5EF4-FFF2-40B4-BE49-F238E27FC236}">
                <a16:creationId xmlns:a16="http://schemas.microsoft.com/office/drawing/2014/main" id="{932984DF-D113-4E53-A390-461D6CC7CD70}"/>
              </a:ext>
            </a:extLst>
          </xdr:cNvPr>
          <xdr:cNvSpPr txBox="1"/>
        </xdr:nvSpPr>
        <xdr:spPr>
          <a:xfrm>
            <a:off x="495750" y="2130786"/>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Mục</a:t>
            </a:r>
            <a:r>
              <a:rPr lang="en-US" sz="1100" b="1" baseline="0">
                <a:solidFill>
                  <a:schemeClr val="bg1"/>
                </a:solidFill>
                <a:effectLst/>
                <a:latin typeface="+mn-lt"/>
                <a:ea typeface="+mn-ea"/>
                <a:cs typeface="+mn-cs"/>
              </a:rPr>
              <a:t> tiêu bản thân</a:t>
            </a:r>
            <a:endParaRPr lang="en-US">
              <a:solidFill>
                <a:schemeClr val="bg1"/>
              </a:solidFill>
              <a:effectLst/>
            </a:endParaRPr>
          </a:p>
        </xdr:txBody>
      </xdr:sp>
      <xdr:sp macro="" textlink="">
        <xdr:nvSpPr>
          <xdr:cNvPr id="32" name="TextBox 31">
            <a:hlinkClick xmlns:r="http://schemas.openxmlformats.org/officeDocument/2006/relationships" r:id="rId12"/>
            <a:extLst>
              <a:ext uri="{FF2B5EF4-FFF2-40B4-BE49-F238E27FC236}">
                <a16:creationId xmlns:a16="http://schemas.microsoft.com/office/drawing/2014/main" id="{7CDD3DAF-5198-4DFA-B01E-048EB9466CCF}"/>
              </a:ext>
            </a:extLst>
          </xdr:cNvPr>
          <xdr:cNvSpPr txBox="1"/>
        </xdr:nvSpPr>
        <xdr:spPr>
          <a:xfrm>
            <a:off x="495750" y="2631287"/>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Mục</a:t>
            </a:r>
            <a:r>
              <a:rPr lang="en-US" sz="1100" b="1" baseline="0">
                <a:solidFill>
                  <a:schemeClr val="bg1"/>
                </a:solidFill>
                <a:effectLst/>
                <a:latin typeface="+mn-lt"/>
                <a:ea typeface="+mn-ea"/>
                <a:cs typeface="+mn-cs"/>
              </a:rPr>
              <a:t> tiêu tài chính</a:t>
            </a:r>
            <a:endParaRPr lang="en-US">
              <a:solidFill>
                <a:schemeClr val="bg1"/>
              </a:solidFill>
              <a:effectLst/>
            </a:endParaRPr>
          </a:p>
        </xdr:txBody>
      </xdr:sp>
      <xdr:sp macro="" textlink="">
        <xdr:nvSpPr>
          <xdr:cNvPr id="33" name="TextBox 32">
            <a:hlinkClick xmlns:r="http://schemas.openxmlformats.org/officeDocument/2006/relationships" r:id="rId13"/>
            <a:extLst>
              <a:ext uri="{FF2B5EF4-FFF2-40B4-BE49-F238E27FC236}">
                <a16:creationId xmlns:a16="http://schemas.microsoft.com/office/drawing/2014/main" id="{4136E579-F4D8-4ECE-8D6B-BAFAAB780C33}"/>
              </a:ext>
            </a:extLst>
          </xdr:cNvPr>
          <xdr:cNvSpPr txBox="1"/>
        </xdr:nvSpPr>
        <xdr:spPr>
          <a:xfrm>
            <a:off x="487686" y="3020663"/>
            <a:ext cx="1260846" cy="459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b="1">
                <a:solidFill>
                  <a:schemeClr val="bg1"/>
                </a:solidFill>
                <a:effectLst/>
                <a:latin typeface="+mn-lt"/>
                <a:ea typeface="+mn-ea"/>
                <a:cs typeface="+mn-cs"/>
              </a:rPr>
              <a:t>Cân</a:t>
            </a:r>
            <a:r>
              <a:rPr lang="en-US" sz="1100" b="1" baseline="0">
                <a:solidFill>
                  <a:schemeClr val="bg1"/>
                </a:solidFill>
                <a:effectLst/>
                <a:latin typeface="+mn-lt"/>
                <a:ea typeface="+mn-ea"/>
                <a:cs typeface="+mn-cs"/>
              </a:rPr>
              <a:t> đối</a:t>
            </a:r>
            <a:endParaRPr lang="en-US">
              <a:solidFill>
                <a:schemeClr val="bg1"/>
              </a:solidFill>
              <a:effectLst/>
            </a:endParaRPr>
          </a:p>
          <a:p>
            <a:pPr algn="ctr"/>
            <a:r>
              <a:rPr lang="en-US" sz="1100" b="1" baseline="0">
                <a:solidFill>
                  <a:schemeClr val="bg1"/>
                </a:solidFill>
                <a:effectLst/>
                <a:latin typeface="+mn-lt"/>
                <a:ea typeface="+mn-ea"/>
                <a:cs typeface="+mn-cs"/>
              </a:rPr>
              <a:t>l</a:t>
            </a:r>
            <a:r>
              <a:rPr lang="en-US" sz="1100" b="1">
                <a:solidFill>
                  <a:schemeClr val="bg1"/>
                </a:solidFill>
                <a:effectLst/>
                <a:latin typeface="+mn-lt"/>
                <a:ea typeface="+mn-ea"/>
                <a:cs typeface="+mn-cs"/>
              </a:rPr>
              <a:t>ộ</a:t>
            </a:r>
            <a:r>
              <a:rPr lang="en-US" sz="1100" b="1" baseline="0">
                <a:solidFill>
                  <a:schemeClr val="bg1"/>
                </a:solidFill>
                <a:effectLst/>
                <a:latin typeface="+mn-lt"/>
                <a:ea typeface="+mn-ea"/>
                <a:cs typeface="+mn-cs"/>
              </a:rPr>
              <a:t> trình nghề nghiệp</a:t>
            </a:r>
            <a:endParaRPr lang="en-US">
              <a:solidFill>
                <a:schemeClr val="bg1"/>
              </a:solidFill>
              <a:effectLst/>
            </a:endParaRPr>
          </a:p>
        </xdr:txBody>
      </xdr:sp>
      <xdr:sp macro="" textlink="">
        <xdr:nvSpPr>
          <xdr:cNvPr id="34" name="TextBox 33">
            <a:hlinkClick xmlns:r="http://schemas.openxmlformats.org/officeDocument/2006/relationships" r:id="rId14"/>
            <a:extLst>
              <a:ext uri="{FF2B5EF4-FFF2-40B4-BE49-F238E27FC236}">
                <a16:creationId xmlns:a16="http://schemas.microsoft.com/office/drawing/2014/main" id="{DAA0375C-D943-4E68-85D0-7FE52FF6A35A}"/>
              </a:ext>
            </a:extLst>
          </xdr:cNvPr>
          <xdr:cNvSpPr txBox="1"/>
        </xdr:nvSpPr>
        <xdr:spPr>
          <a:xfrm>
            <a:off x="487686" y="3521164"/>
            <a:ext cx="1260846" cy="459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100" b="1">
                <a:solidFill>
                  <a:schemeClr val="bg1"/>
                </a:solidFill>
                <a:effectLst/>
                <a:latin typeface="+mn-lt"/>
                <a:ea typeface="+mn-ea"/>
                <a:cs typeface="+mn-cs"/>
              </a:rPr>
              <a:t>Kế</a:t>
            </a:r>
            <a:r>
              <a:rPr lang="en-US" sz="1100" b="1" baseline="0">
                <a:solidFill>
                  <a:schemeClr val="bg1"/>
                </a:solidFill>
                <a:effectLst/>
                <a:latin typeface="+mn-lt"/>
                <a:ea typeface="+mn-ea"/>
                <a:cs typeface="+mn-cs"/>
              </a:rPr>
              <a:t> hoạch </a:t>
            </a:r>
          </a:p>
          <a:p>
            <a:pPr algn="ctr"/>
            <a:r>
              <a:rPr lang="en-US" sz="1100" b="1" baseline="0">
                <a:solidFill>
                  <a:schemeClr val="bg1"/>
                </a:solidFill>
                <a:effectLst/>
                <a:latin typeface="+mn-lt"/>
                <a:ea typeface="+mn-ea"/>
                <a:cs typeface="+mn-cs"/>
              </a:rPr>
              <a:t>thu nhập &amp; chi tiêu</a:t>
            </a:r>
            <a:endParaRPr lang="en-US">
              <a:solidFill>
                <a:schemeClr val="bg1"/>
              </a:solidFill>
              <a:effectLst/>
            </a:endParaRPr>
          </a:p>
        </xdr:txBody>
      </xdr:sp>
      <xdr:sp macro="" textlink="">
        <xdr:nvSpPr>
          <xdr:cNvPr id="35" name="TextBox 34">
            <a:hlinkClick xmlns:r="http://schemas.openxmlformats.org/officeDocument/2006/relationships" r:id="rId15"/>
            <a:extLst>
              <a:ext uri="{FF2B5EF4-FFF2-40B4-BE49-F238E27FC236}">
                <a16:creationId xmlns:a16="http://schemas.microsoft.com/office/drawing/2014/main" id="{BE2BEEF2-5E6B-426F-A370-7F1FEC1B03A9}"/>
              </a:ext>
            </a:extLst>
          </xdr:cNvPr>
          <xdr:cNvSpPr txBox="1"/>
        </xdr:nvSpPr>
        <xdr:spPr>
          <a:xfrm>
            <a:off x="495750" y="413279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a:t>
            </a:r>
            <a:endParaRPr lang="en-US">
              <a:solidFill>
                <a:schemeClr val="bg1"/>
              </a:solidFill>
              <a:effectLst/>
            </a:endParaRPr>
          </a:p>
        </xdr:txBody>
      </xdr:sp>
      <xdr:sp macro="" textlink="">
        <xdr:nvSpPr>
          <xdr:cNvPr id="36" name="TextBox 35">
            <a:hlinkClick xmlns:r="http://schemas.openxmlformats.org/officeDocument/2006/relationships" r:id="rId16"/>
            <a:extLst>
              <a:ext uri="{FF2B5EF4-FFF2-40B4-BE49-F238E27FC236}">
                <a16:creationId xmlns:a16="http://schemas.microsoft.com/office/drawing/2014/main" id="{AAA08D36-9DEB-4BFB-978C-83924BEB6573}"/>
              </a:ext>
            </a:extLst>
          </xdr:cNvPr>
          <xdr:cNvSpPr txBox="1"/>
        </xdr:nvSpPr>
        <xdr:spPr>
          <a:xfrm>
            <a:off x="495750" y="4633291"/>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2</a:t>
            </a:r>
            <a:endParaRPr lang="en-US">
              <a:solidFill>
                <a:schemeClr val="bg1"/>
              </a:solidFill>
              <a:effectLst/>
            </a:endParaRPr>
          </a:p>
        </xdr:txBody>
      </xdr:sp>
      <xdr:sp macro="" textlink="">
        <xdr:nvSpPr>
          <xdr:cNvPr id="37" name="TextBox 36">
            <a:hlinkClick xmlns:r="http://schemas.openxmlformats.org/officeDocument/2006/relationships" r:id="rId17"/>
            <a:extLst>
              <a:ext uri="{FF2B5EF4-FFF2-40B4-BE49-F238E27FC236}">
                <a16:creationId xmlns:a16="http://schemas.microsoft.com/office/drawing/2014/main" id="{9A4E56E5-07FD-48B3-945A-18F9B4DEF9B1}"/>
              </a:ext>
            </a:extLst>
          </xdr:cNvPr>
          <xdr:cNvSpPr txBox="1"/>
        </xdr:nvSpPr>
        <xdr:spPr>
          <a:xfrm>
            <a:off x="495750" y="5133792"/>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3</a:t>
            </a:r>
            <a:endParaRPr lang="en-US">
              <a:solidFill>
                <a:schemeClr val="bg1"/>
              </a:solidFill>
              <a:effectLst/>
            </a:endParaRPr>
          </a:p>
        </xdr:txBody>
      </xdr:sp>
      <xdr:sp macro="" textlink="">
        <xdr:nvSpPr>
          <xdr:cNvPr id="38" name="TextBox 37">
            <a:hlinkClick xmlns:r="http://schemas.openxmlformats.org/officeDocument/2006/relationships" r:id="rId18"/>
            <a:extLst>
              <a:ext uri="{FF2B5EF4-FFF2-40B4-BE49-F238E27FC236}">
                <a16:creationId xmlns:a16="http://schemas.microsoft.com/office/drawing/2014/main" id="{E8FA530E-74F6-415D-A72C-08639C395E09}"/>
              </a:ext>
            </a:extLst>
          </xdr:cNvPr>
          <xdr:cNvSpPr txBox="1"/>
        </xdr:nvSpPr>
        <xdr:spPr>
          <a:xfrm>
            <a:off x="495750" y="5634293"/>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4</a:t>
            </a:r>
            <a:endParaRPr lang="en-US">
              <a:solidFill>
                <a:schemeClr val="bg1"/>
              </a:solidFill>
              <a:effectLst/>
            </a:endParaRPr>
          </a:p>
        </xdr:txBody>
      </xdr:sp>
      <xdr:sp macro="" textlink="">
        <xdr:nvSpPr>
          <xdr:cNvPr id="39" name="TextBox 38">
            <a:hlinkClick xmlns:r="http://schemas.openxmlformats.org/officeDocument/2006/relationships" r:id="rId19"/>
            <a:extLst>
              <a:ext uri="{FF2B5EF4-FFF2-40B4-BE49-F238E27FC236}">
                <a16:creationId xmlns:a16="http://schemas.microsoft.com/office/drawing/2014/main" id="{E128DC76-0531-4DEA-A098-96E8056B882A}"/>
              </a:ext>
            </a:extLst>
          </xdr:cNvPr>
          <xdr:cNvSpPr txBox="1"/>
        </xdr:nvSpPr>
        <xdr:spPr>
          <a:xfrm>
            <a:off x="495750" y="6134794"/>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5</a:t>
            </a:r>
            <a:endParaRPr lang="en-US">
              <a:solidFill>
                <a:schemeClr val="bg1"/>
              </a:solidFill>
              <a:effectLst/>
            </a:endParaRPr>
          </a:p>
        </xdr:txBody>
      </xdr:sp>
      <xdr:sp macro="" textlink="">
        <xdr:nvSpPr>
          <xdr:cNvPr id="40" name="TextBox 39">
            <a:hlinkClick xmlns:r="http://schemas.openxmlformats.org/officeDocument/2006/relationships" r:id="rId20"/>
            <a:extLst>
              <a:ext uri="{FF2B5EF4-FFF2-40B4-BE49-F238E27FC236}">
                <a16:creationId xmlns:a16="http://schemas.microsoft.com/office/drawing/2014/main" id="{BF575341-52B7-4347-8744-68BC9D684439}"/>
              </a:ext>
            </a:extLst>
          </xdr:cNvPr>
          <xdr:cNvSpPr txBox="1"/>
        </xdr:nvSpPr>
        <xdr:spPr>
          <a:xfrm>
            <a:off x="495750" y="6635295"/>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6</a:t>
            </a:r>
            <a:endParaRPr lang="en-US">
              <a:solidFill>
                <a:schemeClr val="bg1"/>
              </a:solidFill>
              <a:effectLst/>
            </a:endParaRPr>
          </a:p>
        </xdr:txBody>
      </xdr:sp>
      <xdr:sp macro="" textlink="">
        <xdr:nvSpPr>
          <xdr:cNvPr id="41" name="TextBox 40">
            <a:hlinkClick xmlns:r="http://schemas.openxmlformats.org/officeDocument/2006/relationships" r:id="rId21"/>
            <a:extLst>
              <a:ext uri="{FF2B5EF4-FFF2-40B4-BE49-F238E27FC236}">
                <a16:creationId xmlns:a16="http://schemas.microsoft.com/office/drawing/2014/main" id="{A254020A-A4B3-4B3B-A01C-75533A4C874D}"/>
              </a:ext>
            </a:extLst>
          </xdr:cNvPr>
          <xdr:cNvSpPr txBox="1"/>
        </xdr:nvSpPr>
        <xdr:spPr>
          <a:xfrm>
            <a:off x="495750" y="7135796"/>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ysClr val="windowText" lastClr="000000"/>
                </a:solidFill>
                <a:effectLst/>
                <a:latin typeface="+mn-lt"/>
                <a:ea typeface="+mn-ea"/>
                <a:cs typeface="+mn-cs"/>
              </a:rPr>
              <a:t>Theo dõi</a:t>
            </a:r>
            <a:r>
              <a:rPr lang="en-US" sz="1100" b="1" baseline="0">
                <a:solidFill>
                  <a:sysClr val="windowText" lastClr="000000"/>
                </a:solidFill>
                <a:effectLst/>
                <a:latin typeface="+mn-lt"/>
                <a:ea typeface="+mn-ea"/>
                <a:cs typeface="+mn-cs"/>
              </a:rPr>
              <a:t> tháng 7</a:t>
            </a:r>
            <a:endParaRPr lang="en-US">
              <a:solidFill>
                <a:sysClr val="windowText" lastClr="000000"/>
              </a:solidFill>
              <a:effectLst/>
            </a:endParaRPr>
          </a:p>
        </xdr:txBody>
      </xdr:sp>
      <xdr:sp macro="" textlink="">
        <xdr:nvSpPr>
          <xdr:cNvPr id="42" name="TextBox 41">
            <a:hlinkClick xmlns:r="http://schemas.openxmlformats.org/officeDocument/2006/relationships" r:id="rId22"/>
            <a:extLst>
              <a:ext uri="{FF2B5EF4-FFF2-40B4-BE49-F238E27FC236}">
                <a16:creationId xmlns:a16="http://schemas.microsoft.com/office/drawing/2014/main" id="{EBFC7419-7A11-4AF4-899D-C6FECAFF8929}"/>
              </a:ext>
            </a:extLst>
          </xdr:cNvPr>
          <xdr:cNvSpPr txBox="1"/>
        </xdr:nvSpPr>
        <xdr:spPr>
          <a:xfrm>
            <a:off x="495750" y="7636297"/>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8</a:t>
            </a:r>
            <a:endParaRPr lang="en-US">
              <a:solidFill>
                <a:schemeClr val="bg1"/>
              </a:solidFill>
              <a:effectLst/>
            </a:endParaRPr>
          </a:p>
        </xdr:txBody>
      </xdr:sp>
      <xdr:sp macro="" textlink="">
        <xdr:nvSpPr>
          <xdr:cNvPr id="43" name="TextBox 42">
            <a:hlinkClick xmlns:r="http://schemas.openxmlformats.org/officeDocument/2006/relationships" r:id="rId23"/>
            <a:extLst>
              <a:ext uri="{FF2B5EF4-FFF2-40B4-BE49-F238E27FC236}">
                <a16:creationId xmlns:a16="http://schemas.microsoft.com/office/drawing/2014/main" id="{E280024C-2BBC-4456-960D-99696B624E1F}"/>
              </a:ext>
            </a:extLst>
          </xdr:cNvPr>
          <xdr:cNvSpPr txBox="1"/>
        </xdr:nvSpPr>
        <xdr:spPr>
          <a:xfrm>
            <a:off x="495750" y="8136798"/>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9</a:t>
            </a:r>
            <a:endParaRPr lang="en-US">
              <a:solidFill>
                <a:schemeClr val="bg1"/>
              </a:solidFill>
              <a:effectLst/>
            </a:endParaRPr>
          </a:p>
        </xdr:txBody>
      </xdr:sp>
      <xdr:sp macro="" textlink="">
        <xdr:nvSpPr>
          <xdr:cNvPr id="44" name="TextBox 43">
            <a:hlinkClick xmlns:r="http://schemas.openxmlformats.org/officeDocument/2006/relationships" r:id="rId24"/>
            <a:extLst>
              <a:ext uri="{FF2B5EF4-FFF2-40B4-BE49-F238E27FC236}">
                <a16:creationId xmlns:a16="http://schemas.microsoft.com/office/drawing/2014/main" id="{F3B7F2C8-E812-44BD-9434-A66050C5F87D}"/>
              </a:ext>
            </a:extLst>
          </xdr:cNvPr>
          <xdr:cNvSpPr txBox="1"/>
        </xdr:nvSpPr>
        <xdr:spPr>
          <a:xfrm>
            <a:off x="495750" y="8637299"/>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10</a:t>
            </a:r>
            <a:endParaRPr lang="en-US">
              <a:solidFill>
                <a:schemeClr val="bg1"/>
              </a:solidFill>
              <a:effectLst/>
            </a:endParaRPr>
          </a:p>
        </xdr:txBody>
      </xdr:sp>
      <xdr:sp macro="" textlink="">
        <xdr:nvSpPr>
          <xdr:cNvPr id="45" name="TextBox 44">
            <a:hlinkClick xmlns:r="http://schemas.openxmlformats.org/officeDocument/2006/relationships" r:id="rId25"/>
            <a:extLst>
              <a:ext uri="{FF2B5EF4-FFF2-40B4-BE49-F238E27FC236}">
                <a16:creationId xmlns:a16="http://schemas.microsoft.com/office/drawing/2014/main" id="{5C14518D-EED2-4B4F-9A05-C9C854A0EC2F}"/>
              </a:ext>
            </a:extLst>
          </xdr:cNvPr>
          <xdr:cNvSpPr txBox="1"/>
        </xdr:nvSpPr>
        <xdr:spPr>
          <a:xfrm>
            <a:off x="495750" y="913780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11</a:t>
            </a:r>
            <a:endParaRPr lang="en-US">
              <a:solidFill>
                <a:schemeClr val="bg1"/>
              </a:solidFill>
              <a:effectLst/>
            </a:endParaRPr>
          </a:p>
        </xdr:txBody>
      </xdr:sp>
      <xdr:sp macro="" textlink="">
        <xdr:nvSpPr>
          <xdr:cNvPr id="46" name="TextBox 45">
            <a:hlinkClick xmlns:r="http://schemas.openxmlformats.org/officeDocument/2006/relationships" r:id="rId26"/>
            <a:extLst>
              <a:ext uri="{FF2B5EF4-FFF2-40B4-BE49-F238E27FC236}">
                <a16:creationId xmlns:a16="http://schemas.microsoft.com/office/drawing/2014/main" id="{3B9047AE-5165-4DD0-B093-52CE5563B360}"/>
              </a:ext>
            </a:extLst>
          </xdr:cNvPr>
          <xdr:cNvSpPr txBox="1"/>
        </xdr:nvSpPr>
        <xdr:spPr>
          <a:xfrm>
            <a:off x="495750" y="9638301"/>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12</a:t>
            </a:r>
            <a:endParaRPr lang="en-US">
              <a:solidFill>
                <a:schemeClr val="bg1"/>
              </a:solidFill>
              <a:effectLst/>
            </a:endParaRPr>
          </a:p>
        </xdr:txBody>
      </xdr:sp>
      <xdr:sp macro="" textlink="">
        <xdr:nvSpPr>
          <xdr:cNvPr id="47" name="TextBox 46">
            <a:hlinkClick xmlns:r="http://schemas.openxmlformats.org/officeDocument/2006/relationships" r:id="rId27"/>
            <a:extLst>
              <a:ext uri="{FF2B5EF4-FFF2-40B4-BE49-F238E27FC236}">
                <a16:creationId xmlns:a16="http://schemas.microsoft.com/office/drawing/2014/main" id="{5F1BB25F-F321-47F2-8837-04EC5957EBF9}"/>
              </a:ext>
            </a:extLst>
          </xdr:cNvPr>
          <xdr:cNvSpPr txBox="1"/>
        </xdr:nvSpPr>
        <xdr:spPr>
          <a:xfrm>
            <a:off x="495750" y="1013881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b="1">
                <a:solidFill>
                  <a:schemeClr val="bg1"/>
                </a:solidFill>
                <a:effectLst/>
                <a:latin typeface="+mn-lt"/>
                <a:ea typeface="+mn-ea"/>
                <a:cs typeface="+mn-cs"/>
              </a:rPr>
              <a:t>Bảng</a:t>
            </a:r>
            <a:r>
              <a:rPr lang="en-US" sz="1100" b="1" baseline="0">
                <a:solidFill>
                  <a:schemeClr val="bg1"/>
                </a:solidFill>
                <a:effectLst/>
                <a:latin typeface="+mn-lt"/>
                <a:ea typeface="+mn-ea"/>
                <a:cs typeface="+mn-cs"/>
              </a:rPr>
              <a:t> khảo sát</a:t>
            </a:r>
            <a:endParaRPr lang="en-US">
              <a:solidFill>
                <a:schemeClr val="bg1"/>
              </a:solidFill>
              <a:effectLst/>
            </a:endParaRPr>
          </a:p>
        </xdr:txBody>
      </xdr:sp>
    </xdr:grp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190500</xdr:colOff>
      <xdr:row>0</xdr:row>
      <xdr:rowOff>103688</xdr:rowOff>
    </xdr:from>
    <xdr:to>
      <xdr:col>2</xdr:col>
      <xdr:colOff>472440</xdr:colOff>
      <xdr:row>3</xdr:row>
      <xdr:rowOff>24759</xdr:rowOff>
    </xdr:to>
    <xdr:grpSp>
      <xdr:nvGrpSpPr>
        <xdr:cNvPr id="2" name="Group 1">
          <a:hlinkClick xmlns:r="http://schemas.openxmlformats.org/officeDocument/2006/relationships" r:id="rId1"/>
          <a:extLst>
            <a:ext uri="{FF2B5EF4-FFF2-40B4-BE49-F238E27FC236}">
              <a16:creationId xmlns:a16="http://schemas.microsoft.com/office/drawing/2014/main" id="{97930121-4F57-4237-9FB5-F879BFB6123C}"/>
            </a:ext>
          </a:extLst>
        </xdr:cNvPr>
        <xdr:cNvGrpSpPr/>
      </xdr:nvGrpSpPr>
      <xdr:grpSpPr>
        <a:xfrm>
          <a:off x="190500" y="103688"/>
          <a:ext cx="1591628" cy="486619"/>
          <a:chOff x="190500" y="103688"/>
          <a:chExt cx="1501140" cy="492571"/>
        </a:xfrm>
      </xdr:grpSpPr>
      <xdr:sp macro="" textlink="">
        <xdr:nvSpPr>
          <xdr:cNvPr id="3" name="TextBox 2">
            <a:extLst>
              <a:ext uri="{FF2B5EF4-FFF2-40B4-BE49-F238E27FC236}">
                <a16:creationId xmlns:a16="http://schemas.microsoft.com/office/drawing/2014/main" id="{6C45F218-B0F9-4DA0-B532-F3CDEA385E5D}"/>
              </a:ext>
            </a:extLst>
          </xdr:cNvPr>
          <xdr:cNvSpPr txBox="1"/>
        </xdr:nvSpPr>
        <xdr:spPr>
          <a:xfrm>
            <a:off x="457200" y="103688"/>
            <a:ext cx="1234440" cy="4925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300" b="1" baseline="0">
                <a:solidFill>
                  <a:schemeClr val="bg1"/>
                </a:solidFill>
                <a:latin typeface="Roboto" pitchFamily="2" charset="0"/>
                <a:ea typeface="Roboto" pitchFamily="2" charset="0"/>
                <a:cs typeface="Times New Roman" panose="02020603050405020304" pitchFamily="18" charset="0"/>
              </a:rPr>
              <a:t>TÀI CHÍNH</a:t>
            </a:r>
          </a:p>
          <a:p>
            <a:pPr algn="ctr"/>
            <a:r>
              <a:rPr lang="en-US" sz="1300" b="1" baseline="0">
                <a:solidFill>
                  <a:schemeClr val="bg1"/>
                </a:solidFill>
                <a:latin typeface="Roboto" pitchFamily="2" charset="0"/>
                <a:ea typeface="Roboto" pitchFamily="2" charset="0"/>
                <a:cs typeface="Times New Roman" panose="02020603050405020304" pitchFamily="18" charset="0"/>
              </a:rPr>
              <a:t>CÁ NHÂN</a:t>
            </a:r>
            <a:endParaRPr lang="en-US" sz="1300" b="1">
              <a:solidFill>
                <a:schemeClr val="bg1"/>
              </a:solidFill>
              <a:latin typeface="Roboto" pitchFamily="2" charset="0"/>
              <a:ea typeface="Roboto" pitchFamily="2" charset="0"/>
              <a:cs typeface="Times New Roman" panose="02020603050405020304" pitchFamily="18" charset="0"/>
            </a:endParaRPr>
          </a:p>
        </xdr:txBody>
      </xdr:sp>
      <xdr:pic>
        <xdr:nvPicPr>
          <xdr:cNvPr id="4" name="Graphic 3" descr="Diamond">
            <a:extLst>
              <a:ext uri="{FF2B5EF4-FFF2-40B4-BE49-F238E27FC236}">
                <a16:creationId xmlns:a16="http://schemas.microsoft.com/office/drawing/2014/main" id="{505D002B-C12A-486F-B611-23A845DDD29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90500" y="167093"/>
            <a:ext cx="365760" cy="365760"/>
          </a:xfrm>
          <a:prstGeom prst="rect">
            <a:avLst/>
          </a:prstGeom>
        </xdr:spPr>
      </xdr:pic>
    </xdr:grpSp>
    <xdr:clientData/>
  </xdr:twoCellAnchor>
  <xdr:twoCellAnchor>
    <xdr:from>
      <xdr:col>9</xdr:col>
      <xdr:colOff>321468</xdr:colOff>
      <xdr:row>7</xdr:row>
      <xdr:rowOff>170258</xdr:rowOff>
    </xdr:from>
    <xdr:to>
      <xdr:col>23</xdr:col>
      <xdr:colOff>0</xdr:colOff>
      <xdr:row>22</xdr:row>
      <xdr:rowOff>35719</xdr:rowOff>
    </xdr:to>
    <xdr:graphicFrame macro="">
      <xdr:nvGraphicFramePr>
        <xdr:cNvPr id="7" name="Chart 6">
          <a:extLst>
            <a:ext uri="{FF2B5EF4-FFF2-40B4-BE49-F238E27FC236}">
              <a16:creationId xmlns:a16="http://schemas.microsoft.com/office/drawing/2014/main" id="{E2700D89-4792-4DE7-83DF-223A8B4A2D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345276</xdr:colOff>
      <xdr:row>4</xdr:row>
      <xdr:rowOff>0</xdr:rowOff>
    </xdr:from>
    <xdr:to>
      <xdr:col>3</xdr:col>
      <xdr:colOff>9208</xdr:colOff>
      <xdr:row>57</xdr:row>
      <xdr:rowOff>43619</xdr:rowOff>
    </xdr:to>
    <xdr:grpSp>
      <xdr:nvGrpSpPr>
        <xdr:cNvPr id="8" name="Group 7">
          <a:extLst>
            <a:ext uri="{FF2B5EF4-FFF2-40B4-BE49-F238E27FC236}">
              <a16:creationId xmlns:a16="http://schemas.microsoft.com/office/drawing/2014/main" id="{29D12508-36B4-4224-AE3C-D500B37D0AC7}"/>
            </a:ext>
          </a:extLst>
        </xdr:cNvPr>
        <xdr:cNvGrpSpPr/>
      </xdr:nvGrpSpPr>
      <xdr:grpSpPr>
        <a:xfrm>
          <a:off x="345276" y="750094"/>
          <a:ext cx="1628463" cy="10134166"/>
          <a:chOff x="350042" y="654846"/>
          <a:chExt cx="1485588" cy="10223462"/>
        </a:xfrm>
      </xdr:grpSpPr>
      <xdr:pic>
        <xdr:nvPicPr>
          <xdr:cNvPr id="9" name="Graphic 8">
            <a:extLst>
              <a:ext uri="{FF2B5EF4-FFF2-40B4-BE49-F238E27FC236}">
                <a16:creationId xmlns:a16="http://schemas.microsoft.com/office/drawing/2014/main" id="{7E738A66-92E3-4125-8165-FC107E174F76}"/>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654846"/>
            <a:ext cx="1485588" cy="1214436"/>
          </a:xfrm>
          <a:prstGeom prst="rect">
            <a:avLst/>
          </a:prstGeom>
        </xdr:spPr>
      </xdr:pic>
      <xdr:pic>
        <xdr:nvPicPr>
          <xdr:cNvPr id="10" name="Graphic 9">
            <a:extLst>
              <a:ext uri="{FF2B5EF4-FFF2-40B4-BE49-F238E27FC236}">
                <a16:creationId xmlns:a16="http://schemas.microsoft.com/office/drawing/2014/main" id="{C76931FF-25F9-4D89-B777-D294E891224D}"/>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1155347"/>
            <a:ext cx="1485588" cy="1214436"/>
          </a:xfrm>
          <a:prstGeom prst="rect">
            <a:avLst/>
          </a:prstGeom>
        </xdr:spPr>
      </xdr:pic>
      <xdr:pic>
        <xdr:nvPicPr>
          <xdr:cNvPr id="11" name="Graphic 10">
            <a:extLst>
              <a:ext uri="{FF2B5EF4-FFF2-40B4-BE49-F238E27FC236}">
                <a16:creationId xmlns:a16="http://schemas.microsoft.com/office/drawing/2014/main" id="{7B25C61C-FA98-4877-A77B-A88429A8F67B}"/>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1655848"/>
            <a:ext cx="1485588" cy="1214436"/>
          </a:xfrm>
          <a:prstGeom prst="rect">
            <a:avLst/>
          </a:prstGeom>
        </xdr:spPr>
      </xdr:pic>
      <xdr:pic>
        <xdr:nvPicPr>
          <xdr:cNvPr id="12" name="Graphic 11">
            <a:extLst>
              <a:ext uri="{FF2B5EF4-FFF2-40B4-BE49-F238E27FC236}">
                <a16:creationId xmlns:a16="http://schemas.microsoft.com/office/drawing/2014/main" id="{41108B3E-2331-4443-80B7-661E8F912D55}"/>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2156349"/>
            <a:ext cx="1485588" cy="1214436"/>
          </a:xfrm>
          <a:prstGeom prst="rect">
            <a:avLst/>
          </a:prstGeom>
        </xdr:spPr>
      </xdr:pic>
      <xdr:pic>
        <xdr:nvPicPr>
          <xdr:cNvPr id="13" name="Graphic 12">
            <a:extLst>
              <a:ext uri="{FF2B5EF4-FFF2-40B4-BE49-F238E27FC236}">
                <a16:creationId xmlns:a16="http://schemas.microsoft.com/office/drawing/2014/main" id="{A2D47E71-B826-4F8B-A321-B91D2D2F54E9}"/>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2656850"/>
            <a:ext cx="1485588" cy="1214436"/>
          </a:xfrm>
          <a:prstGeom prst="rect">
            <a:avLst/>
          </a:prstGeom>
        </xdr:spPr>
      </xdr:pic>
      <xdr:pic>
        <xdr:nvPicPr>
          <xdr:cNvPr id="14" name="Graphic 13">
            <a:extLst>
              <a:ext uri="{FF2B5EF4-FFF2-40B4-BE49-F238E27FC236}">
                <a16:creationId xmlns:a16="http://schemas.microsoft.com/office/drawing/2014/main" id="{0DE8EC65-5A23-4CED-985D-BEB78228A91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3157351"/>
            <a:ext cx="1485588" cy="1214436"/>
          </a:xfrm>
          <a:prstGeom prst="rect">
            <a:avLst/>
          </a:prstGeom>
        </xdr:spPr>
      </xdr:pic>
      <xdr:pic>
        <xdr:nvPicPr>
          <xdr:cNvPr id="15" name="Graphic 14">
            <a:extLst>
              <a:ext uri="{FF2B5EF4-FFF2-40B4-BE49-F238E27FC236}">
                <a16:creationId xmlns:a16="http://schemas.microsoft.com/office/drawing/2014/main" id="{637600A0-ADF4-4A66-A610-C7FD8FE0E046}"/>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3657852"/>
            <a:ext cx="1485588" cy="1214436"/>
          </a:xfrm>
          <a:prstGeom prst="rect">
            <a:avLst/>
          </a:prstGeom>
        </xdr:spPr>
      </xdr:pic>
      <xdr:pic>
        <xdr:nvPicPr>
          <xdr:cNvPr id="16" name="Graphic 15">
            <a:extLst>
              <a:ext uri="{FF2B5EF4-FFF2-40B4-BE49-F238E27FC236}">
                <a16:creationId xmlns:a16="http://schemas.microsoft.com/office/drawing/2014/main" id="{A8EC3977-1EF1-4AE9-AF28-32B5B2312CD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4158353"/>
            <a:ext cx="1485588" cy="1214436"/>
          </a:xfrm>
          <a:prstGeom prst="rect">
            <a:avLst/>
          </a:prstGeom>
        </xdr:spPr>
      </xdr:pic>
      <xdr:pic>
        <xdr:nvPicPr>
          <xdr:cNvPr id="17" name="Graphic 16">
            <a:extLst>
              <a:ext uri="{FF2B5EF4-FFF2-40B4-BE49-F238E27FC236}">
                <a16:creationId xmlns:a16="http://schemas.microsoft.com/office/drawing/2014/main" id="{D2BB5DCF-CB47-434B-A928-309D06FBEECD}"/>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4658854"/>
            <a:ext cx="1485588" cy="1214436"/>
          </a:xfrm>
          <a:prstGeom prst="rect">
            <a:avLst/>
          </a:prstGeom>
        </xdr:spPr>
      </xdr:pic>
      <xdr:pic>
        <xdr:nvPicPr>
          <xdr:cNvPr id="18" name="Graphic 17">
            <a:extLst>
              <a:ext uri="{FF2B5EF4-FFF2-40B4-BE49-F238E27FC236}">
                <a16:creationId xmlns:a16="http://schemas.microsoft.com/office/drawing/2014/main" id="{F2DC560B-C8D6-48BE-A1FA-D10C67684401}"/>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5159355"/>
            <a:ext cx="1485588" cy="1214436"/>
          </a:xfrm>
          <a:prstGeom prst="rect">
            <a:avLst/>
          </a:prstGeom>
        </xdr:spPr>
      </xdr:pic>
      <xdr:pic>
        <xdr:nvPicPr>
          <xdr:cNvPr id="19" name="Graphic 18">
            <a:extLst>
              <a:ext uri="{FF2B5EF4-FFF2-40B4-BE49-F238E27FC236}">
                <a16:creationId xmlns:a16="http://schemas.microsoft.com/office/drawing/2014/main" id="{18B2CF59-2E41-4D68-AB68-5470A5EEB70F}"/>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5659856"/>
            <a:ext cx="1485588" cy="1214436"/>
          </a:xfrm>
          <a:prstGeom prst="rect">
            <a:avLst/>
          </a:prstGeom>
        </xdr:spPr>
      </xdr:pic>
      <xdr:pic>
        <xdr:nvPicPr>
          <xdr:cNvPr id="20" name="Graphic 19">
            <a:extLst>
              <a:ext uri="{FF2B5EF4-FFF2-40B4-BE49-F238E27FC236}">
                <a16:creationId xmlns:a16="http://schemas.microsoft.com/office/drawing/2014/main" id="{F325F46B-E2A2-4CAF-82FD-93AC4701F0AF}"/>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6160357"/>
            <a:ext cx="1485588" cy="1214436"/>
          </a:xfrm>
          <a:prstGeom prst="rect">
            <a:avLst/>
          </a:prstGeom>
        </xdr:spPr>
      </xdr:pic>
      <xdr:pic>
        <xdr:nvPicPr>
          <xdr:cNvPr id="21" name="Graphic 20">
            <a:extLst>
              <a:ext uri="{FF2B5EF4-FFF2-40B4-BE49-F238E27FC236}">
                <a16:creationId xmlns:a16="http://schemas.microsoft.com/office/drawing/2014/main" id="{FDEE8CE0-0D3B-4BEA-86CD-AAA7CA42F53C}"/>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6660858"/>
            <a:ext cx="1485588" cy="1214436"/>
          </a:xfrm>
          <a:prstGeom prst="rect">
            <a:avLst/>
          </a:prstGeom>
        </xdr:spPr>
      </xdr:pic>
      <xdr:pic>
        <xdr:nvPicPr>
          <xdr:cNvPr id="23" name="Graphic 22">
            <a:extLst>
              <a:ext uri="{FF2B5EF4-FFF2-40B4-BE49-F238E27FC236}">
                <a16:creationId xmlns:a16="http://schemas.microsoft.com/office/drawing/2014/main" id="{F348195B-A6BE-445D-9EDA-27B348FD96EC}"/>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7661860"/>
            <a:ext cx="1485588" cy="1214436"/>
          </a:xfrm>
          <a:prstGeom prst="rect">
            <a:avLst/>
          </a:prstGeom>
        </xdr:spPr>
      </xdr:pic>
      <xdr:pic>
        <xdr:nvPicPr>
          <xdr:cNvPr id="22" name="Graphic 21">
            <a:extLst>
              <a:ext uri="{FF2B5EF4-FFF2-40B4-BE49-F238E27FC236}">
                <a16:creationId xmlns:a16="http://schemas.microsoft.com/office/drawing/2014/main" id="{22FBA9AF-D375-405A-A09E-EB55D0F3DA9F}"/>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rcRect r="28388"/>
          <a:stretch/>
        </xdr:blipFill>
        <xdr:spPr>
          <a:xfrm>
            <a:off x="350042" y="7161359"/>
            <a:ext cx="1485588" cy="1214436"/>
          </a:xfrm>
          <a:prstGeom prst="rect">
            <a:avLst/>
          </a:prstGeom>
        </xdr:spPr>
      </xdr:pic>
      <xdr:pic>
        <xdr:nvPicPr>
          <xdr:cNvPr id="24" name="Graphic 23">
            <a:extLst>
              <a:ext uri="{FF2B5EF4-FFF2-40B4-BE49-F238E27FC236}">
                <a16:creationId xmlns:a16="http://schemas.microsoft.com/office/drawing/2014/main" id="{AD1964ED-B193-4801-AF5E-2DA09866D91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8162361"/>
            <a:ext cx="1485588" cy="1214436"/>
          </a:xfrm>
          <a:prstGeom prst="rect">
            <a:avLst/>
          </a:prstGeom>
        </xdr:spPr>
      </xdr:pic>
      <xdr:pic>
        <xdr:nvPicPr>
          <xdr:cNvPr id="25" name="Graphic 24">
            <a:extLst>
              <a:ext uri="{FF2B5EF4-FFF2-40B4-BE49-F238E27FC236}">
                <a16:creationId xmlns:a16="http://schemas.microsoft.com/office/drawing/2014/main" id="{4859726F-33DC-453A-9291-0C3D73C958CB}"/>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8662862"/>
            <a:ext cx="1485588" cy="1214436"/>
          </a:xfrm>
          <a:prstGeom prst="rect">
            <a:avLst/>
          </a:prstGeom>
        </xdr:spPr>
      </xdr:pic>
      <xdr:pic>
        <xdr:nvPicPr>
          <xdr:cNvPr id="26" name="Graphic 25">
            <a:extLst>
              <a:ext uri="{FF2B5EF4-FFF2-40B4-BE49-F238E27FC236}">
                <a16:creationId xmlns:a16="http://schemas.microsoft.com/office/drawing/2014/main" id="{6BCCCEB7-1023-46B5-BC9B-50F6193533CB}"/>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9163363"/>
            <a:ext cx="1485588" cy="1214436"/>
          </a:xfrm>
          <a:prstGeom prst="rect">
            <a:avLst/>
          </a:prstGeom>
        </xdr:spPr>
      </xdr:pic>
      <xdr:pic>
        <xdr:nvPicPr>
          <xdr:cNvPr id="27" name="Graphic 26">
            <a:extLst>
              <a:ext uri="{FF2B5EF4-FFF2-40B4-BE49-F238E27FC236}">
                <a16:creationId xmlns:a16="http://schemas.microsoft.com/office/drawing/2014/main" id="{88E75789-8075-42A9-A9A5-67E6041380DE}"/>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9663872"/>
            <a:ext cx="1485588" cy="1214436"/>
          </a:xfrm>
          <a:prstGeom prst="rect">
            <a:avLst/>
          </a:prstGeom>
        </xdr:spPr>
      </xdr:pic>
    </xdr:grpSp>
    <xdr:clientData/>
  </xdr:twoCellAnchor>
  <xdr:twoCellAnchor>
    <xdr:from>
      <xdr:col>0</xdr:col>
      <xdr:colOff>453615</xdr:colOff>
      <xdr:row>6</xdr:row>
      <xdr:rowOff>93938</xdr:rowOff>
    </xdr:from>
    <xdr:to>
      <xdr:col>2</xdr:col>
      <xdr:colOff>508087</xdr:colOff>
      <xdr:row>54</xdr:row>
      <xdr:rowOff>152087</xdr:rowOff>
    </xdr:to>
    <xdr:grpSp>
      <xdr:nvGrpSpPr>
        <xdr:cNvPr id="28" name="Group 27">
          <a:extLst>
            <a:ext uri="{FF2B5EF4-FFF2-40B4-BE49-F238E27FC236}">
              <a16:creationId xmlns:a16="http://schemas.microsoft.com/office/drawing/2014/main" id="{DBF59B31-AC55-4305-84CE-0D3A88007681}"/>
            </a:ext>
          </a:extLst>
        </xdr:cNvPr>
        <xdr:cNvGrpSpPr/>
      </xdr:nvGrpSpPr>
      <xdr:grpSpPr>
        <a:xfrm>
          <a:off x="453615" y="1225032"/>
          <a:ext cx="1364160" cy="9184290"/>
          <a:chOff x="487686" y="1129784"/>
          <a:chExt cx="1268910" cy="9273586"/>
        </a:xfrm>
      </xdr:grpSpPr>
      <xdr:sp macro="" textlink="">
        <xdr:nvSpPr>
          <xdr:cNvPr id="29" name="TextBox 28">
            <a:hlinkClick xmlns:r="http://schemas.openxmlformats.org/officeDocument/2006/relationships" r:id="rId9"/>
            <a:extLst>
              <a:ext uri="{FF2B5EF4-FFF2-40B4-BE49-F238E27FC236}">
                <a16:creationId xmlns:a16="http://schemas.microsoft.com/office/drawing/2014/main" id="{6084F2CB-6E69-49E0-B3C8-68BEF7A62BBE}"/>
              </a:ext>
            </a:extLst>
          </xdr:cNvPr>
          <xdr:cNvSpPr txBox="1"/>
        </xdr:nvSpPr>
        <xdr:spPr>
          <a:xfrm>
            <a:off x="784825" y="1129784"/>
            <a:ext cx="67317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Từ</a:t>
            </a:r>
            <a:r>
              <a:rPr lang="en-US" sz="1100" b="1" baseline="0">
                <a:solidFill>
                  <a:schemeClr val="bg1"/>
                </a:solidFill>
              </a:rPr>
              <a:t> khóa</a:t>
            </a:r>
            <a:endParaRPr lang="en-US" sz="1100" b="1">
              <a:solidFill>
                <a:schemeClr val="bg1"/>
              </a:solidFill>
            </a:endParaRPr>
          </a:p>
        </xdr:txBody>
      </xdr:sp>
      <xdr:sp macro="" textlink="">
        <xdr:nvSpPr>
          <xdr:cNvPr id="30" name="TextBox 29">
            <a:hlinkClick xmlns:r="http://schemas.openxmlformats.org/officeDocument/2006/relationships" r:id="rId10"/>
            <a:extLst>
              <a:ext uri="{FF2B5EF4-FFF2-40B4-BE49-F238E27FC236}">
                <a16:creationId xmlns:a16="http://schemas.microsoft.com/office/drawing/2014/main" id="{6758FA74-34CF-4A24-A47D-4BFCF1BC561F}"/>
              </a:ext>
            </a:extLst>
          </xdr:cNvPr>
          <xdr:cNvSpPr txBox="1"/>
        </xdr:nvSpPr>
        <xdr:spPr>
          <a:xfrm>
            <a:off x="708434" y="1630285"/>
            <a:ext cx="82595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Dashboard</a:t>
            </a:r>
          </a:p>
        </xdr:txBody>
      </xdr:sp>
      <xdr:sp macro="" textlink="">
        <xdr:nvSpPr>
          <xdr:cNvPr id="31" name="TextBox 30">
            <a:hlinkClick xmlns:r="http://schemas.openxmlformats.org/officeDocument/2006/relationships" r:id="rId11"/>
            <a:extLst>
              <a:ext uri="{FF2B5EF4-FFF2-40B4-BE49-F238E27FC236}">
                <a16:creationId xmlns:a16="http://schemas.microsoft.com/office/drawing/2014/main" id="{F3A6104B-A375-46AC-A4E0-805BB46C8175}"/>
              </a:ext>
            </a:extLst>
          </xdr:cNvPr>
          <xdr:cNvSpPr txBox="1"/>
        </xdr:nvSpPr>
        <xdr:spPr>
          <a:xfrm>
            <a:off x="495750" y="2130786"/>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Mục</a:t>
            </a:r>
            <a:r>
              <a:rPr lang="en-US" sz="1100" b="1" baseline="0">
                <a:solidFill>
                  <a:schemeClr val="bg1"/>
                </a:solidFill>
                <a:effectLst/>
                <a:latin typeface="+mn-lt"/>
                <a:ea typeface="+mn-ea"/>
                <a:cs typeface="+mn-cs"/>
              </a:rPr>
              <a:t> tiêu bản thân</a:t>
            </a:r>
            <a:endParaRPr lang="en-US">
              <a:solidFill>
                <a:schemeClr val="bg1"/>
              </a:solidFill>
              <a:effectLst/>
            </a:endParaRPr>
          </a:p>
        </xdr:txBody>
      </xdr:sp>
      <xdr:sp macro="" textlink="">
        <xdr:nvSpPr>
          <xdr:cNvPr id="32" name="TextBox 31">
            <a:hlinkClick xmlns:r="http://schemas.openxmlformats.org/officeDocument/2006/relationships" r:id="rId12"/>
            <a:extLst>
              <a:ext uri="{FF2B5EF4-FFF2-40B4-BE49-F238E27FC236}">
                <a16:creationId xmlns:a16="http://schemas.microsoft.com/office/drawing/2014/main" id="{7E4B4C88-1721-4C1A-9B18-565480F85B2C}"/>
              </a:ext>
            </a:extLst>
          </xdr:cNvPr>
          <xdr:cNvSpPr txBox="1"/>
        </xdr:nvSpPr>
        <xdr:spPr>
          <a:xfrm>
            <a:off x="495750" y="2631287"/>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Mục</a:t>
            </a:r>
            <a:r>
              <a:rPr lang="en-US" sz="1100" b="1" baseline="0">
                <a:solidFill>
                  <a:schemeClr val="bg1"/>
                </a:solidFill>
                <a:effectLst/>
                <a:latin typeface="+mn-lt"/>
                <a:ea typeface="+mn-ea"/>
                <a:cs typeface="+mn-cs"/>
              </a:rPr>
              <a:t> tiêu tài chính</a:t>
            </a:r>
            <a:endParaRPr lang="en-US">
              <a:solidFill>
                <a:schemeClr val="bg1"/>
              </a:solidFill>
              <a:effectLst/>
            </a:endParaRPr>
          </a:p>
        </xdr:txBody>
      </xdr:sp>
      <xdr:sp macro="" textlink="">
        <xdr:nvSpPr>
          <xdr:cNvPr id="33" name="TextBox 32">
            <a:hlinkClick xmlns:r="http://schemas.openxmlformats.org/officeDocument/2006/relationships" r:id="rId13"/>
            <a:extLst>
              <a:ext uri="{FF2B5EF4-FFF2-40B4-BE49-F238E27FC236}">
                <a16:creationId xmlns:a16="http://schemas.microsoft.com/office/drawing/2014/main" id="{35561E29-3581-4034-A889-ED9FA2F78A62}"/>
              </a:ext>
            </a:extLst>
          </xdr:cNvPr>
          <xdr:cNvSpPr txBox="1"/>
        </xdr:nvSpPr>
        <xdr:spPr>
          <a:xfrm>
            <a:off x="487686" y="3020663"/>
            <a:ext cx="1260846" cy="459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b="1">
                <a:solidFill>
                  <a:schemeClr val="bg1"/>
                </a:solidFill>
                <a:effectLst/>
                <a:latin typeface="+mn-lt"/>
                <a:ea typeface="+mn-ea"/>
                <a:cs typeface="+mn-cs"/>
              </a:rPr>
              <a:t>Cân</a:t>
            </a:r>
            <a:r>
              <a:rPr lang="en-US" sz="1100" b="1" baseline="0">
                <a:solidFill>
                  <a:schemeClr val="bg1"/>
                </a:solidFill>
                <a:effectLst/>
                <a:latin typeface="+mn-lt"/>
                <a:ea typeface="+mn-ea"/>
                <a:cs typeface="+mn-cs"/>
              </a:rPr>
              <a:t> đối</a:t>
            </a:r>
            <a:endParaRPr lang="en-US">
              <a:solidFill>
                <a:schemeClr val="bg1"/>
              </a:solidFill>
              <a:effectLst/>
            </a:endParaRPr>
          </a:p>
          <a:p>
            <a:pPr algn="ctr"/>
            <a:r>
              <a:rPr lang="en-US" sz="1100" b="1" baseline="0">
                <a:solidFill>
                  <a:schemeClr val="bg1"/>
                </a:solidFill>
                <a:effectLst/>
                <a:latin typeface="+mn-lt"/>
                <a:ea typeface="+mn-ea"/>
                <a:cs typeface="+mn-cs"/>
              </a:rPr>
              <a:t>l</a:t>
            </a:r>
            <a:r>
              <a:rPr lang="en-US" sz="1100" b="1">
                <a:solidFill>
                  <a:schemeClr val="bg1"/>
                </a:solidFill>
                <a:effectLst/>
                <a:latin typeface="+mn-lt"/>
                <a:ea typeface="+mn-ea"/>
                <a:cs typeface="+mn-cs"/>
              </a:rPr>
              <a:t>ộ</a:t>
            </a:r>
            <a:r>
              <a:rPr lang="en-US" sz="1100" b="1" baseline="0">
                <a:solidFill>
                  <a:schemeClr val="bg1"/>
                </a:solidFill>
                <a:effectLst/>
                <a:latin typeface="+mn-lt"/>
                <a:ea typeface="+mn-ea"/>
                <a:cs typeface="+mn-cs"/>
              </a:rPr>
              <a:t> trình nghề nghiệp</a:t>
            </a:r>
            <a:endParaRPr lang="en-US">
              <a:solidFill>
                <a:schemeClr val="bg1"/>
              </a:solidFill>
              <a:effectLst/>
            </a:endParaRPr>
          </a:p>
        </xdr:txBody>
      </xdr:sp>
      <xdr:sp macro="" textlink="">
        <xdr:nvSpPr>
          <xdr:cNvPr id="34" name="TextBox 33">
            <a:hlinkClick xmlns:r="http://schemas.openxmlformats.org/officeDocument/2006/relationships" r:id="rId14"/>
            <a:extLst>
              <a:ext uri="{FF2B5EF4-FFF2-40B4-BE49-F238E27FC236}">
                <a16:creationId xmlns:a16="http://schemas.microsoft.com/office/drawing/2014/main" id="{4C800183-7BEA-4C48-B13E-0E613C8DDC9E}"/>
              </a:ext>
            </a:extLst>
          </xdr:cNvPr>
          <xdr:cNvSpPr txBox="1"/>
        </xdr:nvSpPr>
        <xdr:spPr>
          <a:xfrm>
            <a:off x="487686" y="3521164"/>
            <a:ext cx="1260846" cy="459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100" b="1">
                <a:solidFill>
                  <a:schemeClr val="bg1"/>
                </a:solidFill>
                <a:effectLst/>
                <a:latin typeface="+mn-lt"/>
                <a:ea typeface="+mn-ea"/>
                <a:cs typeface="+mn-cs"/>
              </a:rPr>
              <a:t>Kế</a:t>
            </a:r>
            <a:r>
              <a:rPr lang="en-US" sz="1100" b="1" baseline="0">
                <a:solidFill>
                  <a:schemeClr val="bg1"/>
                </a:solidFill>
                <a:effectLst/>
                <a:latin typeface="+mn-lt"/>
                <a:ea typeface="+mn-ea"/>
                <a:cs typeface="+mn-cs"/>
              </a:rPr>
              <a:t> hoạch </a:t>
            </a:r>
          </a:p>
          <a:p>
            <a:pPr algn="ctr"/>
            <a:r>
              <a:rPr lang="en-US" sz="1100" b="1" baseline="0">
                <a:solidFill>
                  <a:schemeClr val="bg1"/>
                </a:solidFill>
                <a:effectLst/>
                <a:latin typeface="+mn-lt"/>
                <a:ea typeface="+mn-ea"/>
                <a:cs typeface="+mn-cs"/>
              </a:rPr>
              <a:t>thu nhập &amp; chi tiêu</a:t>
            </a:r>
            <a:endParaRPr lang="en-US">
              <a:solidFill>
                <a:schemeClr val="bg1"/>
              </a:solidFill>
              <a:effectLst/>
            </a:endParaRPr>
          </a:p>
        </xdr:txBody>
      </xdr:sp>
      <xdr:sp macro="" textlink="">
        <xdr:nvSpPr>
          <xdr:cNvPr id="35" name="TextBox 34">
            <a:hlinkClick xmlns:r="http://schemas.openxmlformats.org/officeDocument/2006/relationships" r:id="rId15"/>
            <a:extLst>
              <a:ext uri="{FF2B5EF4-FFF2-40B4-BE49-F238E27FC236}">
                <a16:creationId xmlns:a16="http://schemas.microsoft.com/office/drawing/2014/main" id="{645C4DE6-F388-4026-A759-CA88BB1395DB}"/>
              </a:ext>
            </a:extLst>
          </xdr:cNvPr>
          <xdr:cNvSpPr txBox="1"/>
        </xdr:nvSpPr>
        <xdr:spPr>
          <a:xfrm>
            <a:off x="495750" y="413279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a:t>
            </a:r>
            <a:endParaRPr lang="en-US">
              <a:solidFill>
                <a:schemeClr val="bg1"/>
              </a:solidFill>
              <a:effectLst/>
            </a:endParaRPr>
          </a:p>
        </xdr:txBody>
      </xdr:sp>
      <xdr:sp macro="" textlink="">
        <xdr:nvSpPr>
          <xdr:cNvPr id="36" name="TextBox 35">
            <a:hlinkClick xmlns:r="http://schemas.openxmlformats.org/officeDocument/2006/relationships" r:id="rId16"/>
            <a:extLst>
              <a:ext uri="{FF2B5EF4-FFF2-40B4-BE49-F238E27FC236}">
                <a16:creationId xmlns:a16="http://schemas.microsoft.com/office/drawing/2014/main" id="{52781D28-AFFC-4599-8FF3-A993F2C381AE}"/>
              </a:ext>
            </a:extLst>
          </xdr:cNvPr>
          <xdr:cNvSpPr txBox="1"/>
        </xdr:nvSpPr>
        <xdr:spPr>
          <a:xfrm>
            <a:off x="495750" y="4633291"/>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2</a:t>
            </a:r>
            <a:endParaRPr lang="en-US">
              <a:solidFill>
                <a:schemeClr val="bg1"/>
              </a:solidFill>
              <a:effectLst/>
            </a:endParaRPr>
          </a:p>
        </xdr:txBody>
      </xdr:sp>
      <xdr:sp macro="" textlink="">
        <xdr:nvSpPr>
          <xdr:cNvPr id="37" name="TextBox 36">
            <a:hlinkClick xmlns:r="http://schemas.openxmlformats.org/officeDocument/2006/relationships" r:id="rId17"/>
            <a:extLst>
              <a:ext uri="{FF2B5EF4-FFF2-40B4-BE49-F238E27FC236}">
                <a16:creationId xmlns:a16="http://schemas.microsoft.com/office/drawing/2014/main" id="{29306605-C04F-4980-85DF-5D55416AC206}"/>
              </a:ext>
            </a:extLst>
          </xdr:cNvPr>
          <xdr:cNvSpPr txBox="1"/>
        </xdr:nvSpPr>
        <xdr:spPr>
          <a:xfrm>
            <a:off x="495750" y="5133792"/>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3</a:t>
            </a:r>
            <a:endParaRPr lang="en-US">
              <a:solidFill>
                <a:schemeClr val="bg1"/>
              </a:solidFill>
              <a:effectLst/>
            </a:endParaRPr>
          </a:p>
        </xdr:txBody>
      </xdr:sp>
      <xdr:sp macro="" textlink="">
        <xdr:nvSpPr>
          <xdr:cNvPr id="38" name="TextBox 37">
            <a:hlinkClick xmlns:r="http://schemas.openxmlformats.org/officeDocument/2006/relationships" r:id="rId18"/>
            <a:extLst>
              <a:ext uri="{FF2B5EF4-FFF2-40B4-BE49-F238E27FC236}">
                <a16:creationId xmlns:a16="http://schemas.microsoft.com/office/drawing/2014/main" id="{ABA74FA0-CA58-4258-9E75-3E39F926C7B4}"/>
              </a:ext>
            </a:extLst>
          </xdr:cNvPr>
          <xdr:cNvSpPr txBox="1"/>
        </xdr:nvSpPr>
        <xdr:spPr>
          <a:xfrm>
            <a:off x="495750" y="5634293"/>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4</a:t>
            </a:r>
            <a:endParaRPr lang="en-US">
              <a:solidFill>
                <a:schemeClr val="bg1"/>
              </a:solidFill>
              <a:effectLst/>
            </a:endParaRPr>
          </a:p>
        </xdr:txBody>
      </xdr:sp>
      <xdr:sp macro="" textlink="">
        <xdr:nvSpPr>
          <xdr:cNvPr id="39" name="TextBox 38">
            <a:hlinkClick xmlns:r="http://schemas.openxmlformats.org/officeDocument/2006/relationships" r:id="rId19"/>
            <a:extLst>
              <a:ext uri="{FF2B5EF4-FFF2-40B4-BE49-F238E27FC236}">
                <a16:creationId xmlns:a16="http://schemas.microsoft.com/office/drawing/2014/main" id="{1861A6C5-F7E3-44A2-9A5E-F4558ED7B624}"/>
              </a:ext>
            </a:extLst>
          </xdr:cNvPr>
          <xdr:cNvSpPr txBox="1"/>
        </xdr:nvSpPr>
        <xdr:spPr>
          <a:xfrm>
            <a:off x="495750" y="6134794"/>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5</a:t>
            </a:r>
            <a:endParaRPr lang="en-US">
              <a:solidFill>
                <a:schemeClr val="bg1"/>
              </a:solidFill>
              <a:effectLst/>
            </a:endParaRPr>
          </a:p>
        </xdr:txBody>
      </xdr:sp>
      <xdr:sp macro="" textlink="">
        <xdr:nvSpPr>
          <xdr:cNvPr id="40" name="TextBox 39">
            <a:hlinkClick xmlns:r="http://schemas.openxmlformats.org/officeDocument/2006/relationships" r:id="rId20"/>
            <a:extLst>
              <a:ext uri="{FF2B5EF4-FFF2-40B4-BE49-F238E27FC236}">
                <a16:creationId xmlns:a16="http://schemas.microsoft.com/office/drawing/2014/main" id="{8EDA43F0-5872-42EA-A55F-F9F3D758D1B7}"/>
              </a:ext>
            </a:extLst>
          </xdr:cNvPr>
          <xdr:cNvSpPr txBox="1"/>
        </xdr:nvSpPr>
        <xdr:spPr>
          <a:xfrm>
            <a:off x="495750" y="6635295"/>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6</a:t>
            </a:r>
            <a:endParaRPr lang="en-US">
              <a:solidFill>
                <a:schemeClr val="bg1"/>
              </a:solidFill>
              <a:effectLst/>
            </a:endParaRPr>
          </a:p>
        </xdr:txBody>
      </xdr:sp>
      <xdr:sp macro="" textlink="">
        <xdr:nvSpPr>
          <xdr:cNvPr id="41" name="TextBox 40">
            <a:hlinkClick xmlns:r="http://schemas.openxmlformats.org/officeDocument/2006/relationships" r:id="rId21"/>
            <a:extLst>
              <a:ext uri="{FF2B5EF4-FFF2-40B4-BE49-F238E27FC236}">
                <a16:creationId xmlns:a16="http://schemas.microsoft.com/office/drawing/2014/main" id="{9F7B9149-18D6-46D6-8D47-F0C3F1EDE44D}"/>
              </a:ext>
            </a:extLst>
          </xdr:cNvPr>
          <xdr:cNvSpPr txBox="1"/>
        </xdr:nvSpPr>
        <xdr:spPr>
          <a:xfrm>
            <a:off x="495750" y="7135796"/>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7</a:t>
            </a:r>
            <a:endParaRPr lang="en-US">
              <a:solidFill>
                <a:schemeClr val="bg1"/>
              </a:solidFill>
              <a:effectLst/>
            </a:endParaRPr>
          </a:p>
        </xdr:txBody>
      </xdr:sp>
      <xdr:sp macro="" textlink="">
        <xdr:nvSpPr>
          <xdr:cNvPr id="42" name="TextBox 41">
            <a:hlinkClick xmlns:r="http://schemas.openxmlformats.org/officeDocument/2006/relationships" r:id="rId22"/>
            <a:extLst>
              <a:ext uri="{FF2B5EF4-FFF2-40B4-BE49-F238E27FC236}">
                <a16:creationId xmlns:a16="http://schemas.microsoft.com/office/drawing/2014/main" id="{E98244F3-1FD0-4BA6-AF87-5B220BB0057C}"/>
              </a:ext>
            </a:extLst>
          </xdr:cNvPr>
          <xdr:cNvSpPr txBox="1"/>
        </xdr:nvSpPr>
        <xdr:spPr>
          <a:xfrm>
            <a:off x="495750" y="7636297"/>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ysClr val="windowText" lastClr="000000"/>
                </a:solidFill>
                <a:effectLst/>
                <a:latin typeface="+mn-lt"/>
                <a:ea typeface="+mn-ea"/>
                <a:cs typeface="+mn-cs"/>
              </a:rPr>
              <a:t>Theo dõi</a:t>
            </a:r>
            <a:r>
              <a:rPr lang="en-US" sz="1100" b="1" baseline="0">
                <a:solidFill>
                  <a:sysClr val="windowText" lastClr="000000"/>
                </a:solidFill>
                <a:effectLst/>
                <a:latin typeface="+mn-lt"/>
                <a:ea typeface="+mn-ea"/>
                <a:cs typeface="+mn-cs"/>
              </a:rPr>
              <a:t> tháng 8</a:t>
            </a:r>
            <a:endParaRPr lang="en-US">
              <a:solidFill>
                <a:sysClr val="windowText" lastClr="000000"/>
              </a:solidFill>
              <a:effectLst/>
            </a:endParaRPr>
          </a:p>
        </xdr:txBody>
      </xdr:sp>
      <xdr:sp macro="" textlink="">
        <xdr:nvSpPr>
          <xdr:cNvPr id="43" name="TextBox 42">
            <a:hlinkClick xmlns:r="http://schemas.openxmlformats.org/officeDocument/2006/relationships" r:id="rId23"/>
            <a:extLst>
              <a:ext uri="{FF2B5EF4-FFF2-40B4-BE49-F238E27FC236}">
                <a16:creationId xmlns:a16="http://schemas.microsoft.com/office/drawing/2014/main" id="{DF64D538-E800-4216-BE9A-0ECA9AC11CAF}"/>
              </a:ext>
            </a:extLst>
          </xdr:cNvPr>
          <xdr:cNvSpPr txBox="1"/>
        </xdr:nvSpPr>
        <xdr:spPr>
          <a:xfrm>
            <a:off x="495750" y="8136798"/>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9</a:t>
            </a:r>
            <a:endParaRPr lang="en-US">
              <a:solidFill>
                <a:schemeClr val="bg1"/>
              </a:solidFill>
              <a:effectLst/>
            </a:endParaRPr>
          </a:p>
        </xdr:txBody>
      </xdr:sp>
      <xdr:sp macro="" textlink="">
        <xdr:nvSpPr>
          <xdr:cNvPr id="44" name="TextBox 43">
            <a:hlinkClick xmlns:r="http://schemas.openxmlformats.org/officeDocument/2006/relationships" r:id="rId24"/>
            <a:extLst>
              <a:ext uri="{FF2B5EF4-FFF2-40B4-BE49-F238E27FC236}">
                <a16:creationId xmlns:a16="http://schemas.microsoft.com/office/drawing/2014/main" id="{4948C6E6-86DA-46E2-AF65-9BA21DED0C3C}"/>
              </a:ext>
            </a:extLst>
          </xdr:cNvPr>
          <xdr:cNvSpPr txBox="1"/>
        </xdr:nvSpPr>
        <xdr:spPr>
          <a:xfrm>
            <a:off x="495750" y="8637299"/>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10</a:t>
            </a:r>
            <a:endParaRPr lang="en-US">
              <a:solidFill>
                <a:schemeClr val="bg1"/>
              </a:solidFill>
              <a:effectLst/>
            </a:endParaRPr>
          </a:p>
        </xdr:txBody>
      </xdr:sp>
      <xdr:sp macro="" textlink="">
        <xdr:nvSpPr>
          <xdr:cNvPr id="45" name="TextBox 44">
            <a:hlinkClick xmlns:r="http://schemas.openxmlformats.org/officeDocument/2006/relationships" r:id="rId25"/>
            <a:extLst>
              <a:ext uri="{FF2B5EF4-FFF2-40B4-BE49-F238E27FC236}">
                <a16:creationId xmlns:a16="http://schemas.microsoft.com/office/drawing/2014/main" id="{A3C9BECB-02D7-44E7-8446-CF4F07B05E15}"/>
              </a:ext>
            </a:extLst>
          </xdr:cNvPr>
          <xdr:cNvSpPr txBox="1"/>
        </xdr:nvSpPr>
        <xdr:spPr>
          <a:xfrm>
            <a:off x="495750" y="913780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11</a:t>
            </a:r>
            <a:endParaRPr lang="en-US">
              <a:solidFill>
                <a:schemeClr val="bg1"/>
              </a:solidFill>
              <a:effectLst/>
            </a:endParaRPr>
          </a:p>
        </xdr:txBody>
      </xdr:sp>
      <xdr:sp macro="" textlink="">
        <xdr:nvSpPr>
          <xdr:cNvPr id="46" name="TextBox 45">
            <a:hlinkClick xmlns:r="http://schemas.openxmlformats.org/officeDocument/2006/relationships" r:id="rId26"/>
            <a:extLst>
              <a:ext uri="{FF2B5EF4-FFF2-40B4-BE49-F238E27FC236}">
                <a16:creationId xmlns:a16="http://schemas.microsoft.com/office/drawing/2014/main" id="{9F6A79FC-B6D2-47FB-9E29-AE3608973A8C}"/>
              </a:ext>
            </a:extLst>
          </xdr:cNvPr>
          <xdr:cNvSpPr txBox="1"/>
        </xdr:nvSpPr>
        <xdr:spPr>
          <a:xfrm>
            <a:off x="495750" y="9638301"/>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12</a:t>
            </a:r>
            <a:endParaRPr lang="en-US">
              <a:solidFill>
                <a:schemeClr val="bg1"/>
              </a:solidFill>
              <a:effectLst/>
            </a:endParaRPr>
          </a:p>
        </xdr:txBody>
      </xdr:sp>
      <xdr:sp macro="" textlink="">
        <xdr:nvSpPr>
          <xdr:cNvPr id="47" name="TextBox 46">
            <a:hlinkClick xmlns:r="http://schemas.openxmlformats.org/officeDocument/2006/relationships" r:id="rId27"/>
            <a:extLst>
              <a:ext uri="{FF2B5EF4-FFF2-40B4-BE49-F238E27FC236}">
                <a16:creationId xmlns:a16="http://schemas.microsoft.com/office/drawing/2014/main" id="{2F011465-8762-420B-BB09-85A6B947B70B}"/>
              </a:ext>
            </a:extLst>
          </xdr:cNvPr>
          <xdr:cNvSpPr txBox="1"/>
        </xdr:nvSpPr>
        <xdr:spPr>
          <a:xfrm>
            <a:off x="495750" y="1013881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b="1">
                <a:solidFill>
                  <a:schemeClr val="bg1"/>
                </a:solidFill>
                <a:effectLst/>
                <a:latin typeface="+mn-lt"/>
                <a:ea typeface="+mn-ea"/>
                <a:cs typeface="+mn-cs"/>
              </a:rPr>
              <a:t>Bảng</a:t>
            </a:r>
            <a:r>
              <a:rPr lang="en-US" sz="1100" b="1" baseline="0">
                <a:solidFill>
                  <a:schemeClr val="bg1"/>
                </a:solidFill>
                <a:effectLst/>
                <a:latin typeface="+mn-lt"/>
                <a:ea typeface="+mn-ea"/>
                <a:cs typeface="+mn-cs"/>
              </a:rPr>
              <a:t> khảo sát</a:t>
            </a:r>
            <a:endParaRPr lang="en-US">
              <a:solidFill>
                <a:schemeClr val="bg1"/>
              </a:solidFill>
              <a:effectLst/>
            </a:endParaRPr>
          </a:p>
        </xdr:txBody>
      </xdr:sp>
    </xdr:grp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190500</xdr:colOff>
      <xdr:row>0</xdr:row>
      <xdr:rowOff>103688</xdr:rowOff>
    </xdr:from>
    <xdr:to>
      <xdr:col>2</xdr:col>
      <xdr:colOff>472440</xdr:colOff>
      <xdr:row>3</xdr:row>
      <xdr:rowOff>24759</xdr:rowOff>
    </xdr:to>
    <xdr:grpSp>
      <xdr:nvGrpSpPr>
        <xdr:cNvPr id="2" name="Group 1">
          <a:hlinkClick xmlns:r="http://schemas.openxmlformats.org/officeDocument/2006/relationships" r:id="rId1"/>
          <a:extLst>
            <a:ext uri="{FF2B5EF4-FFF2-40B4-BE49-F238E27FC236}">
              <a16:creationId xmlns:a16="http://schemas.microsoft.com/office/drawing/2014/main" id="{D07FF1FD-2274-4755-8A3C-28346B003849}"/>
            </a:ext>
          </a:extLst>
        </xdr:cNvPr>
        <xdr:cNvGrpSpPr/>
      </xdr:nvGrpSpPr>
      <xdr:grpSpPr>
        <a:xfrm>
          <a:off x="190500" y="103688"/>
          <a:ext cx="1591628" cy="486619"/>
          <a:chOff x="190500" y="103688"/>
          <a:chExt cx="1501140" cy="492571"/>
        </a:xfrm>
      </xdr:grpSpPr>
      <xdr:sp macro="" textlink="">
        <xdr:nvSpPr>
          <xdr:cNvPr id="3" name="TextBox 2">
            <a:extLst>
              <a:ext uri="{FF2B5EF4-FFF2-40B4-BE49-F238E27FC236}">
                <a16:creationId xmlns:a16="http://schemas.microsoft.com/office/drawing/2014/main" id="{9E18F54D-8716-4F6C-BD46-07DEE466FB16}"/>
              </a:ext>
            </a:extLst>
          </xdr:cNvPr>
          <xdr:cNvSpPr txBox="1"/>
        </xdr:nvSpPr>
        <xdr:spPr>
          <a:xfrm>
            <a:off x="457200" y="103688"/>
            <a:ext cx="1234440" cy="4925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300" b="1" baseline="0">
                <a:solidFill>
                  <a:schemeClr val="bg1"/>
                </a:solidFill>
                <a:latin typeface="Roboto" pitchFamily="2" charset="0"/>
                <a:ea typeface="Roboto" pitchFamily="2" charset="0"/>
                <a:cs typeface="Times New Roman" panose="02020603050405020304" pitchFamily="18" charset="0"/>
              </a:rPr>
              <a:t>TÀI CHÍNH</a:t>
            </a:r>
          </a:p>
          <a:p>
            <a:pPr algn="ctr"/>
            <a:r>
              <a:rPr lang="en-US" sz="1300" b="1" baseline="0">
                <a:solidFill>
                  <a:schemeClr val="bg1"/>
                </a:solidFill>
                <a:latin typeface="Roboto" pitchFamily="2" charset="0"/>
                <a:ea typeface="Roboto" pitchFamily="2" charset="0"/>
                <a:cs typeface="Times New Roman" panose="02020603050405020304" pitchFamily="18" charset="0"/>
              </a:rPr>
              <a:t>CÁ NHÂN</a:t>
            </a:r>
            <a:endParaRPr lang="en-US" sz="1300" b="1">
              <a:solidFill>
                <a:schemeClr val="bg1"/>
              </a:solidFill>
              <a:latin typeface="Roboto" pitchFamily="2" charset="0"/>
              <a:ea typeface="Roboto" pitchFamily="2" charset="0"/>
              <a:cs typeface="Times New Roman" panose="02020603050405020304" pitchFamily="18" charset="0"/>
            </a:endParaRPr>
          </a:p>
        </xdr:txBody>
      </xdr:sp>
      <xdr:pic>
        <xdr:nvPicPr>
          <xdr:cNvPr id="4" name="Graphic 3" descr="Diamond">
            <a:extLst>
              <a:ext uri="{FF2B5EF4-FFF2-40B4-BE49-F238E27FC236}">
                <a16:creationId xmlns:a16="http://schemas.microsoft.com/office/drawing/2014/main" id="{52E0B954-0B2E-41C0-9097-F8E6450AE8E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90500" y="167093"/>
            <a:ext cx="365760" cy="365760"/>
          </a:xfrm>
          <a:prstGeom prst="rect">
            <a:avLst/>
          </a:prstGeom>
        </xdr:spPr>
      </xdr:pic>
    </xdr:grpSp>
    <xdr:clientData/>
  </xdr:twoCellAnchor>
  <xdr:twoCellAnchor>
    <xdr:from>
      <xdr:col>9</xdr:col>
      <xdr:colOff>321468</xdr:colOff>
      <xdr:row>7</xdr:row>
      <xdr:rowOff>170258</xdr:rowOff>
    </xdr:from>
    <xdr:to>
      <xdr:col>23</xdr:col>
      <xdr:colOff>0</xdr:colOff>
      <xdr:row>22</xdr:row>
      <xdr:rowOff>35719</xdr:rowOff>
    </xdr:to>
    <xdr:graphicFrame macro="">
      <xdr:nvGraphicFramePr>
        <xdr:cNvPr id="7" name="Chart 6">
          <a:extLst>
            <a:ext uri="{FF2B5EF4-FFF2-40B4-BE49-F238E27FC236}">
              <a16:creationId xmlns:a16="http://schemas.microsoft.com/office/drawing/2014/main" id="{6177D910-3DA9-4133-A73E-5CD2A97221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345275</xdr:colOff>
      <xdr:row>4</xdr:row>
      <xdr:rowOff>0</xdr:rowOff>
    </xdr:from>
    <xdr:to>
      <xdr:col>3</xdr:col>
      <xdr:colOff>9207</xdr:colOff>
      <xdr:row>57</xdr:row>
      <xdr:rowOff>43619</xdr:rowOff>
    </xdr:to>
    <xdr:grpSp>
      <xdr:nvGrpSpPr>
        <xdr:cNvPr id="8" name="Group 7">
          <a:extLst>
            <a:ext uri="{FF2B5EF4-FFF2-40B4-BE49-F238E27FC236}">
              <a16:creationId xmlns:a16="http://schemas.microsoft.com/office/drawing/2014/main" id="{D6035874-CDDF-48DF-8115-6298B3C099E0}"/>
            </a:ext>
          </a:extLst>
        </xdr:cNvPr>
        <xdr:cNvGrpSpPr/>
      </xdr:nvGrpSpPr>
      <xdr:grpSpPr>
        <a:xfrm>
          <a:off x="345275" y="750094"/>
          <a:ext cx="1628463" cy="10134166"/>
          <a:chOff x="350042" y="654846"/>
          <a:chExt cx="1485588" cy="10223462"/>
        </a:xfrm>
      </xdr:grpSpPr>
      <xdr:pic>
        <xdr:nvPicPr>
          <xdr:cNvPr id="9" name="Graphic 8">
            <a:extLst>
              <a:ext uri="{FF2B5EF4-FFF2-40B4-BE49-F238E27FC236}">
                <a16:creationId xmlns:a16="http://schemas.microsoft.com/office/drawing/2014/main" id="{82AFCD92-DAAF-46BB-9F48-849A3D25FBE8}"/>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654846"/>
            <a:ext cx="1485588" cy="1214436"/>
          </a:xfrm>
          <a:prstGeom prst="rect">
            <a:avLst/>
          </a:prstGeom>
        </xdr:spPr>
      </xdr:pic>
      <xdr:pic>
        <xdr:nvPicPr>
          <xdr:cNvPr id="10" name="Graphic 9">
            <a:extLst>
              <a:ext uri="{FF2B5EF4-FFF2-40B4-BE49-F238E27FC236}">
                <a16:creationId xmlns:a16="http://schemas.microsoft.com/office/drawing/2014/main" id="{2E705A58-9078-4BDC-B29C-79A66BCE5BD3}"/>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1155347"/>
            <a:ext cx="1485588" cy="1214436"/>
          </a:xfrm>
          <a:prstGeom prst="rect">
            <a:avLst/>
          </a:prstGeom>
        </xdr:spPr>
      </xdr:pic>
      <xdr:pic>
        <xdr:nvPicPr>
          <xdr:cNvPr id="11" name="Graphic 10">
            <a:extLst>
              <a:ext uri="{FF2B5EF4-FFF2-40B4-BE49-F238E27FC236}">
                <a16:creationId xmlns:a16="http://schemas.microsoft.com/office/drawing/2014/main" id="{685A57A2-927E-4B02-BCB1-DAB5739C9765}"/>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1655848"/>
            <a:ext cx="1485588" cy="1214436"/>
          </a:xfrm>
          <a:prstGeom prst="rect">
            <a:avLst/>
          </a:prstGeom>
        </xdr:spPr>
      </xdr:pic>
      <xdr:pic>
        <xdr:nvPicPr>
          <xdr:cNvPr id="12" name="Graphic 11">
            <a:extLst>
              <a:ext uri="{FF2B5EF4-FFF2-40B4-BE49-F238E27FC236}">
                <a16:creationId xmlns:a16="http://schemas.microsoft.com/office/drawing/2014/main" id="{E5177C24-6AC3-449A-B001-CC7E58311A3D}"/>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2156349"/>
            <a:ext cx="1485588" cy="1214436"/>
          </a:xfrm>
          <a:prstGeom prst="rect">
            <a:avLst/>
          </a:prstGeom>
        </xdr:spPr>
      </xdr:pic>
      <xdr:pic>
        <xdr:nvPicPr>
          <xdr:cNvPr id="13" name="Graphic 12">
            <a:extLst>
              <a:ext uri="{FF2B5EF4-FFF2-40B4-BE49-F238E27FC236}">
                <a16:creationId xmlns:a16="http://schemas.microsoft.com/office/drawing/2014/main" id="{7B2906C4-D990-494E-B074-D0FD9E576C38}"/>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2656850"/>
            <a:ext cx="1485588" cy="1214436"/>
          </a:xfrm>
          <a:prstGeom prst="rect">
            <a:avLst/>
          </a:prstGeom>
        </xdr:spPr>
      </xdr:pic>
      <xdr:pic>
        <xdr:nvPicPr>
          <xdr:cNvPr id="14" name="Graphic 13">
            <a:extLst>
              <a:ext uri="{FF2B5EF4-FFF2-40B4-BE49-F238E27FC236}">
                <a16:creationId xmlns:a16="http://schemas.microsoft.com/office/drawing/2014/main" id="{C40E3528-8F4E-4D93-9D8B-DEDE6D431A5E}"/>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3157351"/>
            <a:ext cx="1485588" cy="1214436"/>
          </a:xfrm>
          <a:prstGeom prst="rect">
            <a:avLst/>
          </a:prstGeom>
        </xdr:spPr>
      </xdr:pic>
      <xdr:pic>
        <xdr:nvPicPr>
          <xdr:cNvPr id="15" name="Graphic 14">
            <a:extLst>
              <a:ext uri="{FF2B5EF4-FFF2-40B4-BE49-F238E27FC236}">
                <a16:creationId xmlns:a16="http://schemas.microsoft.com/office/drawing/2014/main" id="{6F48711E-CA3F-41F5-8430-3E14FBF85F1B}"/>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3657852"/>
            <a:ext cx="1485588" cy="1214436"/>
          </a:xfrm>
          <a:prstGeom prst="rect">
            <a:avLst/>
          </a:prstGeom>
        </xdr:spPr>
      </xdr:pic>
      <xdr:pic>
        <xdr:nvPicPr>
          <xdr:cNvPr id="16" name="Graphic 15">
            <a:extLst>
              <a:ext uri="{FF2B5EF4-FFF2-40B4-BE49-F238E27FC236}">
                <a16:creationId xmlns:a16="http://schemas.microsoft.com/office/drawing/2014/main" id="{93255B26-112A-4D52-9C32-FD47F4708433}"/>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4158353"/>
            <a:ext cx="1485588" cy="1214436"/>
          </a:xfrm>
          <a:prstGeom prst="rect">
            <a:avLst/>
          </a:prstGeom>
        </xdr:spPr>
      </xdr:pic>
      <xdr:pic>
        <xdr:nvPicPr>
          <xdr:cNvPr id="17" name="Graphic 16">
            <a:extLst>
              <a:ext uri="{FF2B5EF4-FFF2-40B4-BE49-F238E27FC236}">
                <a16:creationId xmlns:a16="http://schemas.microsoft.com/office/drawing/2014/main" id="{5FCC8FED-4BE3-4E3C-B5E3-A89D418A5839}"/>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4658854"/>
            <a:ext cx="1485588" cy="1214436"/>
          </a:xfrm>
          <a:prstGeom prst="rect">
            <a:avLst/>
          </a:prstGeom>
        </xdr:spPr>
      </xdr:pic>
      <xdr:pic>
        <xdr:nvPicPr>
          <xdr:cNvPr id="18" name="Graphic 17">
            <a:extLst>
              <a:ext uri="{FF2B5EF4-FFF2-40B4-BE49-F238E27FC236}">
                <a16:creationId xmlns:a16="http://schemas.microsoft.com/office/drawing/2014/main" id="{2283495D-5206-46B4-BFC6-6CBE7E43A1E2}"/>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5159355"/>
            <a:ext cx="1485588" cy="1214436"/>
          </a:xfrm>
          <a:prstGeom prst="rect">
            <a:avLst/>
          </a:prstGeom>
        </xdr:spPr>
      </xdr:pic>
      <xdr:pic>
        <xdr:nvPicPr>
          <xdr:cNvPr id="19" name="Graphic 18">
            <a:extLst>
              <a:ext uri="{FF2B5EF4-FFF2-40B4-BE49-F238E27FC236}">
                <a16:creationId xmlns:a16="http://schemas.microsoft.com/office/drawing/2014/main" id="{28AE5AE8-379F-4784-B74A-D4F672494317}"/>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5659856"/>
            <a:ext cx="1485588" cy="1214436"/>
          </a:xfrm>
          <a:prstGeom prst="rect">
            <a:avLst/>
          </a:prstGeom>
        </xdr:spPr>
      </xdr:pic>
      <xdr:pic>
        <xdr:nvPicPr>
          <xdr:cNvPr id="20" name="Graphic 19">
            <a:extLst>
              <a:ext uri="{FF2B5EF4-FFF2-40B4-BE49-F238E27FC236}">
                <a16:creationId xmlns:a16="http://schemas.microsoft.com/office/drawing/2014/main" id="{FA75A20E-6F3B-44BC-9591-DBB0D5F40C4B}"/>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6160357"/>
            <a:ext cx="1485588" cy="1214436"/>
          </a:xfrm>
          <a:prstGeom prst="rect">
            <a:avLst/>
          </a:prstGeom>
        </xdr:spPr>
      </xdr:pic>
      <xdr:pic>
        <xdr:nvPicPr>
          <xdr:cNvPr id="21" name="Graphic 20">
            <a:extLst>
              <a:ext uri="{FF2B5EF4-FFF2-40B4-BE49-F238E27FC236}">
                <a16:creationId xmlns:a16="http://schemas.microsoft.com/office/drawing/2014/main" id="{DFE29B78-27C5-47DA-A199-EB61B72C731F}"/>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6660858"/>
            <a:ext cx="1485588" cy="1214436"/>
          </a:xfrm>
          <a:prstGeom prst="rect">
            <a:avLst/>
          </a:prstGeom>
        </xdr:spPr>
      </xdr:pic>
      <xdr:pic>
        <xdr:nvPicPr>
          <xdr:cNvPr id="22" name="Graphic 21">
            <a:extLst>
              <a:ext uri="{FF2B5EF4-FFF2-40B4-BE49-F238E27FC236}">
                <a16:creationId xmlns:a16="http://schemas.microsoft.com/office/drawing/2014/main" id="{9061DEDD-DAFF-4C20-B741-4715DABD80DE}"/>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7161359"/>
            <a:ext cx="1485588" cy="1214436"/>
          </a:xfrm>
          <a:prstGeom prst="rect">
            <a:avLst/>
          </a:prstGeom>
        </xdr:spPr>
      </xdr:pic>
      <xdr:pic>
        <xdr:nvPicPr>
          <xdr:cNvPr id="24" name="Graphic 23">
            <a:extLst>
              <a:ext uri="{FF2B5EF4-FFF2-40B4-BE49-F238E27FC236}">
                <a16:creationId xmlns:a16="http://schemas.microsoft.com/office/drawing/2014/main" id="{454AB58A-34D2-4194-AD48-69F30BDA9FC7}"/>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8162361"/>
            <a:ext cx="1485588" cy="1214436"/>
          </a:xfrm>
          <a:prstGeom prst="rect">
            <a:avLst/>
          </a:prstGeom>
        </xdr:spPr>
      </xdr:pic>
      <xdr:pic>
        <xdr:nvPicPr>
          <xdr:cNvPr id="23" name="Graphic 22">
            <a:extLst>
              <a:ext uri="{FF2B5EF4-FFF2-40B4-BE49-F238E27FC236}">
                <a16:creationId xmlns:a16="http://schemas.microsoft.com/office/drawing/2014/main" id="{B68C7B9D-09E9-4642-9370-99E3BE779B2B}"/>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rcRect r="28388"/>
          <a:stretch/>
        </xdr:blipFill>
        <xdr:spPr>
          <a:xfrm>
            <a:off x="350042" y="7661860"/>
            <a:ext cx="1485588" cy="1214436"/>
          </a:xfrm>
          <a:prstGeom prst="rect">
            <a:avLst/>
          </a:prstGeom>
        </xdr:spPr>
      </xdr:pic>
      <xdr:pic>
        <xdr:nvPicPr>
          <xdr:cNvPr id="25" name="Graphic 24">
            <a:extLst>
              <a:ext uri="{FF2B5EF4-FFF2-40B4-BE49-F238E27FC236}">
                <a16:creationId xmlns:a16="http://schemas.microsoft.com/office/drawing/2014/main" id="{83D2C444-8084-4232-9C08-203292AB5D23}"/>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8662862"/>
            <a:ext cx="1485588" cy="1214436"/>
          </a:xfrm>
          <a:prstGeom prst="rect">
            <a:avLst/>
          </a:prstGeom>
        </xdr:spPr>
      </xdr:pic>
      <xdr:pic>
        <xdr:nvPicPr>
          <xdr:cNvPr id="26" name="Graphic 25">
            <a:extLst>
              <a:ext uri="{FF2B5EF4-FFF2-40B4-BE49-F238E27FC236}">
                <a16:creationId xmlns:a16="http://schemas.microsoft.com/office/drawing/2014/main" id="{1AB347C5-CDA0-4774-8437-9A720A683515}"/>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9163363"/>
            <a:ext cx="1485588" cy="1214436"/>
          </a:xfrm>
          <a:prstGeom prst="rect">
            <a:avLst/>
          </a:prstGeom>
        </xdr:spPr>
      </xdr:pic>
      <xdr:pic>
        <xdr:nvPicPr>
          <xdr:cNvPr id="27" name="Graphic 26">
            <a:extLst>
              <a:ext uri="{FF2B5EF4-FFF2-40B4-BE49-F238E27FC236}">
                <a16:creationId xmlns:a16="http://schemas.microsoft.com/office/drawing/2014/main" id="{4BD2199E-80F7-4601-B7BC-61A514D1F8B6}"/>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9663872"/>
            <a:ext cx="1485588" cy="1214436"/>
          </a:xfrm>
          <a:prstGeom prst="rect">
            <a:avLst/>
          </a:prstGeom>
        </xdr:spPr>
      </xdr:pic>
    </xdr:grpSp>
    <xdr:clientData/>
  </xdr:twoCellAnchor>
  <xdr:twoCellAnchor>
    <xdr:from>
      <xdr:col>0</xdr:col>
      <xdr:colOff>453614</xdr:colOff>
      <xdr:row>6</xdr:row>
      <xdr:rowOff>93938</xdr:rowOff>
    </xdr:from>
    <xdr:to>
      <xdr:col>2</xdr:col>
      <xdr:colOff>508086</xdr:colOff>
      <xdr:row>54</xdr:row>
      <xdr:rowOff>152087</xdr:rowOff>
    </xdr:to>
    <xdr:grpSp>
      <xdr:nvGrpSpPr>
        <xdr:cNvPr id="28" name="Group 27">
          <a:extLst>
            <a:ext uri="{FF2B5EF4-FFF2-40B4-BE49-F238E27FC236}">
              <a16:creationId xmlns:a16="http://schemas.microsoft.com/office/drawing/2014/main" id="{E0E1AC63-03DD-420D-AE9D-5368EFE4C347}"/>
            </a:ext>
          </a:extLst>
        </xdr:cNvPr>
        <xdr:cNvGrpSpPr/>
      </xdr:nvGrpSpPr>
      <xdr:grpSpPr>
        <a:xfrm>
          <a:off x="453614" y="1225032"/>
          <a:ext cx="1364160" cy="9184290"/>
          <a:chOff x="487686" y="1129784"/>
          <a:chExt cx="1268910" cy="9273586"/>
        </a:xfrm>
      </xdr:grpSpPr>
      <xdr:sp macro="" textlink="">
        <xdr:nvSpPr>
          <xdr:cNvPr id="29" name="TextBox 28">
            <a:hlinkClick xmlns:r="http://schemas.openxmlformats.org/officeDocument/2006/relationships" r:id="rId9"/>
            <a:extLst>
              <a:ext uri="{FF2B5EF4-FFF2-40B4-BE49-F238E27FC236}">
                <a16:creationId xmlns:a16="http://schemas.microsoft.com/office/drawing/2014/main" id="{10418399-2708-4729-8519-1FEDBE2B084D}"/>
              </a:ext>
            </a:extLst>
          </xdr:cNvPr>
          <xdr:cNvSpPr txBox="1"/>
        </xdr:nvSpPr>
        <xdr:spPr>
          <a:xfrm>
            <a:off x="784825" y="1129784"/>
            <a:ext cx="67317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Từ</a:t>
            </a:r>
            <a:r>
              <a:rPr lang="en-US" sz="1100" b="1" baseline="0">
                <a:solidFill>
                  <a:schemeClr val="bg1"/>
                </a:solidFill>
              </a:rPr>
              <a:t> khóa</a:t>
            </a:r>
            <a:endParaRPr lang="en-US" sz="1100" b="1">
              <a:solidFill>
                <a:schemeClr val="bg1"/>
              </a:solidFill>
            </a:endParaRPr>
          </a:p>
        </xdr:txBody>
      </xdr:sp>
      <xdr:sp macro="" textlink="">
        <xdr:nvSpPr>
          <xdr:cNvPr id="30" name="TextBox 29">
            <a:hlinkClick xmlns:r="http://schemas.openxmlformats.org/officeDocument/2006/relationships" r:id="rId10"/>
            <a:extLst>
              <a:ext uri="{FF2B5EF4-FFF2-40B4-BE49-F238E27FC236}">
                <a16:creationId xmlns:a16="http://schemas.microsoft.com/office/drawing/2014/main" id="{8F87482E-6550-4305-9877-578E98080D8C}"/>
              </a:ext>
            </a:extLst>
          </xdr:cNvPr>
          <xdr:cNvSpPr txBox="1"/>
        </xdr:nvSpPr>
        <xdr:spPr>
          <a:xfrm>
            <a:off x="708434" y="1630285"/>
            <a:ext cx="82595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Dashboard</a:t>
            </a:r>
          </a:p>
        </xdr:txBody>
      </xdr:sp>
      <xdr:sp macro="" textlink="">
        <xdr:nvSpPr>
          <xdr:cNvPr id="31" name="TextBox 30">
            <a:hlinkClick xmlns:r="http://schemas.openxmlformats.org/officeDocument/2006/relationships" r:id="rId11"/>
            <a:extLst>
              <a:ext uri="{FF2B5EF4-FFF2-40B4-BE49-F238E27FC236}">
                <a16:creationId xmlns:a16="http://schemas.microsoft.com/office/drawing/2014/main" id="{5670D26C-1E00-4D68-B32A-1230AB4FBA61}"/>
              </a:ext>
            </a:extLst>
          </xdr:cNvPr>
          <xdr:cNvSpPr txBox="1"/>
        </xdr:nvSpPr>
        <xdr:spPr>
          <a:xfrm>
            <a:off x="495750" y="2130786"/>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Mục</a:t>
            </a:r>
            <a:r>
              <a:rPr lang="en-US" sz="1100" b="1" baseline="0">
                <a:solidFill>
                  <a:schemeClr val="bg1"/>
                </a:solidFill>
                <a:effectLst/>
                <a:latin typeface="+mn-lt"/>
                <a:ea typeface="+mn-ea"/>
                <a:cs typeface="+mn-cs"/>
              </a:rPr>
              <a:t> tiêu bản thân</a:t>
            </a:r>
            <a:endParaRPr lang="en-US">
              <a:solidFill>
                <a:schemeClr val="bg1"/>
              </a:solidFill>
              <a:effectLst/>
            </a:endParaRPr>
          </a:p>
        </xdr:txBody>
      </xdr:sp>
      <xdr:sp macro="" textlink="">
        <xdr:nvSpPr>
          <xdr:cNvPr id="32" name="TextBox 31">
            <a:hlinkClick xmlns:r="http://schemas.openxmlformats.org/officeDocument/2006/relationships" r:id="rId12"/>
            <a:extLst>
              <a:ext uri="{FF2B5EF4-FFF2-40B4-BE49-F238E27FC236}">
                <a16:creationId xmlns:a16="http://schemas.microsoft.com/office/drawing/2014/main" id="{DF9535C8-3BED-4711-B841-A3E38D1921DD}"/>
              </a:ext>
            </a:extLst>
          </xdr:cNvPr>
          <xdr:cNvSpPr txBox="1"/>
        </xdr:nvSpPr>
        <xdr:spPr>
          <a:xfrm>
            <a:off x="495750" y="2631287"/>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Mục</a:t>
            </a:r>
            <a:r>
              <a:rPr lang="en-US" sz="1100" b="1" baseline="0">
                <a:solidFill>
                  <a:schemeClr val="bg1"/>
                </a:solidFill>
                <a:effectLst/>
                <a:latin typeface="+mn-lt"/>
                <a:ea typeface="+mn-ea"/>
                <a:cs typeface="+mn-cs"/>
              </a:rPr>
              <a:t> tiêu tài chính</a:t>
            </a:r>
            <a:endParaRPr lang="en-US">
              <a:solidFill>
                <a:schemeClr val="bg1"/>
              </a:solidFill>
              <a:effectLst/>
            </a:endParaRPr>
          </a:p>
        </xdr:txBody>
      </xdr:sp>
      <xdr:sp macro="" textlink="">
        <xdr:nvSpPr>
          <xdr:cNvPr id="33" name="TextBox 32">
            <a:hlinkClick xmlns:r="http://schemas.openxmlformats.org/officeDocument/2006/relationships" r:id="rId13"/>
            <a:extLst>
              <a:ext uri="{FF2B5EF4-FFF2-40B4-BE49-F238E27FC236}">
                <a16:creationId xmlns:a16="http://schemas.microsoft.com/office/drawing/2014/main" id="{1657E702-B78E-4926-ACEC-29E9F8423AF1}"/>
              </a:ext>
            </a:extLst>
          </xdr:cNvPr>
          <xdr:cNvSpPr txBox="1"/>
        </xdr:nvSpPr>
        <xdr:spPr>
          <a:xfrm>
            <a:off x="487686" y="3020663"/>
            <a:ext cx="1260846" cy="459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b="1">
                <a:solidFill>
                  <a:schemeClr val="bg1"/>
                </a:solidFill>
                <a:effectLst/>
                <a:latin typeface="+mn-lt"/>
                <a:ea typeface="+mn-ea"/>
                <a:cs typeface="+mn-cs"/>
              </a:rPr>
              <a:t>Cân</a:t>
            </a:r>
            <a:r>
              <a:rPr lang="en-US" sz="1100" b="1" baseline="0">
                <a:solidFill>
                  <a:schemeClr val="bg1"/>
                </a:solidFill>
                <a:effectLst/>
                <a:latin typeface="+mn-lt"/>
                <a:ea typeface="+mn-ea"/>
                <a:cs typeface="+mn-cs"/>
              </a:rPr>
              <a:t> đối</a:t>
            </a:r>
            <a:endParaRPr lang="en-US">
              <a:solidFill>
                <a:schemeClr val="bg1"/>
              </a:solidFill>
              <a:effectLst/>
            </a:endParaRPr>
          </a:p>
          <a:p>
            <a:pPr algn="ctr"/>
            <a:r>
              <a:rPr lang="en-US" sz="1100" b="1" baseline="0">
                <a:solidFill>
                  <a:schemeClr val="bg1"/>
                </a:solidFill>
                <a:effectLst/>
                <a:latin typeface="+mn-lt"/>
                <a:ea typeface="+mn-ea"/>
                <a:cs typeface="+mn-cs"/>
              </a:rPr>
              <a:t>l</a:t>
            </a:r>
            <a:r>
              <a:rPr lang="en-US" sz="1100" b="1">
                <a:solidFill>
                  <a:schemeClr val="bg1"/>
                </a:solidFill>
                <a:effectLst/>
                <a:latin typeface="+mn-lt"/>
                <a:ea typeface="+mn-ea"/>
                <a:cs typeface="+mn-cs"/>
              </a:rPr>
              <a:t>ộ</a:t>
            </a:r>
            <a:r>
              <a:rPr lang="en-US" sz="1100" b="1" baseline="0">
                <a:solidFill>
                  <a:schemeClr val="bg1"/>
                </a:solidFill>
                <a:effectLst/>
                <a:latin typeface="+mn-lt"/>
                <a:ea typeface="+mn-ea"/>
                <a:cs typeface="+mn-cs"/>
              </a:rPr>
              <a:t> trình nghề nghiệp</a:t>
            </a:r>
            <a:endParaRPr lang="en-US">
              <a:solidFill>
                <a:schemeClr val="bg1"/>
              </a:solidFill>
              <a:effectLst/>
            </a:endParaRPr>
          </a:p>
        </xdr:txBody>
      </xdr:sp>
      <xdr:sp macro="" textlink="">
        <xdr:nvSpPr>
          <xdr:cNvPr id="34" name="TextBox 33">
            <a:hlinkClick xmlns:r="http://schemas.openxmlformats.org/officeDocument/2006/relationships" r:id="rId14"/>
            <a:extLst>
              <a:ext uri="{FF2B5EF4-FFF2-40B4-BE49-F238E27FC236}">
                <a16:creationId xmlns:a16="http://schemas.microsoft.com/office/drawing/2014/main" id="{3DCEF4E1-DFB8-45C7-B50D-7114E57857EB}"/>
              </a:ext>
            </a:extLst>
          </xdr:cNvPr>
          <xdr:cNvSpPr txBox="1"/>
        </xdr:nvSpPr>
        <xdr:spPr>
          <a:xfrm>
            <a:off x="487686" y="3521164"/>
            <a:ext cx="1260846" cy="459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100" b="1">
                <a:solidFill>
                  <a:schemeClr val="bg1"/>
                </a:solidFill>
                <a:effectLst/>
                <a:latin typeface="+mn-lt"/>
                <a:ea typeface="+mn-ea"/>
                <a:cs typeface="+mn-cs"/>
              </a:rPr>
              <a:t>Kế</a:t>
            </a:r>
            <a:r>
              <a:rPr lang="en-US" sz="1100" b="1" baseline="0">
                <a:solidFill>
                  <a:schemeClr val="bg1"/>
                </a:solidFill>
                <a:effectLst/>
                <a:latin typeface="+mn-lt"/>
                <a:ea typeface="+mn-ea"/>
                <a:cs typeface="+mn-cs"/>
              </a:rPr>
              <a:t> hoạch </a:t>
            </a:r>
          </a:p>
          <a:p>
            <a:pPr algn="ctr"/>
            <a:r>
              <a:rPr lang="en-US" sz="1100" b="1" baseline="0">
                <a:solidFill>
                  <a:schemeClr val="bg1"/>
                </a:solidFill>
                <a:effectLst/>
                <a:latin typeface="+mn-lt"/>
                <a:ea typeface="+mn-ea"/>
                <a:cs typeface="+mn-cs"/>
              </a:rPr>
              <a:t>thu nhập &amp; chi tiêu</a:t>
            </a:r>
            <a:endParaRPr lang="en-US">
              <a:solidFill>
                <a:schemeClr val="bg1"/>
              </a:solidFill>
              <a:effectLst/>
            </a:endParaRPr>
          </a:p>
        </xdr:txBody>
      </xdr:sp>
      <xdr:sp macro="" textlink="">
        <xdr:nvSpPr>
          <xdr:cNvPr id="35" name="TextBox 34">
            <a:hlinkClick xmlns:r="http://schemas.openxmlformats.org/officeDocument/2006/relationships" r:id="rId15"/>
            <a:extLst>
              <a:ext uri="{FF2B5EF4-FFF2-40B4-BE49-F238E27FC236}">
                <a16:creationId xmlns:a16="http://schemas.microsoft.com/office/drawing/2014/main" id="{1E5127D8-C2D7-4640-B350-5B72C3510229}"/>
              </a:ext>
            </a:extLst>
          </xdr:cNvPr>
          <xdr:cNvSpPr txBox="1"/>
        </xdr:nvSpPr>
        <xdr:spPr>
          <a:xfrm>
            <a:off x="495750" y="413279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a:t>
            </a:r>
            <a:endParaRPr lang="en-US">
              <a:solidFill>
                <a:schemeClr val="bg1"/>
              </a:solidFill>
              <a:effectLst/>
            </a:endParaRPr>
          </a:p>
        </xdr:txBody>
      </xdr:sp>
      <xdr:sp macro="" textlink="">
        <xdr:nvSpPr>
          <xdr:cNvPr id="36" name="TextBox 35">
            <a:hlinkClick xmlns:r="http://schemas.openxmlformats.org/officeDocument/2006/relationships" r:id="rId16"/>
            <a:extLst>
              <a:ext uri="{FF2B5EF4-FFF2-40B4-BE49-F238E27FC236}">
                <a16:creationId xmlns:a16="http://schemas.microsoft.com/office/drawing/2014/main" id="{EE1100F1-7D9E-4E9A-8C63-0F1C2A61DA88}"/>
              </a:ext>
            </a:extLst>
          </xdr:cNvPr>
          <xdr:cNvSpPr txBox="1"/>
        </xdr:nvSpPr>
        <xdr:spPr>
          <a:xfrm>
            <a:off x="495750" y="4633291"/>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2</a:t>
            </a:r>
            <a:endParaRPr lang="en-US">
              <a:solidFill>
                <a:schemeClr val="bg1"/>
              </a:solidFill>
              <a:effectLst/>
            </a:endParaRPr>
          </a:p>
        </xdr:txBody>
      </xdr:sp>
      <xdr:sp macro="" textlink="">
        <xdr:nvSpPr>
          <xdr:cNvPr id="37" name="TextBox 36">
            <a:hlinkClick xmlns:r="http://schemas.openxmlformats.org/officeDocument/2006/relationships" r:id="rId17"/>
            <a:extLst>
              <a:ext uri="{FF2B5EF4-FFF2-40B4-BE49-F238E27FC236}">
                <a16:creationId xmlns:a16="http://schemas.microsoft.com/office/drawing/2014/main" id="{D167B873-2EB9-45CB-B89F-18FEE174828C}"/>
              </a:ext>
            </a:extLst>
          </xdr:cNvPr>
          <xdr:cNvSpPr txBox="1"/>
        </xdr:nvSpPr>
        <xdr:spPr>
          <a:xfrm>
            <a:off x="495750" y="5133792"/>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3</a:t>
            </a:r>
            <a:endParaRPr lang="en-US">
              <a:solidFill>
                <a:schemeClr val="bg1"/>
              </a:solidFill>
              <a:effectLst/>
            </a:endParaRPr>
          </a:p>
        </xdr:txBody>
      </xdr:sp>
      <xdr:sp macro="" textlink="">
        <xdr:nvSpPr>
          <xdr:cNvPr id="38" name="TextBox 37">
            <a:hlinkClick xmlns:r="http://schemas.openxmlformats.org/officeDocument/2006/relationships" r:id="rId18"/>
            <a:extLst>
              <a:ext uri="{FF2B5EF4-FFF2-40B4-BE49-F238E27FC236}">
                <a16:creationId xmlns:a16="http://schemas.microsoft.com/office/drawing/2014/main" id="{69553576-16CE-46D8-AD59-1409B0C38D5D}"/>
              </a:ext>
            </a:extLst>
          </xdr:cNvPr>
          <xdr:cNvSpPr txBox="1"/>
        </xdr:nvSpPr>
        <xdr:spPr>
          <a:xfrm>
            <a:off x="495750" y="5634293"/>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4</a:t>
            </a:r>
            <a:endParaRPr lang="en-US">
              <a:solidFill>
                <a:schemeClr val="bg1"/>
              </a:solidFill>
              <a:effectLst/>
            </a:endParaRPr>
          </a:p>
        </xdr:txBody>
      </xdr:sp>
      <xdr:sp macro="" textlink="">
        <xdr:nvSpPr>
          <xdr:cNvPr id="39" name="TextBox 38">
            <a:hlinkClick xmlns:r="http://schemas.openxmlformats.org/officeDocument/2006/relationships" r:id="rId19"/>
            <a:extLst>
              <a:ext uri="{FF2B5EF4-FFF2-40B4-BE49-F238E27FC236}">
                <a16:creationId xmlns:a16="http://schemas.microsoft.com/office/drawing/2014/main" id="{5B6B6024-953B-48EF-923B-EB296FD8711E}"/>
              </a:ext>
            </a:extLst>
          </xdr:cNvPr>
          <xdr:cNvSpPr txBox="1"/>
        </xdr:nvSpPr>
        <xdr:spPr>
          <a:xfrm>
            <a:off x="495750" y="6134794"/>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5</a:t>
            </a:r>
            <a:endParaRPr lang="en-US">
              <a:solidFill>
                <a:schemeClr val="bg1"/>
              </a:solidFill>
              <a:effectLst/>
            </a:endParaRPr>
          </a:p>
        </xdr:txBody>
      </xdr:sp>
      <xdr:sp macro="" textlink="">
        <xdr:nvSpPr>
          <xdr:cNvPr id="40" name="TextBox 39">
            <a:hlinkClick xmlns:r="http://schemas.openxmlformats.org/officeDocument/2006/relationships" r:id="rId20"/>
            <a:extLst>
              <a:ext uri="{FF2B5EF4-FFF2-40B4-BE49-F238E27FC236}">
                <a16:creationId xmlns:a16="http://schemas.microsoft.com/office/drawing/2014/main" id="{5ACE6FC0-F3B8-4A8C-9542-E71D578958BE}"/>
              </a:ext>
            </a:extLst>
          </xdr:cNvPr>
          <xdr:cNvSpPr txBox="1"/>
        </xdr:nvSpPr>
        <xdr:spPr>
          <a:xfrm>
            <a:off x="495750" y="6635295"/>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6</a:t>
            </a:r>
            <a:endParaRPr lang="en-US">
              <a:solidFill>
                <a:schemeClr val="bg1"/>
              </a:solidFill>
              <a:effectLst/>
            </a:endParaRPr>
          </a:p>
        </xdr:txBody>
      </xdr:sp>
      <xdr:sp macro="" textlink="">
        <xdr:nvSpPr>
          <xdr:cNvPr id="41" name="TextBox 40">
            <a:hlinkClick xmlns:r="http://schemas.openxmlformats.org/officeDocument/2006/relationships" r:id="rId21"/>
            <a:extLst>
              <a:ext uri="{FF2B5EF4-FFF2-40B4-BE49-F238E27FC236}">
                <a16:creationId xmlns:a16="http://schemas.microsoft.com/office/drawing/2014/main" id="{CB25E56D-0745-4B1E-834B-413DF57E811C}"/>
              </a:ext>
            </a:extLst>
          </xdr:cNvPr>
          <xdr:cNvSpPr txBox="1"/>
        </xdr:nvSpPr>
        <xdr:spPr>
          <a:xfrm>
            <a:off x="495750" y="7135796"/>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7</a:t>
            </a:r>
            <a:endParaRPr lang="en-US">
              <a:solidFill>
                <a:schemeClr val="bg1"/>
              </a:solidFill>
              <a:effectLst/>
            </a:endParaRPr>
          </a:p>
        </xdr:txBody>
      </xdr:sp>
      <xdr:sp macro="" textlink="">
        <xdr:nvSpPr>
          <xdr:cNvPr id="42" name="TextBox 41">
            <a:hlinkClick xmlns:r="http://schemas.openxmlformats.org/officeDocument/2006/relationships" r:id="rId22"/>
            <a:extLst>
              <a:ext uri="{FF2B5EF4-FFF2-40B4-BE49-F238E27FC236}">
                <a16:creationId xmlns:a16="http://schemas.microsoft.com/office/drawing/2014/main" id="{CFC091CC-7927-4051-9D58-02257FACA644}"/>
              </a:ext>
            </a:extLst>
          </xdr:cNvPr>
          <xdr:cNvSpPr txBox="1"/>
        </xdr:nvSpPr>
        <xdr:spPr>
          <a:xfrm>
            <a:off x="495750" y="7636297"/>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8</a:t>
            </a:r>
            <a:endParaRPr lang="en-US">
              <a:solidFill>
                <a:schemeClr val="bg1"/>
              </a:solidFill>
              <a:effectLst/>
            </a:endParaRPr>
          </a:p>
        </xdr:txBody>
      </xdr:sp>
      <xdr:sp macro="" textlink="">
        <xdr:nvSpPr>
          <xdr:cNvPr id="43" name="TextBox 42">
            <a:hlinkClick xmlns:r="http://schemas.openxmlformats.org/officeDocument/2006/relationships" r:id="rId23"/>
            <a:extLst>
              <a:ext uri="{FF2B5EF4-FFF2-40B4-BE49-F238E27FC236}">
                <a16:creationId xmlns:a16="http://schemas.microsoft.com/office/drawing/2014/main" id="{EACEA395-D5A7-4182-B617-3E20C302833D}"/>
              </a:ext>
            </a:extLst>
          </xdr:cNvPr>
          <xdr:cNvSpPr txBox="1"/>
        </xdr:nvSpPr>
        <xdr:spPr>
          <a:xfrm>
            <a:off x="495750" y="8136798"/>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ysClr val="windowText" lastClr="000000"/>
                </a:solidFill>
                <a:effectLst/>
                <a:latin typeface="+mn-lt"/>
                <a:ea typeface="+mn-ea"/>
                <a:cs typeface="+mn-cs"/>
              </a:rPr>
              <a:t>Theo dõi</a:t>
            </a:r>
            <a:r>
              <a:rPr lang="en-US" sz="1100" b="1" baseline="0">
                <a:solidFill>
                  <a:sysClr val="windowText" lastClr="000000"/>
                </a:solidFill>
                <a:effectLst/>
                <a:latin typeface="+mn-lt"/>
                <a:ea typeface="+mn-ea"/>
                <a:cs typeface="+mn-cs"/>
              </a:rPr>
              <a:t> tháng 9</a:t>
            </a:r>
            <a:endParaRPr lang="en-US">
              <a:solidFill>
                <a:sysClr val="windowText" lastClr="000000"/>
              </a:solidFill>
              <a:effectLst/>
            </a:endParaRPr>
          </a:p>
        </xdr:txBody>
      </xdr:sp>
      <xdr:sp macro="" textlink="">
        <xdr:nvSpPr>
          <xdr:cNvPr id="44" name="TextBox 43">
            <a:hlinkClick xmlns:r="http://schemas.openxmlformats.org/officeDocument/2006/relationships" r:id="rId24"/>
            <a:extLst>
              <a:ext uri="{FF2B5EF4-FFF2-40B4-BE49-F238E27FC236}">
                <a16:creationId xmlns:a16="http://schemas.microsoft.com/office/drawing/2014/main" id="{6C316723-D2E2-4121-A61B-5FAABAEFADF8}"/>
              </a:ext>
            </a:extLst>
          </xdr:cNvPr>
          <xdr:cNvSpPr txBox="1"/>
        </xdr:nvSpPr>
        <xdr:spPr>
          <a:xfrm>
            <a:off x="495750" y="8637299"/>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10</a:t>
            </a:r>
            <a:endParaRPr lang="en-US">
              <a:solidFill>
                <a:schemeClr val="bg1"/>
              </a:solidFill>
              <a:effectLst/>
            </a:endParaRPr>
          </a:p>
        </xdr:txBody>
      </xdr:sp>
      <xdr:sp macro="" textlink="">
        <xdr:nvSpPr>
          <xdr:cNvPr id="45" name="TextBox 44">
            <a:hlinkClick xmlns:r="http://schemas.openxmlformats.org/officeDocument/2006/relationships" r:id="rId25"/>
            <a:extLst>
              <a:ext uri="{FF2B5EF4-FFF2-40B4-BE49-F238E27FC236}">
                <a16:creationId xmlns:a16="http://schemas.microsoft.com/office/drawing/2014/main" id="{477EADDC-0AD3-4626-BFF0-522B8A017358}"/>
              </a:ext>
            </a:extLst>
          </xdr:cNvPr>
          <xdr:cNvSpPr txBox="1"/>
        </xdr:nvSpPr>
        <xdr:spPr>
          <a:xfrm>
            <a:off x="495750" y="913780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11</a:t>
            </a:r>
            <a:endParaRPr lang="en-US">
              <a:solidFill>
                <a:schemeClr val="bg1"/>
              </a:solidFill>
              <a:effectLst/>
            </a:endParaRPr>
          </a:p>
        </xdr:txBody>
      </xdr:sp>
      <xdr:sp macro="" textlink="">
        <xdr:nvSpPr>
          <xdr:cNvPr id="46" name="TextBox 45">
            <a:hlinkClick xmlns:r="http://schemas.openxmlformats.org/officeDocument/2006/relationships" r:id="rId26"/>
            <a:extLst>
              <a:ext uri="{FF2B5EF4-FFF2-40B4-BE49-F238E27FC236}">
                <a16:creationId xmlns:a16="http://schemas.microsoft.com/office/drawing/2014/main" id="{B492A5F8-1526-410A-B932-B2FD2D128B96}"/>
              </a:ext>
            </a:extLst>
          </xdr:cNvPr>
          <xdr:cNvSpPr txBox="1"/>
        </xdr:nvSpPr>
        <xdr:spPr>
          <a:xfrm>
            <a:off x="495750" y="9638301"/>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12</a:t>
            </a:r>
            <a:endParaRPr lang="en-US">
              <a:solidFill>
                <a:schemeClr val="bg1"/>
              </a:solidFill>
              <a:effectLst/>
            </a:endParaRPr>
          </a:p>
        </xdr:txBody>
      </xdr:sp>
      <xdr:sp macro="" textlink="">
        <xdr:nvSpPr>
          <xdr:cNvPr id="47" name="TextBox 46">
            <a:hlinkClick xmlns:r="http://schemas.openxmlformats.org/officeDocument/2006/relationships" r:id="rId27"/>
            <a:extLst>
              <a:ext uri="{FF2B5EF4-FFF2-40B4-BE49-F238E27FC236}">
                <a16:creationId xmlns:a16="http://schemas.microsoft.com/office/drawing/2014/main" id="{286D58AC-F63E-4DA5-83E3-AE1707C38B9F}"/>
              </a:ext>
            </a:extLst>
          </xdr:cNvPr>
          <xdr:cNvSpPr txBox="1"/>
        </xdr:nvSpPr>
        <xdr:spPr>
          <a:xfrm>
            <a:off x="495750" y="1013881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b="1">
                <a:solidFill>
                  <a:schemeClr val="bg1"/>
                </a:solidFill>
                <a:effectLst/>
                <a:latin typeface="+mn-lt"/>
                <a:ea typeface="+mn-ea"/>
                <a:cs typeface="+mn-cs"/>
              </a:rPr>
              <a:t>Bảng</a:t>
            </a:r>
            <a:r>
              <a:rPr lang="en-US" sz="1100" b="1" baseline="0">
                <a:solidFill>
                  <a:schemeClr val="bg1"/>
                </a:solidFill>
                <a:effectLst/>
                <a:latin typeface="+mn-lt"/>
                <a:ea typeface="+mn-ea"/>
                <a:cs typeface="+mn-cs"/>
              </a:rPr>
              <a:t> khảo sát</a:t>
            </a:r>
            <a:endParaRPr lang="en-US">
              <a:solidFill>
                <a:schemeClr val="bg1"/>
              </a:solidFill>
              <a:effectLst/>
            </a:endParaRPr>
          </a:p>
        </xdr:txBody>
      </xdr:sp>
    </xdr:grp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190500</xdr:colOff>
      <xdr:row>0</xdr:row>
      <xdr:rowOff>103688</xdr:rowOff>
    </xdr:from>
    <xdr:to>
      <xdr:col>2</xdr:col>
      <xdr:colOff>472440</xdr:colOff>
      <xdr:row>3</xdr:row>
      <xdr:rowOff>24759</xdr:rowOff>
    </xdr:to>
    <xdr:grpSp>
      <xdr:nvGrpSpPr>
        <xdr:cNvPr id="2" name="Group 1">
          <a:hlinkClick xmlns:r="http://schemas.openxmlformats.org/officeDocument/2006/relationships" r:id="rId1"/>
          <a:extLst>
            <a:ext uri="{FF2B5EF4-FFF2-40B4-BE49-F238E27FC236}">
              <a16:creationId xmlns:a16="http://schemas.microsoft.com/office/drawing/2014/main" id="{58D4389B-CAF6-4623-8147-847AA3783869}"/>
            </a:ext>
          </a:extLst>
        </xdr:cNvPr>
        <xdr:cNvGrpSpPr/>
      </xdr:nvGrpSpPr>
      <xdr:grpSpPr>
        <a:xfrm>
          <a:off x="190500" y="103688"/>
          <a:ext cx="1591628" cy="486619"/>
          <a:chOff x="190500" y="103688"/>
          <a:chExt cx="1501140" cy="492571"/>
        </a:xfrm>
      </xdr:grpSpPr>
      <xdr:sp macro="" textlink="">
        <xdr:nvSpPr>
          <xdr:cNvPr id="3" name="TextBox 2">
            <a:extLst>
              <a:ext uri="{FF2B5EF4-FFF2-40B4-BE49-F238E27FC236}">
                <a16:creationId xmlns:a16="http://schemas.microsoft.com/office/drawing/2014/main" id="{E2CB2BC6-23C0-44F2-A695-604EB0938227}"/>
              </a:ext>
            </a:extLst>
          </xdr:cNvPr>
          <xdr:cNvSpPr txBox="1"/>
        </xdr:nvSpPr>
        <xdr:spPr>
          <a:xfrm>
            <a:off x="457200" y="103688"/>
            <a:ext cx="1234440" cy="4925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300" b="1" baseline="0">
                <a:solidFill>
                  <a:schemeClr val="bg1"/>
                </a:solidFill>
                <a:latin typeface="Roboto" pitchFamily="2" charset="0"/>
                <a:ea typeface="Roboto" pitchFamily="2" charset="0"/>
                <a:cs typeface="Times New Roman" panose="02020603050405020304" pitchFamily="18" charset="0"/>
              </a:rPr>
              <a:t>TÀI CHÍNH</a:t>
            </a:r>
          </a:p>
          <a:p>
            <a:pPr algn="ctr"/>
            <a:r>
              <a:rPr lang="en-US" sz="1300" b="1" baseline="0">
                <a:solidFill>
                  <a:schemeClr val="bg1"/>
                </a:solidFill>
                <a:latin typeface="Roboto" pitchFamily="2" charset="0"/>
                <a:ea typeface="Roboto" pitchFamily="2" charset="0"/>
                <a:cs typeface="Times New Roman" panose="02020603050405020304" pitchFamily="18" charset="0"/>
              </a:rPr>
              <a:t>CÁ NHÂN</a:t>
            </a:r>
            <a:endParaRPr lang="en-US" sz="1300" b="1">
              <a:solidFill>
                <a:schemeClr val="bg1"/>
              </a:solidFill>
              <a:latin typeface="Roboto" pitchFamily="2" charset="0"/>
              <a:ea typeface="Roboto" pitchFamily="2" charset="0"/>
              <a:cs typeface="Times New Roman" panose="02020603050405020304" pitchFamily="18" charset="0"/>
            </a:endParaRPr>
          </a:p>
        </xdr:txBody>
      </xdr:sp>
      <xdr:pic>
        <xdr:nvPicPr>
          <xdr:cNvPr id="4" name="Graphic 3" descr="Diamond">
            <a:extLst>
              <a:ext uri="{FF2B5EF4-FFF2-40B4-BE49-F238E27FC236}">
                <a16:creationId xmlns:a16="http://schemas.microsoft.com/office/drawing/2014/main" id="{1A314AA9-0C15-47DF-A2A8-66F94E8FC12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90500" y="167093"/>
            <a:ext cx="365760" cy="365760"/>
          </a:xfrm>
          <a:prstGeom prst="rect">
            <a:avLst/>
          </a:prstGeom>
        </xdr:spPr>
      </xdr:pic>
    </xdr:grpSp>
    <xdr:clientData/>
  </xdr:twoCellAnchor>
  <xdr:twoCellAnchor>
    <xdr:from>
      <xdr:col>9</xdr:col>
      <xdr:colOff>321468</xdr:colOff>
      <xdr:row>7</xdr:row>
      <xdr:rowOff>170258</xdr:rowOff>
    </xdr:from>
    <xdr:to>
      <xdr:col>23</xdr:col>
      <xdr:colOff>0</xdr:colOff>
      <xdr:row>22</xdr:row>
      <xdr:rowOff>35719</xdr:rowOff>
    </xdr:to>
    <xdr:graphicFrame macro="">
      <xdr:nvGraphicFramePr>
        <xdr:cNvPr id="7" name="Chart 6">
          <a:extLst>
            <a:ext uri="{FF2B5EF4-FFF2-40B4-BE49-F238E27FC236}">
              <a16:creationId xmlns:a16="http://schemas.microsoft.com/office/drawing/2014/main" id="{08A30EBE-4CC0-4785-9E4E-AE05681E45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345278</xdr:colOff>
      <xdr:row>4</xdr:row>
      <xdr:rowOff>0</xdr:rowOff>
    </xdr:from>
    <xdr:to>
      <xdr:col>3</xdr:col>
      <xdr:colOff>9210</xdr:colOff>
      <xdr:row>57</xdr:row>
      <xdr:rowOff>43619</xdr:rowOff>
    </xdr:to>
    <xdr:grpSp>
      <xdr:nvGrpSpPr>
        <xdr:cNvPr id="8" name="Group 7">
          <a:extLst>
            <a:ext uri="{FF2B5EF4-FFF2-40B4-BE49-F238E27FC236}">
              <a16:creationId xmlns:a16="http://schemas.microsoft.com/office/drawing/2014/main" id="{81B1A571-298D-4DC9-89C0-3EDC1A8119F1}"/>
            </a:ext>
          </a:extLst>
        </xdr:cNvPr>
        <xdr:cNvGrpSpPr/>
      </xdr:nvGrpSpPr>
      <xdr:grpSpPr>
        <a:xfrm>
          <a:off x="345278" y="750094"/>
          <a:ext cx="1628463" cy="10134166"/>
          <a:chOff x="350042" y="654846"/>
          <a:chExt cx="1485588" cy="10223462"/>
        </a:xfrm>
      </xdr:grpSpPr>
      <xdr:pic>
        <xdr:nvPicPr>
          <xdr:cNvPr id="9" name="Graphic 8">
            <a:extLst>
              <a:ext uri="{FF2B5EF4-FFF2-40B4-BE49-F238E27FC236}">
                <a16:creationId xmlns:a16="http://schemas.microsoft.com/office/drawing/2014/main" id="{39A28412-2B69-4AEE-8479-93E72C48221A}"/>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654846"/>
            <a:ext cx="1485588" cy="1214436"/>
          </a:xfrm>
          <a:prstGeom prst="rect">
            <a:avLst/>
          </a:prstGeom>
        </xdr:spPr>
      </xdr:pic>
      <xdr:pic>
        <xdr:nvPicPr>
          <xdr:cNvPr id="10" name="Graphic 9">
            <a:extLst>
              <a:ext uri="{FF2B5EF4-FFF2-40B4-BE49-F238E27FC236}">
                <a16:creationId xmlns:a16="http://schemas.microsoft.com/office/drawing/2014/main" id="{BE5722E5-24C8-415D-A92B-8286C0B4EBBA}"/>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1155347"/>
            <a:ext cx="1485588" cy="1214436"/>
          </a:xfrm>
          <a:prstGeom prst="rect">
            <a:avLst/>
          </a:prstGeom>
        </xdr:spPr>
      </xdr:pic>
      <xdr:pic>
        <xdr:nvPicPr>
          <xdr:cNvPr id="11" name="Graphic 10">
            <a:extLst>
              <a:ext uri="{FF2B5EF4-FFF2-40B4-BE49-F238E27FC236}">
                <a16:creationId xmlns:a16="http://schemas.microsoft.com/office/drawing/2014/main" id="{EC9A04E2-5770-426C-937A-7EEB1C55E867}"/>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1655848"/>
            <a:ext cx="1485588" cy="1214436"/>
          </a:xfrm>
          <a:prstGeom prst="rect">
            <a:avLst/>
          </a:prstGeom>
        </xdr:spPr>
      </xdr:pic>
      <xdr:pic>
        <xdr:nvPicPr>
          <xdr:cNvPr id="12" name="Graphic 11">
            <a:extLst>
              <a:ext uri="{FF2B5EF4-FFF2-40B4-BE49-F238E27FC236}">
                <a16:creationId xmlns:a16="http://schemas.microsoft.com/office/drawing/2014/main" id="{B6CBDA05-43F3-46E5-92ED-FF91F4848B7E}"/>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2156349"/>
            <a:ext cx="1485588" cy="1214436"/>
          </a:xfrm>
          <a:prstGeom prst="rect">
            <a:avLst/>
          </a:prstGeom>
        </xdr:spPr>
      </xdr:pic>
      <xdr:pic>
        <xdr:nvPicPr>
          <xdr:cNvPr id="13" name="Graphic 12">
            <a:extLst>
              <a:ext uri="{FF2B5EF4-FFF2-40B4-BE49-F238E27FC236}">
                <a16:creationId xmlns:a16="http://schemas.microsoft.com/office/drawing/2014/main" id="{51520A3A-73BE-434F-9CED-10826E42A591}"/>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2656850"/>
            <a:ext cx="1485588" cy="1214436"/>
          </a:xfrm>
          <a:prstGeom prst="rect">
            <a:avLst/>
          </a:prstGeom>
        </xdr:spPr>
      </xdr:pic>
      <xdr:pic>
        <xdr:nvPicPr>
          <xdr:cNvPr id="14" name="Graphic 13">
            <a:extLst>
              <a:ext uri="{FF2B5EF4-FFF2-40B4-BE49-F238E27FC236}">
                <a16:creationId xmlns:a16="http://schemas.microsoft.com/office/drawing/2014/main" id="{D696658B-4D19-4746-BA50-E343DF6F16D3}"/>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3157351"/>
            <a:ext cx="1485588" cy="1214436"/>
          </a:xfrm>
          <a:prstGeom prst="rect">
            <a:avLst/>
          </a:prstGeom>
        </xdr:spPr>
      </xdr:pic>
      <xdr:pic>
        <xdr:nvPicPr>
          <xdr:cNvPr id="15" name="Graphic 14">
            <a:extLst>
              <a:ext uri="{FF2B5EF4-FFF2-40B4-BE49-F238E27FC236}">
                <a16:creationId xmlns:a16="http://schemas.microsoft.com/office/drawing/2014/main" id="{A3B6F971-7EEC-432F-9D28-84831DAF7C3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3657852"/>
            <a:ext cx="1485588" cy="1214436"/>
          </a:xfrm>
          <a:prstGeom prst="rect">
            <a:avLst/>
          </a:prstGeom>
        </xdr:spPr>
      </xdr:pic>
      <xdr:pic>
        <xdr:nvPicPr>
          <xdr:cNvPr id="16" name="Graphic 15">
            <a:extLst>
              <a:ext uri="{FF2B5EF4-FFF2-40B4-BE49-F238E27FC236}">
                <a16:creationId xmlns:a16="http://schemas.microsoft.com/office/drawing/2014/main" id="{0DF1C1A4-BB9B-4844-9D15-C74CB10C2838}"/>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4158353"/>
            <a:ext cx="1485588" cy="1214436"/>
          </a:xfrm>
          <a:prstGeom prst="rect">
            <a:avLst/>
          </a:prstGeom>
        </xdr:spPr>
      </xdr:pic>
      <xdr:pic>
        <xdr:nvPicPr>
          <xdr:cNvPr id="17" name="Graphic 16">
            <a:extLst>
              <a:ext uri="{FF2B5EF4-FFF2-40B4-BE49-F238E27FC236}">
                <a16:creationId xmlns:a16="http://schemas.microsoft.com/office/drawing/2014/main" id="{19DBA019-3ABC-4F9A-B652-74EC594F0C3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4658854"/>
            <a:ext cx="1485588" cy="1214436"/>
          </a:xfrm>
          <a:prstGeom prst="rect">
            <a:avLst/>
          </a:prstGeom>
        </xdr:spPr>
      </xdr:pic>
      <xdr:pic>
        <xdr:nvPicPr>
          <xdr:cNvPr id="18" name="Graphic 17">
            <a:extLst>
              <a:ext uri="{FF2B5EF4-FFF2-40B4-BE49-F238E27FC236}">
                <a16:creationId xmlns:a16="http://schemas.microsoft.com/office/drawing/2014/main" id="{92B78FD8-36EC-45DB-8CB8-5261BC6C627E}"/>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5159355"/>
            <a:ext cx="1485588" cy="1214436"/>
          </a:xfrm>
          <a:prstGeom prst="rect">
            <a:avLst/>
          </a:prstGeom>
        </xdr:spPr>
      </xdr:pic>
      <xdr:pic>
        <xdr:nvPicPr>
          <xdr:cNvPr id="19" name="Graphic 18">
            <a:extLst>
              <a:ext uri="{FF2B5EF4-FFF2-40B4-BE49-F238E27FC236}">
                <a16:creationId xmlns:a16="http://schemas.microsoft.com/office/drawing/2014/main" id="{E05C52DA-9ABC-49DD-A949-7DBE56ADC92A}"/>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5659856"/>
            <a:ext cx="1485588" cy="1214436"/>
          </a:xfrm>
          <a:prstGeom prst="rect">
            <a:avLst/>
          </a:prstGeom>
        </xdr:spPr>
      </xdr:pic>
      <xdr:pic>
        <xdr:nvPicPr>
          <xdr:cNvPr id="20" name="Graphic 19">
            <a:extLst>
              <a:ext uri="{FF2B5EF4-FFF2-40B4-BE49-F238E27FC236}">
                <a16:creationId xmlns:a16="http://schemas.microsoft.com/office/drawing/2014/main" id="{9CFB5082-8891-44F2-97E2-85AC7B39A083}"/>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6160357"/>
            <a:ext cx="1485588" cy="1214436"/>
          </a:xfrm>
          <a:prstGeom prst="rect">
            <a:avLst/>
          </a:prstGeom>
        </xdr:spPr>
      </xdr:pic>
      <xdr:pic>
        <xdr:nvPicPr>
          <xdr:cNvPr id="21" name="Graphic 20">
            <a:extLst>
              <a:ext uri="{FF2B5EF4-FFF2-40B4-BE49-F238E27FC236}">
                <a16:creationId xmlns:a16="http://schemas.microsoft.com/office/drawing/2014/main" id="{1B8433BE-E5C9-4B1F-AE24-0F418E978378}"/>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6660858"/>
            <a:ext cx="1485588" cy="1214436"/>
          </a:xfrm>
          <a:prstGeom prst="rect">
            <a:avLst/>
          </a:prstGeom>
        </xdr:spPr>
      </xdr:pic>
      <xdr:pic>
        <xdr:nvPicPr>
          <xdr:cNvPr id="22" name="Graphic 21">
            <a:extLst>
              <a:ext uri="{FF2B5EF4-FFF2-40B4-BE49-F238E27FC236}">
                <a16:creationId xmlns:a16="http://schemas.microsoft.com/office/drawing/2014/main" id="{E8BBEF9C-4AC9-4EC6-A50A-A79BE7C50B94}"/>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7161359"/>
            <a:ext cx="1485588" cy="1214436"/>
          </a:xfrm>
          <a:prstGeom prst="rect">
            <a:avLst/>
          </a:prstGeom>
        </xdr:spPr>
      </xdr:pic>
      <xdr:pic>
        <xdr:nvPicPr>
          <xdr:cNvPr id="23" name="Graphic 22">
            <a:extLst>
              <a:ext uri="{FF2B5EF4-FFF2-40B4-BE49-F238E27FC236}">
                <a16:creationId xmlns:a16="http://schemas.microsoft.com/office/drawing/2014/main" id="{9809399E-7A58-4463-AE6A-B124CDF3E464}"/>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7661860"/>
            <a:ext cx="1485588" cy="1214436"/>
          </a:xfrm>
          <a:prstGeom prst="rect">
            <a:avLst/>
          </a:prstGeom>
        </xdr:spPr>
      </xdr:pic>
      <xdr:pic>
        <xdr:nvPicPr>
          <xdr:cNvPr id="25" name="Graphic 24">
            <a:extLst>
              <a:ext uri="{FF2B5EF4-FFF2-40B4-BE49-F238E27FC236}">
                <a16:creationId xmlns:a16="http://schemas.microsoft.com/office/drawing/2014/main" id="{98DB79A2-21EA-423A-9551-1BFC52B4F039}"/>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8662862"/>
            <a:ext cx="1485588" cy="1214436"/>
          </a:xfrm>
          <a:prstGeom prst="rect">
            <a:avLst/>
          </a:prstGeom>
        </xdr:spPr>
      </xdr:pic>
      <xdr:pic>
        <xdr:nvPicPr>
          <xdr:cNvPr id="24" name="Graphic 23">
            <a:extLst>
              <a:ext uri="{FF2B5EF4-FFF2-40B4-BE49-F238E27FC236}">
                <a16:creationId xmlns:a16="http://schemas.microsoft.com/office/drawing/2014/main" id="{CB489060-C501-4689-B401-384BCF654EC5}"/>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rcRect r="28388"/>
          <a:stretch/>
        </xdr:blipFill>
        <xdr:spPr>
          <a:xfrm>
            <a:off x="350042" y="8162361"/>
            <a:ext cx="1485588" cy="1214436"/>
          </a:xfrm>
          <a:prstGeom prst="rect">
            <a:avLst/>
          </a:prstGeom>
        </xdr:spPr>
      </xdr:pic>
      <xdr:pic>
        <xdr:nvPicPr>
          <xdr:cNvPr id="26" name="Graphic 25">
            <a:extLst>
              <a:ext uri="{FF2B5EF4-FFF2-40B4-BE49-F238E27FC236}">
                <a16:creationId xmlns:a16="http://schemas.microsoft.com/office/drawing/2014/main" id="{C7483396-7967-4345-9209-CF4B7C54129A}"/>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9163363"/>
            <a:ext cx="1485588" cy="1214436"/>
          </a:xfrm>
          <a:prstGeom prst="rect">
            <a:avLst/>
          </a:prstGeom>
        </xdr:spPr>
      </xdr:pic>
      <xdr:pic>
        <xdr:nvPicPr>
          <xdr:cNvPr id="27" name="Graphic 26">
            <a:extLst>
              <a:ext uri="{FF2B5EF4-FFF2-40B4-BE49-F238E27FC236}">
                <a16:creationId xmlns:a16="http://schemas.microsoft.com/office/drawing/2014/main" id="{DA8886D0-15A8-4831-93CA-D7FD356580F6}"/>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9663872"/>
            <a:ext cx="1485588" cy="1214436"/>
          </a:xfrm>
          <a:prstGeom prst="rect">
            <a:avLst/>
          </a:prstGeom>
        </xdr:spPr>
      </xdr:pic>
    </xdr:grpSp>
    <xdr:clientData/>
  </xdr:twoCellAnchor>
  <xdr:twoCellAnchor>
    <xdr:from>
      <xdr:col>0</xdr:col>
      <xdr:colOff>453617</xdr:colOff>
      <xdr:row>6</xdr:row>
      <xdr:rowOff>93938</xdr:rowOff>
    </xdr:from>
    <xdr:to>
      <xdr:col>2</xdr:col>
      <xdr:colOff>508089</xdr:colOff>
      <xdr:row>54</xdr:row>
      <xdr:rowOff>152087</xdr:rowOff>
    </xdr:to>
    <xdr:grpSp>
      <xdr:nvGrpSpPr>
        <xdr:cNvPr id="28" name="Group 27">
          <a:extLst>
            <a:ext uri="{FF2B5EF4-FFF2-40B4-BE49-F238E27FC236}">
              <a16:creationId xmlns:a16="http://schemas.microsoft.com/office/drawing/2014/main" id="{F097777E-5A55-44F8-AC44-B14C66634A79}"/>
            </a:ext>
          </a:extLst>
        </xdr:cNvPr>
        <xdr:cNvGrpSpPr/>
      </xdr:nvGrpSpPr>
      <xdr:grpSpPr>
        <a:xfrm>
          <a:off x="453617" y="1225032"/>
          <a:ext cx="1364160" cy="9184290"/>
          <a:chOff x="487686" y="1129784"/>
          <a:chExt cx="1268910" cy="9273586"/>
        </a:xfrm>
      </xdr:grpSpPr>
      <xdr:sp macro="" textlink="">
        <xdr:nvSpPr>
          <xdr:cNvPr id="29" name="TextBox 28">
            <a:hlinkClick xmlns:r="http://schemas.openxmlformats.org/officeDocument/2006/relationships" r:id="rId9"/>
            <a:extLst>
              <a:ext uri="{FF2B5EF4-FFF2-40B4-BE49-F238E27FC236}">
                <a16:creationId xmlns:a16="http://schemas.microsoft.com/office/drawing/2014/main" id="{123466FF-4136-4FC9-AD60-908E7F098325}"/>
              </a:ext>
            </a:extLst>
          </xdr:cNvPr>
          <xdr:cNvSpPr txBox="1"/>
        </xdr:nvSpPr>
        <xdr:spPr>
          <a:xfrm>
            <a:off x="784825" y="1129784"/>
            <a:ext cx="67317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Từ</a:t>
            </a:r>
            <a:r>
              <a:rPr lang="en-US" sz="1100" b="1" baseline="0">
                <a:solidFill>
                  <a:schemeClr val="bg1"/>
                </a:solidFill>
              </a:rPr>
              <a:t> khóa</a:t>
            </a:r>
            <a:endParaRPr lang="en-US" sz="1100" b="1">
              <a:solidFill>
                <a:schemeClr val="bg1"/>
              </a:solidFill>
            </a:endParaRPr>
          </a:p>
        </xdr:txBody>
      </xdr:sp>
      <xdr:sp macro="" textlink="">
        <xdr:nvSpPr>
          <xdr:cNvPr id="30" name="TextBox 29">
            <a:hlinkClick xmlns:r="http://schemas.openxmlformats.org/officeDocument/2006/relationships" r:id="rId10"/>
            <a:extLst>
              <a:ext uri="{FF2B5EF4-FFF2-40B4-BE49-F238E27FC236}">
                <a16:creationId xmlns:a16="http://schemas.microsoft.com/office/drawing/2014/main" id="{E83444B0-4049-4962-BB02-FB6D93E53D35}"/>
              </a:ext>
            </a:extLst>
          </xdr:cNvPr>
          <xdr:cNvSpPr txBox="1"/>
        </xdr:nvSpPr>
        <xdr:spPr>
          <a:xfrm>
            <a:off x="708434" y="1630285"/>
            <a:ext cx="82595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Dashboard</a:t>
            </a:r>
          </a:p>
        </xdr:txBody>
      </xdr:sp>
      <xdr:sp macro="" textlink="">
        <xdr:nvSpPr>
          <xdr:cNvPr id="31" name="TextBox 30">
            <a:hlinkClick xmlns:r="http://schemas.openxmlformats.org/officeDocument/2006/relationships" r:id="rId11"/>
            <a:extLst>
              <a:ext uri="{FF2B5EF4-FFF2-40B4-BE49-F238E27FC236}">
                <a16:creationId xmlns:a16="http://schemas.microsoft.com/office/drawing/2014/main" id="{52466F95-E3E2-45B8-BA49-CE957495CF21}"/>
              </a:ext>
            </a:extLst>
          </xdr:cNvPr>
          <xdr:cNvSpPr txBox="1"/>
        </xdr:nvSpPr>
        <xdr:spPr>
          <a:xfrm>
            <a:off x="495750" y="2130786"/>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Mục</a:t>
            </a:r>
            <a:r>
              <a:rPr lang="en-US" sz="1100" b="1" baseline="0">
                <a:solidFill>
                  <a:schemeClr val="bg1"/>
                </a:solidFill>
                <a:effectLst/>
                <a:latin typeface="+mn-lt"/>
                <a:ea typeface="+mn-ea"/>
                <a:cs typeface="+mn-cs"/>
              </a:rPr>
              <a:t> tiêu bản thân</a:t>
            </a:r>
            <a:endParaRPr lang="en-US">
              <a:solidFill>
                <a:schemeClr val="bg1"/>
              </a:solidFill>
              <a:effectLst/>
            </a:endParaRPr>
          </a:p>
        </xdr:txBody>
      </xdr:sp>
      <xdr:sp macro="" textlink="">
        <xdr:nvSpPr>
          <xdr:cNvPr id="32" name="TextBox 31">
            <a:hlinkClick xmlns:r="http://schemas.openxmlformats.org/officeDocument/2006/relationships" r:id="rId12"/>
            <a:extLst>
              <a:ext uri="{FF2B5EF4-FFF2-40B4-BE49-F238E27FC236}">
                <a16:creationId xmlns:a16="http://schemas.microsoft.com/office/drawing/2014/main" id="{AE122A94-FB3E-494B-8D0E-DC11D44A4F07}"/>
              </a:ext>
            </a:extLst>
          </xdr:cNvPr>
          <xdr:cNvSpPr txBox="1"/>
        </xdr:nvSpPr>
        <xdr:spPr>
          <a:xfrm>
            <a:off x="495750" y="2631287"/>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Mục</a:t>
            </a:r>
            <a:r>
              <a:rPr lang="en-US" sz="1100" b="1" baseline="0">
                <a:solidFill>
                  <a:schemeClr val="bg1"/>
                </a:solidFill>
                <a:effectLst/>
                <a:latin typeface="+mn-lt"/>
                <a:ea typeface="+mn-ea"/>
                <a:cs typeface="+mn-cs"/>
              </a:rPr>
              <a:t> tiêu tài chính</a:t>
            </a:r>
            <a:endParaRPr lang="en-US">
              <a:solidFill>
                <a:schemeClr val="bg1"/>
              </a:solidFill>
              <a:effectLst/>
            </a:endParaRPr>
          </a:p>
        </xdr:txBody>
      </xdr:sp>
      <xdr:sp macro="" textlink="">
        <xdr:nvSpPr>
          <xdr:cNvPr id="33" name="TextBox 32">
            <a:hlinkClick xmlns:r="http://schemas.openxmlformats.org/officeDocument/2006/relationships" r:id="rId13"/>
            <a:extLst>
              <a:ext uri="{FF2B5EF4-FFF2-40B4-BE49-F238E27FC236}">
                <a16:creationId xmlns:a16="http://schemas.microsoft.com/office/drawing/2014/main" id="{003C5471-550B-4155-93C7-0F0583AE4269}"/>
              </a:ext>
            </a:extLst>
          </xdr:cNvPr>
          <xdr:cNvSpPr txBox="1"/>
        </xdr:nvSpPr>
        <xdr:spPr>
          <a:xfrm>
            <a:off x="487686" y="3020663"/>
            <a:ext cx="1260846" cy="459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b="1">
                <a:solidFill>
                  <a:schemeClr val="bg1"/>
                </a:solidFill>
                <a:effectLst/>
                <a:latin typeface="+mn-lt"/>
                <a:ea typeface="+mn-ea"/>
                <a:cs typeface="+mn-cs"/>
              </a:rPr>
              <a:t>Cân</a:t>
            </a:r>
            <a:r>
              <a:rPr lang="en-US" sz="1100" b="1" baseline="0">
                <a:solidFill>
                  <a:schemeClr val="bg1"/>
                </a:solidFill>
                <a:effectLst/>
                <a:latin typeface="+mn-lt"/>
                <a:ea typeface="+mn-ea"/>
                <a:cs typeface="+mn-cs"/>
              </a:rPr>
              <a:t> đối</a:t>
            </a:r>
            <a:endParaRPr lang="en-US">
              <a:solidFill>
                <a:schemeClr val="bg1"/>
              </a:solidFill>
              <a:effectLst/>
            </a:endParaRPr>
          </a:p>
          <a:p>
            <a:pPr algn="ctr"/>
            <a:r>
              <a:rPr lang="en-US" sz="1100" b="1" baseline="0">
                <a:solidFill>
                  <a:schemeClr val="bg1"/>
                </a:solidFill>
                <a:effectLst/>
                <a:latin typeface="+mn-lt"/>
                <a:ea typeface="+mn-ea"/>
                <a:cs typeface="+mn-cs"/>
              </a:rPr>
              <a:t>l</a:t>
            </a:r>
            <a:r>
              <a:rPr lang="en-US" sz="1100" b="1">
                <a:solidFill>
                  <a:schemeClr val="bg1"/>
                </a:solidFill>
                <a:effectLst/>
                <a:latin typeface="+mn-lt"/>
                <a:ea typeface="+mn-ea"/>
                <a:cs typeface="+mn-cs"/>
              </a:rPr>
              <a:t>ộ</a:t>
            </a:r>
            <a:r>
              <a:rPr lang="en-US" sz="1100" b="1" baseline="0">
                <a:solidFill>
                  <a:schemeClr val="bg1"/>
                </a:solidFill>
                <a:effectLst/>
                <a:latin typeface="+mn-lt"/>
                <a:ea typeface="+mn-ea"/>
                <a:cs typeface="+mn-cs"/>
              </a:rPr>
              <a:t> trình nghề nghiệp</a:t>
            </a:r>
            <a:endParaRPr lang="en-US">
              <a:solidFill>
                <a:schemeClr val="bg1"/>
              </a:solidFill>
              <a:effectLst/>
            </a:endParaRPr>
          </a:p>
        </xdr:txBody>
      </xdr:sp>
      <xdr:sp macro="" textlink="">
        <xdr:nvSpPr>
          <xdr:cNvPr id="34" name="TextBox 33">
            <a:hlinkClick xmlns:r="http://schemas.openxmlformats.org/officeDocument/2006/relationships" r:id="rId14"/>
            <a:extLst>
              <a:ext uri="{FF2B5EF4-FFF2-40B4-BE49-F238E27FC236}">
                <a16:creationId xmlns:a16="http://schemas.microsoft.com/office/drawing/2014/main" id="{D72CE9BE-2C2E-4984-8186-E045B1D14509}"/>
              </a:ext>
            </a:extLst>
          </xdr:cNvPr>
          <xdr:cNvSpPr txBox="1"/>
        </xdr:nvSpPr>
        <xdr:spPr>
          <a:xfrm>
            <a:off x="487686" y="3521164"/>
            <a:ext cx="1260846" cy="459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100" b="1">
                <a:solidFill>
                  <a:schemeClr val="bg1"/>
                </a:solidFill>
                <a:effectLst/>
                <a:latin typeface="+mn-lt"/>
                <a:ea typeface="+mn-ea"/>
                <a:cs typeface="+mn-cs"/>
              </a:rPr>
              <a:t>Kế</a:t>
            </a:r>
            <a:r>
              <a:rPr lang="en-US" sz="1100" b="1" baseline="0">
                <a:solidFill>
                  <a:schemeClr val="bg1"/>
                </a:solidFill>
                <a:effectLst/>
                <a:latin typeface="+mn-lt"/>
                <a:ea typeface="+mn-ea"/>
                <a:cs typeface="+mn-cs"/>
              </a:rPr>
              <a:t> hoạch </a:t>
            </a:r>
          </a:p>
          <a:p>
            <a:pPr algn="ctr"/>
            <a:r>
              <a:rPr lang="en-US" sz="1100" b="1" baseline="0">
                <a:solidFill>
                  <a:schemeClr val="bg1"/>
                </a:solidFill>
                <a:effectLst/>
                <a:latin typeface="+mn-lt"/>
                <a:ea typeface="+mn-ea"/>
                <a:cs typeface="+mn-cs"/>
              </a:rPr>
              <a:t>thu nhập &amp; chi tiêu</a:t>
            </a:r>
            <a:endParaRPr lang="en-US">
              <a:solidFill>
                <a:schemeClr val="bg1"/>
              </a:solidFill>
              <a:effectLst/>
            </a:endParaRPr>
          </a:p>
        </xdr:txBody>
      </xdr:sp>
      <xdr:sp macro="" textlink="">
        <xdr:nvSpPr>
          <xdr:cNvPr id="35" name="TextBox 34">
            <a:hlinkClick xmlns:r="http://schemas.openxmlformats.org/officeDocument/2006/relationships" r:id="rId15"/>
            <a:extLst>
              <a:ext uri="{FF2B5EF4-FFF2-40B4-BE49-F238E27FC236}">
                <a16:creationId xmlns:a16="http://schemas.microsoft.com/office/drawing/2014/main" id="{6225BC31-40DC-4EB2-BEB1-978C4B4BC33E}"/>
              </a:ext>
            </a:extLst>
          </xdr:cNvPr>
          <xdr:cNvSpPr txBox="1"/>
        </xdr:nvSpPr>
        <xdr:spPr>
          <a:xfrm>
            <a:off x="495750" y="413279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a:t>
            </a:r>
            <a:endParaRPr lang="en-US">
              <a:solidFill>
                <a:schemeClr val="bg1"/>
              </a:solidFill>
              <a:effectLst/>
            </a:endParaRPr>
          </a:p>
        </xdr:txBody>
      </xdr:sp>
      <xdr:sp macro="" textlink="">
        <xdr:nvSpPr>
          <xdr:cNvPr id="36" name="TextBox 35">
            <a:hlinkClick xmlns:r="http://schemas.openxmlformats.org/officeDocument/2006/relationships" r:id="rId16"/>
            <a:extLst>
              <a:ext uri="{FF2B5EF4-FFF2-40B4-BE49-F238E27FC236}">
                <a16:creationId xmlns:a16="http://schemas.microsoft.com/office/drawing/2014/main" id="{94BF5E3B-440A-4A1D-AF7C-6F8555857DDA}"/>
              </a:ext>
            </a:extLst>
          </xdr:cNvPr>
          <xdr:cNvSpPr txBox="1"/>
        </xdr:nvSpPr>
        <xdr:spPr>
          <a:xfrm>
            <a:off x="495750" y="4633291"/>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2</a:t>
            </a:r>
            <a:endParaRPr lang="en-US">
              <a:solidFill>
                <a:schemeClr val="bg1"/>
              </a:solidFill>
              <a:effectLst/>
            </a:endParaRPr>
          </a:p>
        </xdr:txBody>
      </xdr:sp>
      <xdr:sp macro="" textlink="">
        <xdr:nvSpPr>
          <xdr:cNvPr id="37" name="TextBox 36">
            <a:hlinkClick xmlns:r="http://schemas.openxmlformats.org/officeDocument/2006/relationships" r:id="rId17"/>
            <a:extLst>
              <a:ext uri="{FF2B5EF4-FFF2-40B4-BE49-F238E27FC236}">
                <a16:creationId xmlns:a16="http://schemas.microsoft.com/office/drawing/2014/main" id="{32657396-B2B0-46A5-ABC8-68CACBC80747}"/>
              </a:ext>
            </a:extLst>
          </xdr:cNvPr>
          <xdr:cNvSpPr txBox="1"/>
        </xdr:nvSpPr>
        <xdr:spPr>
          <a:xfrm>
            <a:off x="495750" y="5133792"/>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3</a:t>
            </a:r>
            <a:endParaRPr lang="en-US">
              <a:solidFill>
                <a:schemeClr val="bg1"/>
              </a:solidFill>
              <a:effectLst/>
            </a:endParaRPr>
          </a:p>
        </xdr:txBody>
      </xdr:sp>
      <xdr:sp macro="" textlink="">
        <xdr:nvSpPr>
          <xdr:cNvPr id="38" name="TextBox 37">
            <a:hlinkClick xmlns:r="http://schemas.openxmlformats.org/officeDocument/2006/relationships" r:id="rId18"/>
            <a:extLst>
              <a:ext uri="{FF2B5EF4-FFF2-40B4-BE49-F238E27FC236}">
                <a16:creationId xmlns:a16="http://schemas.microsoft.com/office/drawing/2014/main" id="{AD925BA4-C607-4898-A3BD-0DB9EA24D491}"/>
              </a:ext>
            </a:extLst>
          </xdr:cNvPr>
          <xdr:cNvSpPr txBox="1"/>
        </xdr:nvSpPr>
        <xdr:spPr>
          <a:xfrm>
            <a:off x="495750" y="5634293"/>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4</a:t>
            </a:r>
            <a:endParaRPr lang="en-US">
              <a:solidFill>
                <a:schemeClr val="bg1"/>
              </a:solidFill>
              <a:effectLst/>
            </a:endParaRPr>
          </a:p>
        </xdr:txBody>
      </xdr:sp>
      <xdr:sp macro="" textlink="">
        <xdr:nvSpPr>
          <xdr:cNvPr id="39" name="TextBox 38">
            <a:hlinkClick xmlns:r="http://schemas.openxmlformats.org/officeDocument/2006/relationships" r:id="rId19"/>
            <a:extLst>
              <a:ext uri="{FF2B5EF4-FFF2-40B4-BE49-F238E27FC236}">
                <a16:creationId xmlns:a16="http://schemas.microsoft.com/office/drawing/2014/main" id="{8685D411-32B9-4F27-B6D2-E2379DAAC787}"/>
              </a:ext>
            </a:extLst>
          </xdr:cNvPr>
          <xdr:cNvSpPr txBox="1"/>
        </xdr:nvSpPr>
        <xdr:spPr>
          <a:xfrm>
            <a:off x="495750" y="6134794"/>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5</a:t>
            </a:r>
            <a:endParaRPr lang="en-US">
              <a:solidFill>
                <a:schemeClr val="bg1"/>
              </a:solidFill>
              <a:effectLst/>
            </a:endParaRPr>
          </a:p>
        </xdr:txBody>
      </xdr:sp>
      <xdr:sp macro="" textlink="">
        <xdr:nvSpPr>
          <xdr:cNvPr id="40" name="TextBox 39">
            <a:hlinkClick xmlns:r="http://schemas.openxmlformats.org/officeDocument/2006/relationships" r:id="rId20"/>
            <a:extLst>
              <a:ext uri="{FF2B5EF4-FFF2-40B4-BE49-F238E27FC236}">
                <a16:creationId xmlns:a16="http://schemas.microsoft.com/office/drawing/2014/main" id="{AD6A03E0-51AB-4C4A-A55F-2F5DFB42A3F2}"/>
              </a:ext>
            </a:extLst>
          </xdr:cNvPr>
          <xdr:cNvSpPr txBox="1"/>
        </xdr:nvSpPr>
        <xdr:spPr>
          <a:xfrm>
            <a:off x="495750" y="6635295"/>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6</a:t>
            </a:r>
            <a:endParaRPr lang="en-US">
              <a:solidFill>
                <a:schemeClr val="bg1"/>
              </a:solidFill>
              <a:effectLst/>
            </a:endParaRPr>
          </a:p>
        </xdr:txBody>
      </xdr:sp>
      <xdr:sp macro="" textlink="">
        <xdr:nvSpPr>
          <xdr:cNvPr id="41" name="TextBox 40">
            <a:hlinkClick xmlns:r="http://schemas.openxmlformats.org/officeDocument/2006/relationships" r:id="rId21"/>
            <a:extLst>
              <a:ext uri="{FF2B5EF4-FFF2-40B4-BE49-F238E27FC236}">
                <a16:creationId xmlns:a16="http://schemas.microsoft.com/office/drawing/2014/main" id="{49E27F3F-81BA-4313-88EF-F10734908E4C}"/>
              </a:ext>
            </a:extLst>
          </xdr:cNvPr>
          <xdr:cNvSpPr txBox="1"/>
        </xdr:nvSpPr>
        <xdr:spPr>
          <a:xfrm>
            <a:off x="495750" y="7135796"/>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7</a:t>
            </a:r>
            <a:endParaRPr lang="en-US">
              <a:solidFill>
                <a:schemeClr val="bg1"/>
              </a:solidFill>
              <a:effectLst/>
            </a:endParaRPr>
          </a:p>
        </xdr:txBody>
      </xdr:sp>
      <xdr:sp macro="" textlink="">
        <xdr:nvSpPr>
          <xdr:cNvPr id="42" name="TextBox 41">
            <a:hlinkClick xmlns:r="http://schemas.openxmlformats.org/officeDocument/2006/relationships" r:id="rId22"/>
            <a:extLst>
              <a:ext uri="{FF2B5EF4-FFF2-40B4-BE49-F238E27FC236}">
                <a16:creationId xmlns:a16="http://schemas.microsoft.com/office/drawing/2014/main" id="{435B1C05-1348-4DF2-A398-3EAB41112CD6}"/>
              </a:ext>
            </a:extLst>
          </xdr:cNvPr>
          <xdr:cNvSpPr txBox="1"/>
        </xdr:nvSpPr>
        <xdr:spPr>
          <a:xfrm>
            <a:off x="495750" y="7636297"/>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8</a:t>
            </a:r>
            <a:endParaRPr lang="en-US">
              <a:solidFill>
                <a:schemeClr val="bg1"/>
              </a:solidFill>
              <a:effectLst/>
            </a:endParaRPr>
          </a:p>
        </xdr:txBody>
      </xdr:sp>
      <xdr:sp macro="" textlink="">
        <xdr:nvSpPr>
          <xdr:cNvPr id="43" name="TextBox 42">
            <a:hlinkClick xmlns:r="http://schemas.openxmlformats.org/officeDocument/2006/relationships" r:id="rId23"/>
            <a:extLst>
              <a:ext uri="{FF2B5EF4-FFF2-40B4-BE49-F238E27FC236}">
                <a16:creationId xmlns:a16="http://schemas.microsoft.com/office/drawing/2014/main" id="{6B09C1BB-3EFE-465E-BFC6-8E0C9540F774}"/>
              </a:ext>
            </a:extLst>
          </xdr:cNvPr>
          <xdr:cNvSpPr txBox="1"/>
        </xdr:nvSpPr>
        <xdr:spPr>
          <a:xfrm>
            <a:off x="495750" y="8136798"/>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9</a:t>
            </a:r>
            <a:endParaRPr lang="en-US">
              <a:solidFill>
                <a:schemeClr val="bg1"/>
              </a:solidFill>
              <a:effectLst/>
            </a:endParaRPr>
          </a:p>
        </xdr:txBody>
      </xdr:sp>
      <xdr:sp macro="" textlink="">
        <xdr:nvSpPr>
          <xdr:cNvPr id="44" name="TextBox 43">
            <a:hlinkClick xmlns:r="http://schemas.openxmlformats.org/officeDocument/2006/relationships" r:id="rId24"/>
            <a:extLst>
              <a:ext uri="{FF2B5EF4-FFF2-40B4-BE49-F238E27FC236}">
                <a16:creationId xmlns:a16="http://schemas.microsoft.com/office/drawing/2014/main" id="{90C77652-AE13-43CC-B268-9913832F0E85}"/>
              </a:ext>
            </a:extLst>
          </xdr:cNvPr>
          <xdr:cNvSpPr txBox="1"/>
        </xdr:nvSpPr>
        <xdr:spPr>
          <a:xfrm>
            <a:off x="495750" y="8637299"/>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ysClr val="windowText" lastClr="000000"/>
                </a:solidFill>
                <a:effectLst/>
                <a:latin typeface="+mn-lt"/>
                <a:ea typeface="+mn-ea"/>
                <a:cs typeface="+mn-cs"/>
              </a:rPr>
              <a:t>Theo dõi</a:t>
            </a:r>
            <a:r>
              <a:rPr lang="en-US" sz="1100" b="1" baseline="0">
                <a:solidFill>
                  <a:sysClr val="windowText" lastClr="000000"/>
                </a:solidFill>
                <a:effectLst/>
                <a:latin typeface="+mn-lt"/>
                <a:ea typeface="+mn-ea"/>
                <a:cs typeface="+mn-cs"/>
              </a:rPr>
              <a:t> tháng 10</a:t>
            </a:r>
            <a:endParaRPr lang="en-US">
              <a:solidFill>
                <a:sysClr val="windowText" lastClr="000000"/>
              </a:solidFill>
              <a:effectLst/>
            </a:endParaRPr>
          </a:p>
        </xdr:txBody>
      </xdr:sp>
      <xdr:sp macro="" textlink="">
        <xdr:nvSpPr>
          <xdr:cNvPr id="45" name="TextBox 44">
            <a:hlinkClick xmlns:r="http://schemas.openxmlformats.org/officeDocument/2006/relationships" r:id="rId25"/>
            <a:extLst>
              <a:ext uri="{FF2B5EF4-FFF2-40B4-BE49-F238E27FC236}">
                <a16:creationId xmlns:a16="http://schemas.microsoft.com/office/drawing/2014/main" id="{50C60818-1791-40D6-8D4F-791D9E2D2E13}"/>
              </a:ext>
            </a:extLst>
          </xdr:cNvPr>
          <xdr:cNvSpPr txBox="1"/>
        </xdr:nvSpPr>
        <xdr:spPr>
          <a:xfrm>
            <a:off x="495750" y="913780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11</a:t>
            </a:r>
            <a:endParaRPr lang="en-US">
              <a:solidFill>
                <a:schemeClr val="bg1"/>
              </a:solidFill>
              <a:effectLst/>
            </a:endParaRPr>
          </a:p>
        </xdr:txBody>
      </xdr:sp>
      <xdr:sp macro="" textlink="">
        <xdr:nvSpPr>
          <xdr:cNvPr id="46" name="TextBox 45">
            <a:hlinkClick xmlns:r="http://schemas.openxmlformats.org/officeDocument/2006/relationships" r:id="rId26"/>
            <a:extLst>
              <a:ext uri="{FF2B5EF4-FFF2-40B4-BE49-F238E27FC236}">
                <a16:creationId xmlns:a16="http://schemas.microsoft.com/office/drawing/2014/main" id="{521A04ED-8F8F-4637-9E25-18BBA15DB8FF}"/>
              </a:ext>
            </a:extLst>
          </xdr:cNvPr>
          <xdr:cNvSpPr txBox="1"/>
        </xdr:nvSpPr>
        <xdr:spPr>
          <a:xfrm>
            <a:off x="495750" y="9638301"/>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12</a:t>
            </a:r>
            <a:endParaRPr lang="en-US">
              <a:solidFill>
                <a:schemeClr val="bg1"/>
              </a:solidFill>
              <a:effectLst/>
            </a:endParaRPr>
          </a:p>
        </xdr:txBody>
      </xdr:sp>
      <xdr:sp macro="" textlink="">
        <xdr:nvSpPr>
          <xdr:cNvPr id="47" name="TextBox 46">
            <a:hlinkClick xmlns:r="http://schemas.openxmlformats.org/officeDocument/2006/relationships" r:id="rId27"/>
            <a:extLst>
              <a:ext uri="{FF2B5EF4-FFF2-40B4-BE49-F238E27FC236}">
                <a16:creationId xmlns:a16="http://schemas.microsoft.com/office/drawing/2014/main" id="{9347E2ED-80B7-4BE1-84D4-665294D7CCF0}"/>
              </a:ext>
            </a:extLst>
          </xdr:cNvPr>
          <xdr:cNvSpPr txBox="1"/>
        </xdr:nvSpPr>
        <xdr:spPr>
          <a:xfrm>
            <a:off x="495750" y="1013881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b="1">
                <a:solidFill>
                  <a:schemeClr val="bg1"/>
                </a:solidFill>
                <a:effectLst/>
                <a:latin typeface="+mn-lt"/>
                <a:ea typeface="+mn-ea"/>
                <a:cs typeface="+mn-cs"/>
              </a:rPr>
              <a:t>Bảng</a:t>
            </a:r>
            <a:r>
              <a:rPr lang="en-US" sz="1100" b="1" baseline="0">
                <a:solidFill>
                  <a:schemeClr val="bg1"/>
                </a:solidFill>
                <a:effectLst/>
                <a:latin typeface="+mn-lt"/>
                <a:ea typeface="+mn-ea"/>
                <a:cs typeface="+mn-cs"/>
              </a:rPr>
              <a:t> khảo sát</a:t>
            </a:r>
            <a:endParaRPr lang="en-US">
              <a:solidFill>
                <a:schemeClr val="bg1"/>
              </a:solidFill>
              <a:effectLst/>
            </a:endParaRPr>
          </a:p>
        </xdr:txBody>
      </xdr:sp>
    </xdr:grp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190500</xdr:colOff>
      <xdr:row>0</xdr:row>
      <xdr:rowOff>103688</xdr:rowOff>
    </xdr:from>
    <xdr:to>
      <xdr:col>2</xdr:col>
      <xdr:colOff>472440</xdr:colOff>
      <xdr:row>3</xdr:row>
      <xdr:rowOff>24759</xdr:rowOff>
    </xdr:to>
    <xdr:grpSp>
      <xdr:nvGrpSpPr>
        <xdr:cNvPr id="2" name="Group 1">
          <a:hlinkClick xmlns:r="http://schemas.openxmlformats.org/officeDocument/2006/relationships" r:id="rId1"/>
          <a:extLst>
            <a:ext uri="{FF2B5EF4-FFF2-40B4-BE49-F238E27FC236}">
              <a16:creationId xmlns:a16="http://schemas.microsoft.com/office/drawing/2014/main" id="{2447A93A-2498-48F9-9A81-E8AA355C0ABB}"/>
            </a:ext>
          </a:extLst>
        </xdr:cNvPr>
        <xdr:cNvGrpSpPr/>
      </xdr:nvGrpSpPr>
      <xdr:grpSpPr>
        <a:xfrm>
          <a:off x="190500" y="103688"/>
          <a:ext cx="1591628" cy="486619"/>
          <a:chOff x="190500" y="103688"/>
          <a:chExt cx="1501140" cy="492571"/>
        </a:xfrm>
      </xdr:grpSpPr>
      <xdr:sp macro="" textlink="">
        <xdr:nvSpPr>
          <xdr:cNvPr id="3" name="TextBox 2">
            <a:extLst>
              <a:ext uri="{FF2B5EF4-FFF2-40B4-BE49-F238E27FC236}">
                <a16:creationId xmlns:a16="http://schemas.microsoft.com/office/drawing/2014/main" id="{1A4F97E8-1ECD-49F6-9B43-BB94362BEF48}"/>
              </a:ext>
            </a:extLst>
          </xdr:cNvPr>
          <xdr:cNvSpPr txBox="1"/>
        </xdr:nvSpPr>
        <xdr:spPr>
          <a:xfrm>
            <a:off x="457200" y="103688"/>
            <a:ext cx="1234440" cy="4925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300" b="1" baseline="0">
                <a:solidFill>
                  <a:schemeClr val="bg1"/>
                </a:solidFill>
                <a:latin typeface="Roboto" pitchFamily="2" charset="0"/>
                <a:ea typeface="Roboto" pitchFamily="2" charset="0"/>
                <a:cs typeface="Times New Roman" panose="02020603050405020304" pitchFamily="18" charset="0"/>
              </a:rPr>
              <a:t>TÀI CHÍNH</a:t>
            </a:r>
          </a:p>
          <a:p>
            <a:pPr algn="ctr"/>
            <a:r>
              <a:rPr lang="en-US" sz="1300" b="1" baseline="0">
                <a:solidFill>
                  <a:schemeClr val="bg1"/>
                </a:solidFill>
                <a:latin typeface="Roboto" pitchFamily="2" charset="0"/>
                <a:ea typeface="Roboto" pitchFamily="2" charset="0"/>
                <a:cs typeface="Times New Roman" panose="02020603050405020304" pitchFamily="18" charset="0"/>
              </a:rPr>
              <a:t>CÁ NHÂN</a:t>
            </a:r>
            <a:endParaRPr lang="en-US" sz="1300" b="1">
              <a:solidFill>
                <a:schemeClr val="bg1"/>
              </a:solidFill>
              <a:latin typeface="Roboto" pitchFamily="2" charset="0"/>
              <a:ea typeface="Roboto" pitchFamily="2" charset="0"/>
              <a:cs typeface="Times New Roman" panose="02020603050405020304" pitchFamily="18" charset="0"/>
            </a:endParaRPr>
          </a:p>
        </xdr:txBody>
      </xdr:sp>
      <xdr:pic>
        <xdr:nvPicPr>
          <xdr:cNvPr id="4" name="Graphic 3" descr="Diamond">
            <a:extLst>
              <a:ext uri="{FF2B5EF4-FFF2-40B4-BE49-F238E27FC236}">
                <a16:creationId xmlns:a16="http://schemas.microsoft.com/office/drawing/2014/main" id="{FE2293AF-76C0-4AD9-93AC-DEB4F5055F9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90500" y="167093"/>
            <a:ext cx="365760" cy="365760"/>
          </a:xfrm>
          <a:prstGeom prst="rect">
            <a:avLst/>
          </a:prstGeom>
        </xdr:spPr>
      </xdr:pic>
    </xdr:grpSp>
    <xdr:clientData/>
  </xdr:twoCellAnchor>
  <xdr:twoCellAnchor>
    <xdr:from>
      <xdr:col>9</xdr:col>
      <xdr:colOff>321468</xdr:colOff>
      <xdr:row>7</xdr:row>
      <xdr:rowOff>170258</xdr:rowOff>
    </xdr:from>
    <xdr:to>
      <xdr:col>23</xdr:col>
      <xdr:colOff>0</xdr:colOff>
      <xdr:row>22</xdr:row>
      <xdr:rowOff>35719</xdr:rowOff>
    </xdr:to>
    <xdr:graphicFrame macro="">
      <xdr:nvGraphicFramePr>
        <xdr:cNvPr id="7" name="Chart 6">
          <a:extLst>
            <a:ext uri="{FF2B5EF4-FFF2-40B4-BE49-F238E27FC236}">
              <a16:creationId xmlns:a16="http://schemas.microsoft.com/office/drawing/2014/main" id="{D646DE8D-3B98-4FEA-BEF6-16033A4FB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345278</xdr:colOff>
      <xdr:row>4</xdr:row>
      <xdr:rowOff>0</xdr:rowOff>
    </xdr:from>
    <xdr:to>
      <xdr:col>3</xdr:col>
      <xdr:colOff>9210</xdr:colOff>
      <xdr:row>57</xdr:row>
      <xdr:rowOff>43619</xdr:rowOff>
    </xdr:to>
    <xdr:grpSp>
      <xdr:nvGrpSpPr>
        <xdr:cNvPr id="8" name="Group 7">
          <a:extLst>
            <a:ext uri="{FF2B5EF4-FFF2-40B4-BE49-F238E27FC236}">
              <a16:creationId xmlns:a16="http://schemas.microsoft.com/office/drawing/2014/main" id="{349847B1-3683-423A-AEBD-E6B4DBFBF11A}"/>
            </a:ext>
          </a:extLst>
        </xdr:cNvPr>
        <xdr:cNvGrpSpPr/>
      </xdr:nvGrpSpPr>
      <xdr:grpSpPr>
        <a:xfrm>
          <a:off x="345278" y="750094"/>
          <a:ext cx="1628463" cy="10134166"/>
          <a:chOff x="350042" y="654846"/>
          <a:chExt cx="1485588" cy="10223462"/>
        </a:xfrm>
      </xdr:grpSpPr>
      <xdr:pic>
        <xdr:nvPicPr>
          <xdr:cNvPr id="9" name="Graphic 8">
            <a:extLst>
              <a:ext uri="{FF2B5EF4-FFF2-40B4-BE49-F238E27FC236}">
                <a16:creationId xmlns:a16="http://schemas.microsoft.com/office/drawing/2014/main" id="{2F8EAD9B-B8DD-4595-87EC-15012D79007C}"/>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654846"/>
            <a:ext cx="1485588" cy="1214436"/>
          </a:xfrm>
          <a:prstGeom prst="rect">
            <a:avLst/>
          </a:prstGeom>
        </xdr:spPr>
      </xdr:pic>
      <xdr:pic>
        <xdr:nvPicPr>
          <xdr:cNvPr id="10" name="Graphic 9">
            <a:extLst>
              <a:ext uri="{FF2B5EF4-FFF2-40B4-BE49-F238E27FC236}">
                <a16:creationId xmlns:a16="http://schemas.microsoft.com/office/drawing/2014/main" id="{F08FCF8D-7197-4681-B2BA-A01501A21866}"/>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1155347"/>
            <a:ext cx="1485588" cy="1214436"/>
          </a:xfrm>
          <a:prstGeom prst="rect">
            <a:avLst/>
          </a:prstGeom>
        </xdr:spPr>
      </xdr:pic>
      <xdr:pic>
        <xdr:nvPicPr>
          <xdr:cNvPr id="11" name="Graphic 10">
            <a:extLst>
              <a:ext uri="{FF2B5EF4-FFF2-40B4-BE49-F238E27FC236}">
                <a16:creationId xmlns:a16="http://schemas.microsoft.com/office/drawing/2014/main" id="{92D2CD65-5FAD-49B9-B187-694291990692}"/>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1655848"/>
            <a:ext cx="1485588" cy="1214436"/>
          </a:xfrm>
          <a:prstGeom prst="rect">
            <a:avLst/>
          </a:prstGeom>
        </xdr:spPr>
      </xdr:pic>
      <xdr:pic>
        <xdr:nvPicPr>
          <xdr:cNvPr id="12" name="Graphic 11">
            <a:extLst>
              <a:ext uri="{FF2B5EF4-FFF2-40B4-BE49-F238E27FC236}">
                <a16:creationId xmlns:a16="http://schemas.microsoft.com/office/drawing/2014/main" id="{97EC724F-028B-4C50-8B2A-552EEBECEFD1}"/>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2156349"/>
            <a:ext cx="1485588" cy="1214436"/>
          </a:xfrm>
          <a:prstGeom prst="rect">
            <a:avLst/>
          </a:prstGeom>
        </xdr:spPr>
      </xdr:pic>
      <xdr:pic>
        <xdr:nvPicPr>
          <xdr:cNvPr id="13" name="Graphic 12">
            <a:extLst>
              <a:ext uri="{FF2B5EF4-FFF2-40B4-BE49-F238E27FC236}">
                <a16:creationId xmlns:a16="http://schemas.microsoft.com/office/drawing/2014/main" id="{1DBE5D5C-D481-4E9A-AD7B-822D7E64F17D}"/>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2656850"/>
            <a:ext cx="1485588" cy="1214436"/>
          </a:xfrm>
          <a:prstGeom prst="rect">
            <a:avLst/>
          </a:prstGeom>
        </xdr:spPr>
      </xdr:pic>
      <xdr:pic>
        <xdr:nvPicPr>
          <xdr:cNvPr id="14" name="Graphic 13">
            <a:extLst>
              <a:ext uri="{FF2B5EF4-FFF2-40B4-BE49-F238E27FC236}">
                <a16:creationId xmlns:a16="http://schemas.microsoft.com/office/drawing/2014/main" id="{6F8E66D4-3E11-4764-9E92-1B25DB53329C}"/>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3157351"/>
            <a:ext cx="1485588" cy="1214436"/>
          </a:xfrm>
          <a:prstGeom prst="rect">
            <a:avLst/>
          </a:prstGeom>
        </xdr:spPr>
      </xdr:pic>
      <xdr:pic>
        <xdr:nvPicPr>
          <xdr:cNvPr id="15" name="Graphic 14">
            <a:extLst>
              <a:ext uri="{FF2B5EF4-FFF2-40B4-BE49-F238E27FC236}">
                <a16:creationId xmlns:a16="http://schemas.microsoft.com/office/drawing/2014/main" id="{D7BCEE22-F369-43FD-A4D3-9AC82468A95C}"/>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3657852"/>
            <a:ext cx="1485588" cy="1214436"/>
          </a:xfrm>
          <a:prstGeom prst="rect">
            <a:avLst/>
          </a:prstGeom>
        </xdr:spPr>
      </xdr:pic>
      <xdr:pic>
        <xdr:nvPicPr>
          <xdr:cNvPr id="16" name="Graphic 15">
            <a:extLst>
              <a:ext uri="{FF2B5EF4-FFF2-40B4-BE49-F238E27FC236}">
                <a16:creationId xmlns:a16="http://schemas.microsoft.com/office/drawing/2014/main" id="{0B28C4DE-DB6C-477E-AE21-7BF148E21FEB}"/>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4158353"/>
            <a:ext cx="1485588" cy="1214436"/>
          </a:xfrm>
          <a:prstGeom prst="rect">
            <a:avLst/>
          </a:prstGeom>
        </xdr:spPr>
      </xdr:pic>
      <xdr:pic>
        <xdr:nvPicPr>
          <xdr:cNvPr id="17" name="Graphic 16">
            <a:extLst>
              <a:ext uri="{FF2B5EF4-FFF2-40B4-BE49-F238E27FC236}">
                <a16:creationId xmlns:a16="http://schemas.microsoft.com/office/drawing/2014/main" id="{8066C5E0-33B5-4C30-90A0-124CB7553D35}"/>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4658854"/>
            <a:ext cx="1485588" cy="1214436"/>
          </a:xfrm>
          <a:prstGeom prst="rect">
            <a:avLst/>
          </a:prstGeom>
        </xdr:spPr>
      </xdr:pic>
      <xdr:pic>
        <xdr:nvPicPr>
          <xdr:cNvPr id="18" name="Graphic 17">
            <a:extLst>
              <a:ext uri="{FF2B5EF4-FFF2-40B4-BE49-F238E27FC236}">
                <a16:creationId xmlns:a16="http://schemas.microsoft.com/office/drawing/2014/main" id="{8083AC5C-9D45-43BD-A9A4-D0E86977FC2F}"/>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5159355"/>
            <a:ext cx="1485588" cy="1214436"/>
          </a:xfrm>
          <a:prstGeom prst="rect">
            <a:avLst/>
          </a:prstGeom>
        </xdr:spPr>
      </xdr:pic>
      <xdr:pic>
        <xdr:nvPicPr>
          <xdr:cNvPr id="19" name="Graphic 18">
            <a:extLst>
              <a:ext uri="{FF2B5EF4-FFF2-40B4-BE49-F238E27FC236}">
                <a16:creationId xmlns:a16="http://schemas.microsoft.com/office/drawing/2014/main" id="{44C619C3-7025-48CD-BAA1-0C9DB13F2874}"/>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5659856"/>
            <a:ext cx="1485588" cy="1214436"/>
          </a:xfrm>
          <a:prstGeom prst="rect">
            <a:avLst/>
          </a:prstGeom>
        </xdr:spPr>
      </xdr:pic>
      <xdr:pic>
        <xdr:nvPicPr>
          <xdr:cNvPr id="20" name="Graphic 19">
            <a:extLst>
              <a:ext uri="{FF2B5EF4-FFF2-40B4-BE49-F238E27FC236}">
                <a16:creationId xmlns:a16="http://schemas.microsoft.com/office/drawing/2014/main" id="{3875D6B0-9493-45D6-8F62-D21BC91A97C4}"/>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6160357"/>
            <a:ext cx="1485588" cy="1214436"/>
          </a:xfrm>
          <a:prstGeom prst="rect">
            <a:avLst/>
          </a:prstGeom>
        </xdr:spPr>
      </xdr:pic>
      <xdr:pic>
        <xdr:nvPicPr>
          <xdr:cNvPr id="21" name="Graphic 20">
            <a:extLst>
              <a:ext uri="{FF2B5EF4-FFF2-40B4-BE49-F238E27FC236}">
                <a16:creationId xmlns:a16="http://schemas.microsoft.com/office/drawing/2014/main" id="{59228492-AAD2-4BD2-8BF6-F49A758768EB}"/>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6660858"/>
            <a:ext cx="1485588" cy="1214436"/>
          </a:xfrm>
          <a:prstGeom prst="rect">
            <a:avLst/>
          </a:prstGeom>
        </xdr:spPr>
      </xdr:pic>
      <xdr:pic>
        <xdr:nvPicPr>
          <xdr:cNvPr id="22" name="Graphic 21">
            <a:extLst>
              <a:ext uri="{FF2B5EF4-FFF2-40B4-BE49-F238E27FC236}">
                <a16:creationId xmlns:a16="http://schemas.microsoft.com/office/drawing/2014/main" id="{43EC6011-65CE-4677-B6E9-E77237E2959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7161359"/>
            <a:ext cx="1485588" cy="1214436"/>
          </a:xfrm>
          <a:prstGeom prst="rect">
            <a:avLst/>
          </a:prstGeom>
        </xdr:spPr>
      </xdr:pic>
      <xdr:pic>
        <xdr:nvPicPr>
          <xdr:cNvPr id="23" name="Graphic 22">
            <a:extLst>
              <a:ext uri="{FF2B5EF4-FFF2-40B4-BE49-F238E27FC236}">
                <a16:creationId xmlns:a16="http://schemas.microsoft.com/office/drawing/2014/main" id="{F073B594-2B79-46EB-85BC-C05AD9FE168D}"/>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7661860"/>
            <a:ext cx="1485588" cy="1214436"/>
          </a:xfrm>
          <a:prstGeom prst="rect">
            <a:avLst/>
          </a:prstGeom>
        </xdr:spPr>
      </xdr:pic>
      <xdr:pic>
        <xdr:nvPicPr>
          <xdr:cNvPr id="24" name="Graphic 23">
            <a:extLst>
              <a:ext uri="{FF2B5EF4-FFF2-40B4-BE49-F238E27FC236}">
                <a16:creationId xmlns:a16="http://schemas.microsoft.com/office/drawing/2014/main" id="{BFC4DF15-ABA4-4330-9255-F3C2B0202982}"/>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8162361"/>
            <a:ext cx="1485588" cy="1214436"/>
          </a:xfrm>
          <a:prstGeom prst="rect">
            <a:avLst/>
          </a:prstGeom>
        </xdr:spPr>
      </xdr:pic>
      <xdr:pic>
        <xdr:nvPicPr>
          <xdr:cNvPr id="26" name="Graphic 25">
            <a:extLst>
              <a:ext uri="{FF2B5EF4-FFF2-40B4-BE49-F238E27FC236}">
                <a16:creationId xmlns:a16="http://schemas.microsoft.com/office/drawing/2014/main" id="{2215B1EF-62DC-463E-8D58-F40B341DCD4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9163363"/>
            <a:ext cx="1485588" cy="1214436"/>
          </a:xfrm>
          <a:prstGeom prst="rect">
            <a:avLst/>
          </a:prstGeom>
        </xdr:spPr>
      </xdr:pic>
      <xdr:pic>
        <xdr:nvPicPr>
          <xdr:cNvPr id="25" name="Graphic 24">
            <a:extLst>
              <a:ext uri="{FF2B5EF4-FFF2-40B4-BE49-F238E27FC236}">
                <a16:creationId xmlns:a16="http://schemas.microsoft.com/office/drawing/2014/main" id="{DA03A672-7449-4CA5-AC48-8D7229773695}"/>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rcRect r="28388"/>
          <a:stretch/>
        </xdr:blipFill>
        <xdr:spPr>
          <a:xfrm>
            <a:off x="350042" y="8662862"/>
            <a:ext cx="1485588" cy="1214436"/>
          </a:xfrm>
          <a:prstGeom prst="rect">
            <a:avLst/>
          </a:prstGeom>
        </xdr:spPr>
      </xdr:pic>
      <xdr:pic>
        <xdr:nvPicPr>
          <xdr:cNvPr id="27" name="Graphic 26">
            <a:extLst>
              <a:ext uri="{FF2B5EF4-FFF2-40B4-BE49-F238E27FC236}">
                <a16:creationId xmlns:a16="http://schemas.microsoft.com/office/drawing/2014/main" id="{409AB403-EDE6-45C1-B0BD-D3833073A2F1}"/>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9663872"/>
            <a:ext cx="1485588" cy="1214436"/>
          </a:xfrm>
          <a:prstGeom prst="rect">
            <a:avLst/>
          </a:prstGeom>
        </xdr:spPr>
      </xdr:pic>
    </xdr:grpSp>
    <xdr:clientData/>
  </xdr:twoCellAnchor>
  <xdr:twoCellAnchor>
    <xdr:from>
      <xdr:col>0</xdr:col>
      <xdr:colOff>453617</xdr:colOff>
      <xdr:row>6</xdr:row>
      <xdr:rowOff>93938</xdr:rowOff>
    </xdr:from>
    <xdr:to>
      <xdr:col>2</xdr:col>
      <xdr:colOff>508089</xdr:colOff>
      <xdr:row>54</xdr:row>
      <xdr:rowOff>152087</xdr:rowOff>
    </xdr:to>
    <xdr:grpSp>
      <xdr:nvGrpSpPr>
        <xdr:cNvPr id="28" name="Group 27">
          <a:extLst>
            <a:ext uri="{FF2B5EF4-FFF2-40B4-BE49-F238E27FC236}">
              <a16:creationId xmlns:a16="http://schemas.microsoft.com/office/drawing/2014/main" id="{EC5011C8-4B65-4ED0-8BA4-43DFAC3B9767}"/>
            </a:ext>
          </a:extLst>
        </xdr:cNvPr>
        <xdr:cNvGrpSpPr/>
      </xdr:nvGrpSpPr>
      <xdr:grpSpPr>
        <a:xfrm>
          <a:off x="453617" y="1225032"/>
          <a:ext cx="1364160" cy="9184290"/>
          <a:chOff x="487686" y="1129784"/>
          <a:chExt cx="1268910" cy="9273586"/>
        </a:xfrm>
      </xdr:grpSpPr>
      <xdr:sp macro="" textlink="">
        <xdr:nvSpPr>
          <xdr:cNvPr id="29" name="TextBox 28">
            <a:hlinkClick xmlns:r="http://schemas.openxmlformats.org/officeDocument/2006/relationships" r:id="rId9"/>
            <a:extLst>
              <a:ext uri="{FF2B5EF4-FFF2-40B4-BE49-F238E27FC236}">
                <a16:creationId xmlns:a16="http://schemas.microsoft.com/office/drawing/2014/main" id="{9BD7918C-BC78-4411-A912-A7AAC8465154}"/>
              </a:ext>
            </a:extLst>
          </xdr:cNvPr>
          <xdr:cNvSpPr txBox="1"/>
        </xdr:nvSpPr>
        <xdr:spPr>
          <a:xfrm>
            <a:off x="784825" y="1129784"/>
            <a:ext cx="67317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Từ</a:t>
            </a:r>
            <a:r>
              <a:rPr lang="en-US" sz="1100" b="1" baseline="0">
                <a:solidFill>
                  <a:schemeClr val="bg1"/>
                </a:solidFill>
              </a:rPr>
              <a:t> khóa</a:t>
            </a:r>
            <a:endParaRPr lang="en-US" sz="1100" b="1">
              <a:solidFill>
                <a:schemeClr val="bg1"/>
              </a:solidFill>
            </a:endParaRPr>
          </a:p>
        </xdr:txBody>
      </xdr:sp>
      <xdr:sp macro="" textlink="">
        <xdr:nvSpPr>
          <xdr:cNvPr id="30" name="TextBox 29">
            <a:hlinkClick xmlns:r="http://schemas.openxmlformats.org/officeDocument/2006/relationships" r:id="rId10"/>
            <a:extLst>
              <a:ext uri="{FF2B5EF4-FFF2-40B4-BE49-F238E27FC236}">
                <a16:creationId xmlns:a16="http://schemas.microsoft.com/office/drawing/2014/main" id="{CE5F27DE-B8C0-4EA4-BC78-3BE055CE4BC7}"/>
              </a:ext>
            </a:extLst>
          </xdr:cNvPr>
          <xdr:cNvSpPr txBox="1"/>
        </xdr:nvSpPr>
        <xdr:spPr>
          <a:xfrm>
            <a:off x="708434" y="1630285"/>
            <a:ext cx="82595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Dashboard</a:t>
            </a:r>
          </a:p>
        </xdr:txBody>
      </xdr:sp>
      <xdr:sp macro="" textlink="">
        <xdr:nvSpPr>
          <xdr:cNvPr id="31" name="TextBox 30">
            <a:hlinkClick xmlns:r="http://schemas.openxmlformats.org/officeDocument/2006/relationships" r:id="rId11"/>
            <a:extLst>
              <a:ext uri="{FF2B5EF4-FFF2-40B4-BE49-F238E27FC236}">
                <a16:creationId xmlns:a16="http://schemas.microsoft.com/office/drawing/2014/main" id="{FBA6044D-E0F2-49F8-836C-E0B3CE93DF64}"/>
              </a:ext>
            </a:extLst>
          </xdr:cNvPr>
          <xdr:cNvSpPr txBox="1"/>
        </xdr:nvSpPr>
        <xdr:spPr>
          <a:xfrm>
            <a:off x="495750" y="2130786"/>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Mục</a:t>
            </a:r>
            <a:r>
              <a:rPr lang="en-US" sz="1100" b="1" baseline="0">
                <a:solidFill>
                  <a:schemeClr val="bg1"/>
                </a:solidFill>
                <a:effectLst/>
                <a:latin typeface="+mn-lt"/>
                <a:ea typeface="+mn-ea"/>
                <a:cs typeface="+mn-cs"/>
              </a:rPr>
              <a:t> tiêu bản thân</a:t>
            </a:r>
            <a:endParaRPr lang="en-US">
              <a:solidFill>
                <a:schemeClr val="bg1"/>
              </a:solidFill>
              <a:effectLst/>
            </a:endParaRPr>
          </a:p>
        </xdr:txBody>
      </xdr:sp>
      <xdr:sp macro="" textlink="">
        <xdr:nvSpPr>
          <xdr:cNvPr id="32" name="TextBox 31">
            <a:hlinkClick xmlns:r="http://schemas.openxmlformats.org/officeDocument/2006/relationships" r:id="rId12"/>
            <a:extLst>
              <a:ext uri="{FF2B5EF4-FFF2-40B4-BE49-F238E27FC236}">
                <a16:creationId xmlns:a16="http://schemas.microsoft.com/office/drawing/2014/main" id="{6A38F24E-DF96-4BC9-B349-4D73654B6625}"/>
              </a:ext>
            </a:extLst>
          </xdr:cNvPr>
          <xdr:cNvSpPr txBox="1"/>
        </xdr:nvSpPr>
        <xdr:spPr>
          <a:xfrm>
            <a:off x="495750" y="2631287"/>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Mục</a:t>
            </a:r>
            <a:r>
              <a:rPr lang="en-US" sz="1100" b="1" baseline="0">
                <a:solidFill>
                  <a:schemeClr val="bg1"/>
                </a:solidFill>
                <a:effectLst/>
                <a:latin typeface="+mn-lt"/>
                <a:ea typeface="+mn-ea"/>
                <a:cs typeface="+mn-cs"/>
              </a:rPr>
              <a:t> tiêu tài chính</a:t>
            </a:r>
            <a:endParaRPr lang="en-US">
              <a:solidFill>
                <a:schemeClr val="bg1"/>
              </a:solidFill>
              <a:effectLst/>
            </a:endParaRPr>
          </a:p>
        </xdr:txBody>
      </xdr:sp>
      <xdr:sp macro="" textlink="">
        <xdr:nvSpPr>
          <xdr:cNvPr id="33" name="TextBox 32">
            <a:hlinkClick xmlns:r="http://schemas.openxmlformats.org/officeDocument/2006/relationships" r:id="rId13"/>
            <a:extLst>
              <a:ext uri="{FF2B5EF4-FFF2-40B4-BE49-F238E27FC236}">
                <a16:creationId xmlns:a16="http://schemas.microsoft.com/office/drawing/2014/main" id="{C6E37E81-8E4B-42A5-9D71-FDC197BBC339}"/>
              </a:ext>
            </a:extLst>
          </xdr:cNvPr>
          <xdr:cNvSpPr txBox="1"/>
        </xdr:nvSpPr>
        <xdr:spPr>
          <a:xfrm>
            <a:off x="487686" y="3020663"/>
            <a:ext cx="1260846" cy="459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b="1">
                <a:solidFill>
                  <a:schemeClr val="bg1"/>
                </a:solidFill>
                <a:effectLst/>
                <a:latin typeface="+mn-lt"/>
                <a:ea typeface="+mn-ea"/>
                <a:cs typeface="+mn-cs"/>
              </a:rPr>
              <a:t>Cân</a:t>
            </a:r>
            <a:r>
              <a:rPr lang="en-US" sz="1100" b="1" baseline="0">
                <a:solidFill>
                  <a:schemeClr val="bg1"/>
                </a:solidFill>
                <a:effectLst/>
                <a:latin typeface="+mn-lt"/>
                <a:ea typeface="+mn-ea"/>
                <a:cs typeface="+mn-cs"/>
              </a:rPr>
              <a:t> đối</a:t>
            </a:r>
            <a:endParaRPr lang="en-US">
              <a:solidFill>
                <a:schemeClr val="bg1"/>
              </a:solidFill>
              <a:effectLst/>
            </a:endParaRPr>
          </a:p>
          <a:p>
            <a:pPr algn="ctr"/>
            <a:r>
              <a:rPr lang="en-US" sz="1100" b="1" baseline="0">
                <a:solidFill>
                  <a:schemeClr val="bg1"/>
                </a:solidFill>
                <a:effectLst/>
                <a:latin typeface="+mn-lt"/>
                <a:ea typeface="+mn-ea"/>
                <a:cs typeface="+mn-cs"/>
              </a:rPr>
              <a:t>l</a:t>
            </a:r>
            <a:r>
              <a:rPr lang="en-US" sz="1100" b="1">
                <a:solidFill>
                  <a:schemeClr val="bg1"/>
                </a:solidFill>
                <a:effectLst/>
                <a:latin typeface="+mn-lt"/>
                <a:ea typeface="+mn-ea"/>
                <a:cs typeface="+mn-cs"/>
              </a:rPr>
              <a:t>ộ</a:t>
            </a:r>
            <a:r>
              <a:rPr lang="en-US" sz="1100" b="1" baseline="0">
                <a:solidFill>
                  <a:schemeClr val="bg1"/>
                </a:solidFill>
                <a:effectLst/>
                <a:latin typeface="+mn-lt"/>
                <a:ea typeface="+mn-ea"/>
                <a:cs typeface="+mn-cs"/>
              </a:rPr>
              <a:t> trình nghề nghiệp</a:t>
            </a:r>
            <a:endParaRPr lang="en-US">
              <a:solidFill>
                <a:schemeClr val="bg1"/>
              </a:solidFill>
              <a:effectLst/>
            </a:endParaRPr>
          </a:p>
        </xdr:txBody>
      </xdr:sp>
      <xdr:sp macro="" textlink="">
        <xdr:nvSpPr>
          <xdr:cNvPr id="34" name="TextBox 33">
            <a:hlinkClick xmlns:r="http://schemas.openxmlformats.org/officeDocument/2006/relationships" r:id="rId14"/>
            <a:extLst>
              <a:ext uri="{FF2B5EF4-FFF2-40B4-BE49-F238E27FC236}">
                <a16:creationId xmlns:a16="http://schemas.microsoft.com/office/drawing/2014/main" id="{4CF77BF5-418E-4D54-9D50-802C675FD280}"/>
              </a:ext>
            </a:extLst>
          </xdr:cNvPr>
          <xdr:cNvSpPr txBox="1"/>
        </xdr:nvSpPr>
        <xdr:spPr>
          <a:xfrm>
            <a:off x="487686" y="3521164"/>
            <a:ext cx="1260846" cy="459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100" b="1">
                <a:solidFill>
                  <a:schemeClr val="bg1"/>
                </a:solidFill>
                <a:effectLst/>
                <a:latin typeface="+mn-lt"/>
                <a:ea typeface="+mn-ea"/>
                <a:cs typeface="+mn-cs"/>
              </a:rPr>
              <a:t>Kế</a:t>
            </a:r>
            <a:r>
              <a:rPr lang="en-US" sz="1100" b="1" baseline="0">
                <a:solidFill>
                  <a:schemeClr val="bg1"/>
                </a:solidFill>
                <a:effectLst/>
                <a:latin typeface="+mn-lt"/>
                <a:ea typeface="+mn-ea"/>
                <a:cs typeface="+mn-cs"/>
              </a:rPr>
              <a:t> hoạch </a:t>
            </a:r>
          </a:p>
          <a:p>
            <a:pPr algn="ctr"/>
            <a:r>
              <a:rPr lang="en-US" sz="1100" b="1" baseline="0">
                <a:solidFill>
                  <a:schemeClr val="bg1"/>
                </a:solidFill>
                <a:effectLst/>
                <a:latin typeface="+mn-lt"/>
                <a:ea typeface="+mn-ea"/>
                <a:cs typeface="+mn-cs"/>
              </a:rPr>
              <a:t>thu nhập &amp; chi tiêu</a:t>
            </a:r>
            <a:endParaRPr lang="en-US">
              <a:solidFill>
                <a:schemeClr val="bg1"/>
              </a:solidFill>
              <a:effectLst/>
            </a:endParaRPr>
          </a:p>
        </xdr:txBody>
      </xdr:sp>
      <xdr:sp macro="" textlink="">
        <xdr:nvSpPr>
          <xdr:cNvPr id="35" name="TextBox 34">
            <a:hlinkClick xmlns:r="http://schemas.openxmlformats.org/officeDocument/2006/relationships" r:id="rId15"/>
            <a:extLst>
              <a:ext uri="{FF2B5EF4-FFF2-40B4-BE49-F238E27FC236}">
                <a16:creationId xmlns:a16="http://schemas.microsoft.com/office/drawing/2014/main" id="{F364DBB2-464B-452E-BAC5-74D67ACC324E}"/>
              </a:ext>
            </a:extLst>
          </xdr:cNvPr>
          <xdr:cNvSpPr txBox="1"/>
        </xdr:nvSpPr>
        <xdr:spPr>
          <a:xfrm>
            <a:off x="495750" y="413279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a:t>
            </a:r>
            <a:endParaRPr lang="en-US">
              <a:solidFill>
                <a:schemeClr val="bg1"/>
              </a:solidFill>
              <a:effectLst/>
            </a:endParaRPr>
          </a:p>
        </xdr:txBody>
      </xdr:sp>
      <xdr:sp macro="" textlink="">
        <xdr:nvSpPr>
          <xdr:cNvPr id="36" name="TextBox 35">
            <a:hlinkClick xmlns:r="http://schemas.openxmlformats.org/officeDocument/2006/relationships" r:id="rId16"/>
            <a:extLst>
              <a:ext uri="{FF2B5EF4-FFF2-40B4-BE49-F238E27FC236}">
                <a16:creationId xmlns:a16="http://schemas.microsoft.com/office/drawing/2014/main" id="{8C8162B5-879B-412A-82D2-3354DC7776BB}"/>
              </a:ext>
            </a:extLst>
          </xdr:cNvPr>
          <xdr:cNvSpPr txBox="1"/>
        </xdr:nvSpPr>
        <xdr:spPr>
          <a:xfrm>
            <a:off x="495750" y="4633291"/>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2</a:t>
            </a:r>
            <a:endParaRPr lang="en-US">
              <a:solidFill>
                <a:schemeClr val="bg1"/>
              </a:solidFill>
              <a:effectLst/>
            </a:endParaRPr>
          </a:p>
        </xdr:txBody>
      </xdr:sp>
      <xdr:sp macro="" textlink="">
        <xdr:nvSpPr>
          <xdr:cNvPr id="37" name="TextBox 36">
            <a:hlinkClick xmlns:r="http://schemas.openxmlformats.org/officeDocument/2006/relationships" r:id="rId17"/>
            <a:extLst>
              <a:ext uri="{FF2B5EF4-FFF2-40B4-BE49-F238E27FC236}">
                <a16:creationId xmlns:a16="http://schemas.microsoft.com/office/drawing/2014/main" id="{BBDCA866-C4E8-4DEF-B83E-0068CE8B5CC4}"/>
              </a:ext>
            </a:extLst>
          </xdr:cNvPr>
          <xdr:cNvSpPr txBox="1"/>
        </xdr:nvSpPr>
        <xdr:spPr>
          <a:xfrm>
            <a:off x="495750" y="5133792"/>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3</a:t>
            </a:r>
            <a:endParaRPr lang="en-US">
              <a:solidFill>
                <a:schemeClr val="bg1"/>
              </a:solidFill>
              <a:effectLst/>
            </a:endParaRPr>
          </a:p>
        </xdr:txBody>
      </xdr:sp>
      <xdr:sp macro="" textlink="">
        <xdr:nvSpPr>
          <xdr:cNvPr id="38" name="TextBox 37">
            <a:hlinkClick xmlns:r="http://schemas.openxmlformats.org/officeDocument/2006/relationships" r:id="rId18"/>
            <a:extLst>
              <a:ext uri="{FF2B5EF4-FFF2-40B4-BE49-F238E27FC236}">
                <a16:creationId xmlns:a16="http://schemas.microsoft.com/office/drawing/2014/main" id="{D64A1F57-64A7-49A8-B7AD-CD5C5E31DD8F}"/>
              </a:ext>
            </a:extLst>
          </xdr:cNvPr>
          <xdr:cNvSpPr txBox="1"/>
        </xdr:nvSpPr>
        <xdr:spPr>
          <a:xfrm>
            <a:off x="495750" y="5634293"/>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4</a:t>
            </a:r>
            <a:endParaRPr lang="en-US">
              <a:solidFill>
                <a:schemeClr val="bg1"/>
              </a:solidFill>
              <a:effectLst/>
            </a:endParaRPr>
          </a:p>
        </xdr:txBody>
      </xdr:sp>
      <xdr:sp macro="" textlink="">
        <xdr:nvSpPr>
          <xdr:cNvPr id="39" name="TextBox 38">
            <a:hlinkClick xmlns:r="http://schemas.openxmlformats.org/officeDocument/2006/relationships" r:id="rId19"/>
            <a:extLst>
              <a:ext uri="{FF2B5EF4-FFF2-40B4-BE49-F238E27FC236}">
                <a16:creationId xmlns:a16="http://schemas.microsoft.com/office/drawing/2014/main" id="{DC0A4D2C-0CAC-48BC-8762-81CB9428BD50}"/>
              </a:ext>
            </a:extLst>
          </xdr:cNvPr>
          <xdr:cNvSpPr txBox="1"/>
        </xdr:nvSpPr>
        <xdr:spPr>
          <a:xfrm>
            <a:off x="495750" y="6134794"/>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5</a:t>
            </a:r>
            <a:endParaRPr lang="en-US">
              <a:solidFill>
                <a:schemeClr val="bg1"/>
              </a:solidFill>
              <a:effectLst/>
            </a:endParaRPr>
          </a:p>
        </xdr:txBody>
      </xdr:sp>
      <xdr:sp macro="" textlink="">
        <xdr:nvSpPr>
          <xdr:cNvPr id="40" name="TextBox 39">
            <a:hlinkClick xmlns:r="http://schemas.openxmlformats.org/officeDocument/2006/relationships" r:id="rId20"/>
            <a:extLst>
              <a:ext uri="{FF2B5EF4-FFF2-40B4-BE49-F238E27FC236}">
                <a16:creationId xmlns:a16="http://schemas.microsoft.com/office/drawing/2014/main" id="{DE757331-3D02-427F-9E1F-51BC7763E7DB}"/>
              </a:ext>
            </a:extLst>
          </xdr:cNvPr>
          <xdr:cNvSpPr txBox="1"/>
        </xdr:nvSpPr>
        <xdr:spPr>
          <a:xfrm>
            <a:off x="495750" y="6635295"/>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6</a:t>
            </a:r>
            <a:endParaRPr lang="en-US">
              <a:solidFill>
                <a:schemeClr val="bg1"/>
              </a:solidFill>
              <a:effectLst/>
            </a:endParaRPr>
          </a:p>
        </xdr:txBody>
      </xdr:sp>
      <xdr:sp macro="" textlink="">
        <xdr:nvSpPr>
          <xdr:cNvPr id="41" name="TextBox 40">
            <a:hlinkClick xmlns:r="http://schemas.openxmlformats.org/officeDocument/2006/relationships" r:id="rId21"/>
            <a:extLst>
              <a:ext uri="{FF2B5EF4-FFF2-40B4-BE49-F238E27FC236}">
                <a16:creationId xmlns:a16="http://schemas.microsoft.com/office/drawing/2014/main" id="{5887CB35-3F88-4D34-B5E9-74259CDC4283}"/>
              </a:ext>
            </a:extLst>
          </xdr:cNvPr>
          <xdr:cNvSpPr txBox="1"/>
        </xdr:nvSpPr>
        <xdr:spPr>
          <a:xfrm>
            <a:off x="495750" y="7135796"/>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7</a:t>
            </a:r>
            <a:endParaRPr lang="en-US">
              <a:solidFill>
                <a:schemeClr val="bg1"/>
              </a:solidFill>
              <a:effectLst/>
            </a:endParaRPr>
          </a:p>
        </xdr:txBody>
      </xdr:sp>
      <xdr:sp macro="" textlink="">
        <xdr:nvSpPr>
          <xdr:cNvPr id="42" name="TextBox 41">
            <a:hlinkClick xmlns:r="http://schemas.openxmlformats.org/officeDocument/2006/relationships" r:id="rId22"/>
            <a:extLst>
              <a:ext uri="{FF2B5EF4-FFF2-40B4-BE49-F238E27FC236}">
                <a16:creationId xmlns:a16="http://schemas.microsoft.com/office/drawing/2014/main" id="{45D0CB14-FF6B-4F8B-B935-D2B262BC36BA}"/>
              </a:ext>
            </a:extLst>
          </xdr:cNvPr>
          <xdr:cNvSpPr txBox="1"/>
        </xdr:nvSpPr>
        <xdr:spPr>
          <a:xfrm>
            <a:off x="495750" y="7636297"/>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8</a:t>
            </a:r>
            <a:endParaRPr lang="en-US">
              <a:solidFill>
                <a:schemeClr val="bg1"/>
              </a:solidFill>
              <a:effectLst/>
            </a:endParaRPr>
          </a:p>
        </xdr:txBody>
      </xdr:sp>
      <xdr:sp macro="" textlink="">
        <xdr:nvSpPr>
          <xdr:cNvPr id="43" name="TextBox 42">
            <a:hlinkClick xmlns:r="http://schemas.openxmlformats.org/officeDocument/2006/relationships" r:id="rId23"/>
            <a:extLst>
              <a:ext uri="{FF2B5EF4-FFF2-40B4-BE49-F238E27FC236}">
                <a16:creationId xmlns:a16="http://schemas.microsoft.com/office/drawing/2014/main" id="{E5708C4D-20BC-4A1E-9E5A-13967FD12BF1}"/>
              </a:ext>
            </a:extLst>
          </xdr:cNvPr>
          <xdr:cNvSpPr txBox="1"/>
        </xdr:nvSpPr>
        <xdr:spPr>
          <a:xfrm>
            <a:off x="495750" y="8136798"/>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9</a:t>
            </a:r>
            <a:endParaRPr lang="en-US">
              <a:solidFill>
                <a:schemeClr val="bg1"/>
              </a:solidFill>
              <a:effectLst/>
            </a:endParaRPr>
          </a:p>
        </xdr:txBody>
      </xdr:sp>
      <xdr:sp macro="" textlink="">
        <xdr:nvSpPr>
          <xdr:cNvPr id="44" name="TextBox 43">
            <a:hlinkClick xmlns:r="http://schemas.openxmlformats.org/officeDocument/2006/relationships" r:id="rId24"/>
            <a:extLst>
              <a:ext uri="{FF2B5EF4-FFF2-40B4-BE49-F238E27FC236}">
                <a16:creationId xmlns:a16="http://schemas.microsoft.com/office/drawing/2014/main" id="{65BCBEAD-BBEE-4D02-80DC-6C90162D8EEE}"/>
              </a:ext>
            </a:extLst>
          </xdr:cNvPr>
          <xdr:cNvSpPr txBox="1"/>
        </xdr:nvSpPr>
        <xdr:spPr>
          <a:xfrm>
            <a:off x="495750" y="8637299"/>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10</a:t>
            </a:r>
            <a:endParaRPr lang="en-US">
              <a:solidFill>
                <a:schemeClr val="bg1"/>
              </a:solidFill>
              <a:effectLst/>
            </a:endParaRPr>
          </a:p>
        </xdr:txBody>
      </xdr:sp>
      <xdr:sp macro="" textlink="">
        <xdr:nvSpPr>
          <xdr:cNvPr id="45" name="TextBox 44">
            <a:hlinkClick xmlns:r="http://schemas.openxmlformats.org/officeDocument/2006/relationships" r:id="rId25"/>
            <a:extLst>
              <a:ext uri="{FF2B5EF4-FFF2-40B4-BE49-F238E27FC236}">
                <a16:creationId xmlns:a16="http://schemas.microsoft.com/office/drawing/2014/main" id="{574518E5-2F4F-4C4A-BEA5-598A8549C5EF}"/>
              </a:ext>
            </a:extLst>
          </xdr:cNvPr>
          <xdr:cNvSpPr txBox="1"/>
        </xdr:nvSpPr>
        <xdr:spPr>
          <a:xfrm>
            <a:off x="495750" y="913780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ysClr val="windowText" lastClr="000000"/>
                </a:solidFill>
                <a:effectLst/>
                <a:latin typeface="+mn-lt"/>
                <a:ea typeface="+mn-ea"/>
                <a:cs typeface="+mn-cs"/>
              </a:rPr>
              <a:t>Theo dõi</a:t>
            </a:r>
            <a:r>
              <a:rPr lang="en-US" sz="1100" b="1" baseline="0">
                <a:solidFill>
                  <a:sysClr val="windowText" lastClr="000000"/>
                </a:solidFill>
                <a:effectLst/>
                <a:latin typeface="+mn-lt"/>
                <a:ea typeface="+mn-ea"/>
                <a:cs typeface="+mn-cs"/>
              </a:rPr>
              <a:t> tháng 11</a:t>
            </a:r>
            <a:endParaRPr lang="en-US">
              <a:solidFill>
                <a:sysClr val="windowText" lastClr="000000"/>
              </a:solidFill>
              <a:effectLst/>
            </a:endParaRPr>
          </a:p>
        </xdr:txBody>
      </xdr:sp>
      <xdr:sp macro="" textlink="">
        <xdr:nvSpPr>
          <xdr:cNvPr id="46" name="TextBox 45">
            <a:hlinkClick xmlns:r="http://schemas.openxmlformats.org/officeDocument/2006/relationships" r:id="rId26"/>
            <a:extLst>
              <a:ext uri="{FF2B5EF4-FFF2-40B4-BE49-F238E27FC236}">
                <a16:creationId xmlns:a16="http://schemas.microsoft.com/office/drawing/2014/main" id="{CB10BB29-CFAA-4094-95D4-BE2E4BB3B913}"/>
              </a:ext>
            </a:extLst>
          </xdr:cNvPr>
          <xdr:cNvSpPr txBox="1"/>
        </xdr:nvSpPr>
        <xdr:spPr>
          <a:xfrm>
            <a:off x="495750" y="9638301"/>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12</a:t>
            </a:r>
            <a:endParaRPr lang="en-US">
              <a:solidFill>
                <a:schemeClr val="bg1"/>
              </a:solidFill>
              <a:effectLst/>
            </a:endParaRPr>
          </a:p>
        </xdr:txBody>
      </xdr:sp>
      <xdr:sp macro="" textlink="">
        <xdr:nvSpPr>
          <xdr:cNvPr id="47" name="TextBox 46">
            <a:hlinkClick xmlns:r="http://schemas.openxmlformats.org/officeDocument/2006/relationships" r:id="rId27"/>
            <a:extLst>
              <a:ext uri="{FF2B5EF4-FFF2-40B4-BE49-F238E27FC236}">
                <a16:creationId xmlns:a16="http://schemas.microsoft.com/office/drawing/2014/main" id="{BB0A8F2C-8C49-4B3A-9BE3-46DEB518CE66}"/>
              </a:ext>
            </a:extLst>
          </xdr:cNvPr>
          <xdr:cNvSpPr txBox="1"/>
        </xdr:nvSpPr>
        <xdr:spPr>
          <a:xfrm>
            <a:off x="495750" y="1013881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b="1">
                <a:solidFill>
                  <a:schemeClr val="bg1"/>
                </a:solidFill>
                <a:effectLst/>
                <a:latin typeface="+mn-lt"/>
                <a:ea typeface="+mn-ea"/>
                <a:cs typeface="+mn-cs"/>
              </a:rPr>
              <a:t>Bảng</a:t>
            </a:r>
            <a:r>
              <a:rPr lang="en-US" sz="1100" b="1" baseline="0">
                <a:solidFill>
                  <a:schemeClr val="bg1"/>
                </a:solidFill>
                <a:effectLst/>
                <a:latin typeface="+mn-lt"/>
                <a:ea typeface="+mn-ea"/>
                <a:cs typeface="+mn-cs"/>
              </a:rPr>
              <a:t> khảo sát</a:t>
            </a:r>
            <a:endParaRPr lang="en-US">
              <a:solidFill>
                <a:schemeClr val="bg1"/>
              </a:solidFill>
              <a:effectLst/>
            </a:endParaRPr>
          </a:p>
        </xdr:txBody>
      </xdr:sp>
    </xdr:grp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190500</xdr:colOff>
      <xdr:row>0</xdr:row>
      <xdr:rowOff>103688</xdr:rowOff>
    </xdr:from>
    <xdr:to>
      <xdr:col>2</xdr:col>
      <xdr:colOff>472440</xdr:colOff>
      <xdr:row>3</xdr:row>
      <xdr:rowOff>24759</xdr:rowOff>
    </xdr:to>
    <xdr:grpSp>
      <xdr:nvGrpSpPr>
        <xdr:cNvPr id="2" name="Group 1">
          <a:hlinkClick xmlns:r="http://schemas.openxmlformats.org/officeDocument/2006/relationships" r:id="rId1"/>
          <a:extLst>
            <a:ext uri="{FF2B5EF4-FFF2-40B4-BE49-F238E27FC236}">
              <a16:creationId xmlns:a16="http://schemas.microsoft.com/office/drawing/2014/main" id="{5EA81D7A-4900-4EA0-9DCE-F81EC02F8453}"/>
            </a:ext>
          </a:extLst>
        </xdr:cNvPr>
        <xdr:cNvGrpSpPr/>
      </xdr:nvGrpSpPr>
      <xdr:grpSpPr>
        <a:xfrm>
          <a:off x="190500" y="103688"/>
          <a:ext cx="1591628" cy="486619"/>
          <a:chOff x="190500" y="103688"/>
          <a:chExt cx="1501140" cy="492571"/>
        </a:xfrm>
      </xdr:grpSpPr>
      <xdr:sp macro="" textlink="">
        <xdr:nvSpPr>
          <xdr:cNvPr id="3" name="TextBox 2">
            <a:extLst>
              <a:ext uri="{FF2B5EF4-FFF2-40B4-BE49-F238E27FC236}">
                <a16:creationId xmlns:a16="http://schemas.microsoft.com/office/drawing/2014/main" id="{C13BDC17-A48E-4D14-92DF-704C7DF37EBA}"/>
              </a:ext>
            </a:extLst>
          </xdr:cNvPr>
          <xdr:cNvSpPr txBox="1"/>
        </xdr:nvSpPr>
        <xdr:spPr>
          <a:xfrm>
            <a:off x="457200" y="103688"/>
            <a:ext cx="1234440" cy="4925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300" b="1" baseline="0">
                <a:solidFill>
                  <a:schemeClr val="bg1"/>
                </a:solidFill>
                <a:latin typeface="Roboto" pitchFamily="2" charset="0"/>
                <a:ea typeface="Roboto" pitchFamily="2" charset="0"/>
                <a:cs typeface="Times New Roman" panose="02020603050405020304" pitchFamily="18" charset="0"/>
              </a:rPr>
              <a:t>TÀI CHÍNH</a:t>
            </a:r>
          </a:p>
          <a:p>
            <a:pPr algn="ctr"/>
            <a:r>
              <a:rPr lang="en-US" sz="1300" b="1" baseline="0">
                <a:solidFill>
                  <a:schemeClr val="bg1"/>
                </a:solidFill>
                <a:latin typeface="Roboto" pitchFamily="2" charset="0"/>
                <a:ea typeface="Roboto" pitchFamily="2" charset="0"/>
                <a:cs typeface="Times New Roman" panose="02020603050405020304" pitchFamily="18" charset="0"/>
              </a:rPr>
              <a:t>CÁ NHÂN</a:t>
            </a:r>
            <a:endParaRPr lang="en-US" sz="1300" b="1">
              <a:solidFill>
                <a:schemeClr val="bg1"/>
              </a:solidFill>
              <a:latin typeface="Roboto" pitchFamily="2" charset="0"/>
              <a:ea typeface="Roboto" pitchFamily="2" charset="0"/>
              <a:cs typeface="Times New Roman" panose="02020603050405020304" pitchFamily="18" charset="0"/>
            </a:endParaRPr>
          </a:p>
        </xdr:txBody>
      </xdr:sp>
      <xdr:pic>
        <xdr:nvPicPr>
          <xdr:cNvPr id="4" name="Graphic 3" descr="Diamond">
            <a:extLst>
              <a:ext uri="{FF2B5EF4-FFF2-40B4-BE49-F238E27FC236}">
                <a16:creationId xmlns:a16="http://schemas.microsoft.com/office/drawing/2014/main" id="{EE6E96A5-D270-4D03-BE9D-A7641AF3325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90500" y="167093"/>
            <a:ext cx="365760" cy="365760"/>
          </a:xfrm>
          <a:prstGeom prst="rect">
            <a:avLst/>
          </a:prstGeom>
        </xdr:spPr>
      </xdr:pic>
    </xdr:grpSp>
    <xdr:clientData/>
  </xdr:twoCellAnchor>
  <xdr:twoCellAnchor>
    <xdr:from>
      <xdr:col>9</xdr:col>
      <xdr:colOff>321468</xdr:colOff>
      <xdr:row>7</xdr:row>
      <xdr:rowOff>170258</xdr:rowOff>
    </xdr:from>
    <xdr:to>
      <xdr:col>23</xdr:col>
      <xdr:colOff>0</xdr:colOff>
      <xdr:row>22</xdr:row>
      <xdr:rowOff>35719</xdr:rowOff>
    </xdr:to>
    <xdr:graphicFrame macro="">
      <xdr:nvGraphicFramePr>
        <xdr:cNvPr id="7" name="Chart 6">
          <a:extLst>
            <a:ext uri="{FF2B5EF4-FFF2-40B4-BE49-F238E27FC236}">
              <a16:creationId xmlns:a16="http://schemas.microsoft.com/office/drawing/2014/main" id="{8F01CD2E-B52F-44B5-9BEB-3C41A1F701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345278</xdr:colOff>
      <xdr:row>4</xdr:row>
      <xdr:rowOff>0</xdr:rowOff>
    </xdr:from>
    <xdr:to>
      <xdr:col>3</xdr:col>
      <xdr:colOff>9210</xdr:colOff>
      <xdr:row>57</xdr:row>
      <xdr:rowOff>43619</xdr:rowOff>
    </xdr:to>
    <xdr:grpSp>
      <xdr:nvGrpSpPr>
        <xdr:cNvPr id="8" name="Group 7">
          <a:extLst>
            <a:ext uri="{FF2B5EF4-FFF2-40B4-BE49-F238E27FC236}">
              <a16:creationId xmlns:a16="http://schemas.microsoft.com/office/drawing/2014/main" id="{D56F9784-FB2F-41FC-B6FE-5F74A976D253}"/>
            </a:ext>
          </a:extLst>
        </xdr:cNvPr>
        <xdr:cNvGrpSpPr/>
      </xdr:nvGrpSpPr>
      <xdr:grpSpPr>
        <a:xfrm>
          <a:off x="345278" y="750094"/>
          <a:ext cx="1628463" cy="10134166"/>
          <a:chOff x="350042" y="654846"/>
          <a:chExt cx="1485588" cy="10223462"/>
        </a:xfrm>
      </xdr:grpSpPr>
      <xdr:pic>
        <xdr:nvPicPr>
          <xdr:cNvPr id="9" name="Graphic 8">
            <a:extLst>
              <a:ext uri="{FF2B5EF4-FFF2-40B4-BE49-F238E27FC236}">
                <a16:creationId xmlns:a16="http://schemas.microsoft.com/office/drawing/2014/main" id="{84BFF208-C3C7-403A-8435-653AF6849046}"/>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654846"/>
            <a:ext cx="1485588" cy="1214436"/>
          </a:xfrm>
          <a:prstGeom prst="rect">
            <a:avLst/>
          </a:prstGeom>
        </xdr:spPr>
      </xdr:pic>
      <xdr:pic>
        <xdr:nvPicPr>
          <xdr:cNvPr id="10" name="Graphic 9">
            <a:extLst>
              <a:ext uri="{FF2B5EF4-FFF2-40B4-BE49-F238E27FC236}">
                <a16:creationId xmlns:a16="http://schemas.microsoft.com/office/drawing/2014/main" id="{B8AFF36A-25C2-4BAC-A0A3-0939B88A3694}"/>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1155347"/>
            <a:ext cx="1485588" cy="1214436"/>
          </a:xfrm>
          <a:prstGeom prst="rect">
            <a:avLst/>
          </a:prstGeom>
        </xdr:spPr>
      </xdr:pic>
      <xdr:pic>
        <xdr:nvPicPr>
          <xdr:cNvPr id="11" name="Graphic 10">
            <a:extLst>
              <a:ext uri="{FF2B5EF4-FFF2-40B4-BE49-F238E27FC236}">
                <a16:creationId xmlns:a16="http://schemas.microsoft.com/office/drawing/2014/main" id="{AD238147-0FF3-4DF4-9D6A-D0FCBCA61D9F}"/>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1655848"/>
            <a:ext cx="1485588" cy="1214436"/>
          </a:xfrm>
          <a:prstGeom prst="rect">
            <a:avLst/>
          </a:prstGeom>
        </xdr:spPr>
      </xdr:pic>
      <xdr:pic>
        <xdr:nvPicPr>
          <xdr:cNvPr id="12" name="Graphic 11">
            <a:extLst>
              <a:ext uri="{FF2B5EF4-FFF2-40B4-BE49-F238E27FC236}">
                <a16:creationId xmlns:a16="http://schemas.microsoft.com/office/drawing/2014/main" id="{32972D2E-C8BE-430B-85D2-1363FCF72BBC}"/>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2156349"/>
            <a:ext cx="1485588" cy="1214436"/>
          </a:xfrm>
          <a:prstGeom prst="rect">
            <a:avLst/>
          </a:prstGeom>
        </xdr:spPr>
      </xdr:pic>
      <xdr:pic>
        <xdr:nvPicPr>
          <xdr:cNvPr id="13" name="Graphic 12">
            <a:extLst>
              <a:ext uri="{FF2B5EF4-FFF2-40B4-BE49-F238E27FC236}">
                <a16:creationId xmlns:a16="http://schemas.microsoft.com/office/drawing/2014/main" id="{E8691EAA-C826-471D-B985-E539E8B0A3CF}"/>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2656850"/>
            <a:ext cx="1485588" cy="1214436"/>
          </a:xfrm>
          <a:prstGeom prst="rect">
            <a:avLst/>
          </a:prstGeom>
        </xdr:spPr>
      </xdr:pic>
      <xdr:pic>
        <xdr:nvPicPr>
          <xdr:cNvPr id="14" name="Graphic 13">
            <a:extLst>
              <a:ext uri="{FF2B5EF4-FFF2-40B4-BE49-F238E27FC236}">
                <a16:creationId xmlns:a16="http://schemas.microsoft.com/office/drawing/2014/main" id="{F8ED7B41-B878-4F63-B840-5379A91450BE}"/>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3157351"/>
            <a:ext cx="1485588" cy="1214436"/>
          </a:xfrm>
          <a:prstGeom prst="rect">
            <a:avLst/>
          </a:prstGeom>
        </xdr:spPr>
      </xdr:pic>
      <xdr:pic>
        <xdr:nvPicPr>
          <xdr:cNvPr id="15" name="Graphic 14">
            <a:extLst>
              <a:ext uri="{FF2B5EF4-FFF2-40B4-BE49-F238E27FC236}">
                <a16:creationId xmlns:a16="http://schemas.microsoft.com/office/drawing/2014/main" id="{E0050646-A850-4FE0-ABBA-6D4516789F2C}"/>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3657852"/>
            <a:ext cx="1485588" cy="1214436"/>
          </a:xfrm>
          <a:prstGeom prst="rect">
            <a:avLst/>
          </a:prstGeom>
        </xdr:spPr>
      </xdr:pic>
      <xdr:pic>
        <xdr:nvPicPr>
          <xdr:cNvPr id="16" name="Graphic 15">
            <a:extLst>
              <a:ext uri="{FF2B5EF4-FFF2-40B4-BE49-F238E27FC236}">
                <a16:creationId xmlns:a16="http://schemas.microsoft.com/office/drawing/2014/main" id="{AF661ECD-BAFA-4C09-A3F0-1A4E07779F5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4158353"/>
            <a:ext cx="1485588" cy="1214436"/>
          </a:xfrm>
          <a:prstGeom prst="rect">
            <a:avLst/>
          </a:prstGeom>
        </xdr:spPr>
      </xdr:pic>
      <xdr:pic>
        <xdr:nvPicPr>
          <xdr:cNvPr id="17" name="Graphic 16">
            <a:extLst>
              <a:ext uri="{FF2B5EF4-FFF2-40B4-BE49-F238E27FC236}">
                <a16:creationId xmlns:a16="http://schemas.microsoft.com/office/drawing/2014/main" id="{86D3F7BB-004F-4312-AED7-FDCE719A42D4}"/>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4658854"/>
            <a:ext cx="1485588" cy="1214436"/>
          </a:xfrm>
          <a:prstGeom prst="rect">
            <a:avLst/>
          </a:prstGeom>
        </xdr:spPr>
      </xdr:pic>
      <xdr:pic>
        <xdr:nvPicPr>
          <xdr:cNvPr id="18" name="Graphic 17">
            <a:extLst>
              <a:ext uri="{FF2B5EF4-FFF2-40B4-BE49-F238E27FC236}">
                <a16:creationId xmlns:a16="http://schemas.microsoft.com/office/drawing/2014/main" id="{4B789F28-14B1-4FB0-8039-76FDC425EE6F}"/>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5159355"/>
            <a:ext cx="1485588" cy="1214436"/>
          </a:xfrm>
          <a:prstGeom prst="rect">
            <a:avLst/>
          </a:prstGeom>
        </xdr:spPr>
      </xdr:pic>
      <xdr:pic>
        <xdr:nvPicPr>
          <xdr:cNvPr id="19" name="Graphic 18">
            <a:extLst>
              <a:ext uri="{FF2B5EF4-FFF2-40B4-BE49-F238E27FC236}">
                <a16:creationId xmlns:a16="http://schemas.microsoft.com/office/drawing/2014/main" id="{6A6BC388-98B1-4CCA-97BC-73A58F85E104}"/>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5659856"/>
            <a:ext cx="1485588" cy="1214436"/>
          </a:xfrm>
          <a:prstGeom prst="rect">
            <a:avLst/>
          </a:prstGeom>
        </xdr:spPr>
      </xdr:pic>
      <xdr:pic>
        <xdr:nvPicPr>
          <xdr:cNvPr id="20" name="Graphic 19">
            <a:extLst>
              <a:ext uri="{FF2B5EF4-FFF2-40B4-BE49-F238E27FC236}">
                <a16:creationId xmlns:a16="http://schemas.microsoft.com/office/drawing/2014/main" id="{5AADAC79-4940-415C-8DAF-01E71E10352D}"/>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6160357"/>
            <a:ext cx="1485588" cy="1214436"/>
          </a:xfrm>
          <a:prstGeom prst="rect">
            <a:avLst/>
          </a:prstGeom>
        </xdr:spPr>
      </xdr:pic>
      <xdr:pic>
        <xdr:nvPicPr>
          <xdr:cNvPr id="21" name="Graphic 20">
            <a:extLst>
              <a:ext uri="{FF2B5EF4-FFF2-40B4-BE49-F238E27FC236}">
                <a16:creationId xmlns:a16="http://schemas.microsoft.com/office/drawing/2014/main" id="{C14A268E-3157-43C4-BC02-24CDA2AD019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6660858"/>
            <a:ext cx="1485588" cy="1214436"/>
          </a:xfrm>
          <a:prstGeom prst="rect">
            <a:avLst/>
          </a:prstGeom>
        </xdr:spPr>
      </xdr:pic>
      <xdr:pic>
        <xdr:nvPicPr>
          <xdr:cNvPr id="22" name="Graphic 21">
            <a:extLst>
              <a:ext uri="{FF2B5EF4-FFF2-40B4-BE49-F238E27FC236}">
                <a16:creationId xmlns:a16="http://schemas.microsoft.com/office/drawing/2014/main" id="{7B8EBC68-8F2D-42CC-87F5-9E02CE2546E4}"/>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7161359"/>
            <a:ext cx="1485588" cy="1214436"/>
          </a:xfrm>
          <a:prstGeom prst="rect">
            <a:avLst/>
          </a:prstGeom>
        </xdr:spPr>
      </xdr:pic>
      <xdr:pic>
        <xdr:nvPicPr>
          <xdr:cNvPr id="23" name="Graphic 22">
            <a:extLst>
              <a:ext uri="{FF2B5EF4-FFF2-40B4-BE49-F238E27FC236}">
                <a16:creationId xmlns:a16="http://schemas.microsoft.com/office/drawing/2014/main" id="{096C3EE3-3AB6-4C81-9286-1A2127DCE6F2}"/>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7661860"/>
            <a:ext cx="1485588" cy="1214436"/>
          </a:xfrm>
          <a:prstGeom prst="rect">
            <a:avLst/>
          </a:prstGeom>
        </xdr:spPr>
      </xdr:pic>
      <xdr:pic>
        <xdr:nvPicPr>
          <xdr:cNvPr id="24" name="Graphic 23">
            <a:extLst>
              <a:ext uri="{FF2B5EF4-FFF2-40B4-BE49-F238E27FC236}">
                <a16:creationId xmlns:a16="http://schemas.microsoft.com/office/drawing/2014/main" id="{C9437932-B14F-4EB1-919A-795D300F86DB}"/>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8162361"/>
            <a:ext cx="1485588" cy="1214436"/>
          </a:xfrm>
          <a:prstGeom prst="rect">
            <a:avLst/>
          </a:prstGeom>
        </xdr:spPr>
      </xdr:pic>
      <xdr:pic>
        <xdr:nvPicPr>
          <xdr:cNvPr id="25" name="Graphic 24">
            <a:extLst>
              <a:ext uri="{FF2B5EF4-FFF2-40B4-BE49-F238E27FC236}">
                <a16:creationId xmlns:a16="http://schemas.microsoft.com/office/drawing/2014/main" id="{7C6EE071-E743-41ED-8270-4C28C4C5B6BD}"/>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8662862"/>
            <a:ext cx="1485588" cy="1214436"/>
          </a:xfrm>
          <a:prstGeom prst="rect">
            <a:avLst/>
          </a:prstGeom>
        </xdr:spPr>
      </xdr:pic>
      <xdr:pic>
        <xdr:nvPicPr>
          <xdr:cNvPr id="27" name="Graphic 26">
            <a:extLst>
              <a:ext uri="{FF2B5EF4-FFF2-40B4-BE49-F238E27FC236}">
                <a16:creationId xmlns:a16="http://schemas.microsoft.com/office/drawing/2014/main" id="{E8CCEE32-6FCB-4B68-B991-AFBBE5D00C8D}"/>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r="28388"/>
          <a:stretch/>
        </xdr:blipFill>
        <xdr:spPr>
          <a:xfrm>
            <a:off x="350042" y="9663872"/>
            <a:ext cx="1485588" cy="1214436"/>
          </a:xfrm>
          <a:prstGeom prst="rect">
            <a:avLst/>
          </a:prstGeom>
        </xdr:spPr>
      </xdr:pic>
      <xdr:pic>
        <xdr:nvPicPr>
          <xdr:cNvPr id="26" name="Graphic 25">
            <a:extLst>
              <a:ext uri="{FF2B5EF4-FFF2-40B4-BE49-F238E27FC236}">
                <a16:creationId xmlns:a16="http://schemas.microsoft.com/office/drawing/2014/main" id="{92AD8174-70DB-4430-8DAD-DC44712682D1}"/>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rcRect r="28388"/>
          <a:stretch/>
        </xdr:blipFill>
        <xdr:spPr>
          <a:xfrm>
            <a:off x="350042" y="9163363"/>
            <a:ext cx="1485588" cy="1214436"/>
          </a:xfrm>
          <a:prstGeom prst="rect">
            <a:avLst/>
          </a:prstGeom>
        </xdr:spPr>
      </xdr:pic>
    </xdr:grpSp>
    <xdr:clientData/>
  </xdr:twoCellAnchor>
  <xdr:twoCellAnchor>
    <xdr:from>
      <xdr:col>0</xdr:col>
      <xdr:colOff>453617</xdr:colOff>
      <xdr:row>6</xdr:row>
      <xdr:rowOff>93938</xdr:rowOff>
    </xdr:from>
    <xdr:to>
      <xdr:col>2</xdr:col>
      <xdr:colOff>508089</xdr:colOff>
      <xdr:row>54</xdr:row>
      <xdr:rowOff>152087</xdr:rowOff>
    </xdr:to>
    <xdr:grpSp>
      <xdr:nvGrpSpPr>
        <xdr:cNvPr id="28" name="Group 27">
          <a:extLst>
            <a:ext uri="{FF2B5EF4-FFF2-40B4-BE49-F238E27FC236}">
              <a16:creationId xmlns:a16="http://schemas.microsoft.com/office/drawing/2014/main" id="{224C8431-8684-44E1-92EA-FAEE15AFD1C7}"/>
            </a:ext>
          </a:extLst>
        </xdr:cNvPr>
        <xdr:cNvGrpSpPr/>
      </xdr:nvGrpSpPr>
      <xdr:grpSpPr>
        <a:xfrm>
          <a:off x="453617" y="1225032"/>
          <a:ext cx="1364160" cy="9184290"/>
          <a:chOff x="487686" y="1129784"/>
          <a:chExt cx="1268910" cy="9273586"/>
        </a:xfrm>
      </xdr:grpSpPr>
      <xdr:sp macro="" textlink="">
        <xdr:nvSpPr>
          <xdr:cNvPr id="29" name="TextBox 28">
            <a:hlinkClick xmlns:r="http://schemas.openxmlformats.org/officeDocument/2006/relationships" r:id="rId9"/>
            <a:extLst>
              <a:ext uri="{FF2B5EF4-FFF2-40B4-BE49-F238E27FC236}">
                <a16:creationId xmlns:a16="http://schemas.microsoft.com/office/drawing/2014/main" id="{6E6B664C-2D2C-46D7-9693-37B4CAC37879}"/>
              </a:ext>
            </a:extLst>
          </xdr:cNvPr>
          <xdr:cNvSpPr txBox="1"/>
        </xdr:nvSpPr>
        <xdr:spPr>
          <a:xfrm>
            <a:off x="784825" y="1129784"/>
            <a:ext cx="67317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Từ</a:t>
            </a:r>
            <a:r>
              <a:rPr lang="en-US" sz="1100" b="1" baseline="0">
                <a:solidFill>
                  <a:schemeClr val="bg1"/>
                </a:solidFill>
              </a:rPr>
              <a:t> khóa</a:t>
            </a:r>
            <a:endParaRPr lang="en-US" sz="1100" b="1">
              <a:solidFill>
                <a:schemeClr val="bg1"/>
              </a:solidFill>
            </a:endParaRPr>
          </a:p>
        </xdr:txBody>
      </xdr:sp>
      <xdr:sp macro="" textlink="">
        <xdr:nvSpPr>
          <xdr:cNvPr id="30" name="TextBox 29">
            <a:hlinkClick xmlns:r="http://schemas.openxmlformats.org/officeDocument/2006/relationships" r:id="rId10"/>
            <a:extLst>
              <a:ext uri="{FF2B5EF4-FFF2-40B4-BE49-F238E27FC236}">
                <a16:creationId xmlns:a16="http://schemas.microsoft.com/office/drawing/2014/main" id="{A1B646CD-BFD8-47BF-9B01-88C6FD6256C3}"/>
              </a:ext>
            </a:extLst>
          </xdr:cNvPr>
          <xdr:cNvSpPr txBox="1"/>
        </xdr:nvSpPr>
        <xdr:spPr>
          <a:xfrm>
            <a:off x="708434" y="1630285"/>
            <a:ext cx="82595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Dashboard</a:t>
            </a:r>
          </a:p>
        </xdr:txBody>
      </xdr:sp>
      <xdr:sp macro="" textlink="">
        <xdr:nvSpPr>
          <xdr:cNvPr id="31" name="TextBox 30">
            <a:hlinkClick xmlns:r="http://schemas.openxmlformats.org/officeDocument/2006/relationships" r:id="rId11"/>
            <a:extLst>
              <a:ext uri="{FF2B5EF4-FFF2-40B4-BE49-F238E27FC236}">
                <a16:creationId xmlns:a16="http://schemas.microsoft.com/office/drawing/2014/main" id="{ED493F77-0AA4-47F4-B203-FCF30BB1A29B}"/>
              </a:ext>
            </a:extLst>
          </xdr:cNvPr>
          <xdr:cNvSpPr txBox="1"/>
        </xdr:nvSpPr>
        <xdr:spPr>
          <a:xfrm>
            <a:off x="495750" y="2130786"/>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Mục</a:t>
            </a:r>
            <a:r>
              <a:rPr lang="en-US" sz="1100" b="1" baseline="0">
                <a:solidFill>
                  <a:schemeClr val="bg1"/>
                </a:solidFill>
                <a:effectLst/>
                <a:latin typeface="+mn-lt"/>
                <a:ea typeface="+mn-ea"/>
                <a:cs typeface="+mn-cs"/>
              </a:rPr>
              <a:t> tiêu bản thân</a:t>
            </a:r>
            <a:endParaRPr lang="en-US">
              <a:solidFill>
                <a:schemeClr val="bg1"/>
              </a:solidFill>
              <a:effectLst/>
            </a:endParaRPr>
          </a:p>
        </xdr:txBody>
      </xdr:sp>
      <xdr:sp macro="" textlink="">
        <xdr:nvSpPr>
          <xdr:cNvPr id="32" name="TextBox 31">
            <a:hlinkClick xmlns:r="http://schemas.openxmlformats.org/officeDocument/2006/relationships" r:id="rId12"/>
            <a:extLst>
              <a:ext uri="{FF2B5EF4-FFF2-40B4-BE49-F238E27FC236}">
                <a16:creationId xmlns:a16="http://schemas.microsoft.com/office/drawing/2014/main" id="{CB57EE95-6217-4969-869D-1915D725E615}"/>
              </a:ext>
            </a:extLst>
          </xdr:cNvPr>
          <xdr:cNvSpPr txBox="1"/>
        </xdr:nvSpPr>
        <xdr:spPr>
          <a:xfrm>
            <a:off x="495750" y="2631287"/>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Mục</a:t>
            </a:r>
            <a:r>
              <a:rPr lang="en-US" sz="1100" b="1" baseline="0">
                <a:solidFill>
                  <a:schemeClr val="bg1"/>
                </a:solidFill>
                <a:effectLst/>
                <a:latin typeface="+mn-lt"/>
                <a:ea typeface="+mn-ea"/>
                <a:cs typeface="+mn-cs"/>
              </a:rPr>
              <a:t> tiêu tài chính</a:t>
            </a:r>
            <a:endParaRPr lang="en-US">
              <a:solidFill>
                <a:schemeClr val="bg1"/>
              </a:solidFill>
              <a:effectLst/>
            </a:endParaRPr>
          </a:p>
        </xdr:txBody>
      </xdr:sp>
      <xdr:sp macro="" textlink="">
        <xdr:nvSpPr>
          <xdr:cNvPr id="33" name="TextBox 32">
            <a:hlinkClick xmlns:r="http://schemas.openxmlformats.org/officeDocument/2006/relationships" r:id="rId13"/>
            <a:extLst>
              <a:ext uri="{FF2B5EF4-FFF2-40B4-BE49-F238E27FC236}">
                <a16:creationId xmlns:a16="http://schemas.microsoft.com/office/drawing/2014/main" id="{5548F546-6695-4D34-BC2E-4BE17E401F4B}"/>
              </a:ext>
            </a:extLst>
          </xdr:cNvPr>
          <xdr:cNvSpPr txBox="1"/>
        </xdr:nvSpPr>
        <xdr:spPr>
          <a:xfrm>
            <a:off x="487686" y="3020663"/>
            <a:ext cx="1260846" cy="459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b="1">
                <a:solidFill>
                  <a:schemeClr val="bg1"/>
                </a:solidFill>
                <a:effectLst/>
                <a:latin typeface="+mn-lt"/>
                <a:ea typeface="+mn-ea"/>
                <a:cs typeface="+mn-cs"/>
              </a:rPr>
              <a:t>Cân</a:t>
            </a:r>
            <a:r>
              <a:rPr lang="en-US" sz="1100" b="1" baseline="0">
                <a:solidFill>
                  <a:schemeClr val="bg1"/>
                </a:solidFill>
                <a:effectLst/>
                <a:latin typeface="+mn-lt"/>
                <a:ea typeface="+mn-ea"/>
                <a:cs typeface="+mn-cs"/>
              </a:rPr>
              <a:t> đối</a:t>
            </a:r>
            <a:endParaRPr lang="en-US">
              <a:solidFill>
                <a:schemeClr val="bg1"/>
              </a:solidFill>
              <a:effectLst/>
            </a:endParaRPr>
          </a:p>
          <a:p>
            <a:pPr algn="ctr"/>
            <a:r>
              <a:rPr lang="en-US" sz="1100" b="1" baseline="0">
                <a:solidFill>
                  <a:schemeClr val="bg1"/>
                </a:solidFill>
                <a:effectLst/>
                <a:latin typeface="+mn-lt"/>
                <a:ea typeface="+mn-ea"/>
                <a:cs typeface="+mn-cs"/>
              </a:rPr>
              <a:t>l</a:t>
            </a:r>
            <a:r>
              <a:rPr lang="en-US" sz="1100" b="1">
                <a:solidFill>
                  <a:schemeClr val="bg1"/>
                </a:solidFill>
                <a:effectLst/>
                <a:latin typeface="+mn-lt"/>
                <a:ea typeface="+mn-ea"/>
                <a:cs typeface="+mn-cs"/>
              </a:rPr>
              <a:t>ộ</a:t>
            </a:r>
            <a:r>
              <a:rPr lang="en-US" sz="1100" b="1" baseline="0">
                <a:solidFill>
                  <a:schemeClr val="bg1"/>
                </a:solidFill>
                <a:effectLst/>
                <a:latin typeface="+mn-lt"/>
                <a:ea typeface="+mn-ea"/>
                <a:cs typeface="+mn-cs"/>
              </a:rPr>
              <a:t> trình nghề nghiệp</a:t>
            </a:r>
            <a:endParaRPr lang="en-US">
              <a:solidFill>
                <a:schemeClr val="bg1"/>
              </a:solidFill>
              <a:effectLst/>
            </a:endParaRPr>
          </a:p>
        </xdr:txBody>
      </xdr:sp>
      <xdr:sp macro="" textlink="">
        <xdr:nvSpPr>
          <xdr:cNvPr id="34" name="TextBox 33">
            <a:hlinkClick xmlns:r="http://schemas.openxmlformats.org/officeDocument/2006/relationships" r:id="rId14"/>
            <a:extLst>
              <a:ext uri="{FF2B5EF4-FFF2-40B4-BE49-F238E27FC236}">
                <a16:creationId xmlns:a16="http://schemas.microsoft.com/office/drawing/2014/main" id="{3229E0EF-EAC5-4ED6-813C-5AAA10D5C784}"/>
              </a:ext>
            </a:extLst>
          </xdr:cNvPr>
          <xdr:cNvSpPr txBox="1"/>
        </xdr:nvSpPr>
        <xdr:spPr>
          <a:xfrm>
            <a:off x="487686" y="3521164"/>
            <a:ext cx="1260846" cy="459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100" b="1">
                <a:solidFill>
                  <a:schemeClr val="bg1"/>
                </a:solidFill>
                <a:effectLst/>
                <a:latin typeface="+mn-lt"/>
                <a:ea typeface="+mn-ea"/>
                <a:cs typeface="+mn-cs"/>
              </a:rPr>
              <a:t>Kế</a:t>
            </a:r>
            <a:r>
              <a:rPr lang="en-US" sz="1100" b="1" baseline="0">
                <a:solidFill>
                  <a:schemeClr val="bg1"/>
                </a:solidFill>
                <a:effectLst/>
                <a:latin typeface="+mn-lt"/>
                <a:ea typeface="+mn-ea"/>
                <a:cs typeface="+mn-cs"/>
              </a:rPr>
              <a:t> hoạch </a:t>
            </a:r>
          </a:p>
          <a:p>
            <a:pPr algn="ctr"/>
            <a:r>
              <a:rPr lang="en-US" sz="1100" b="1" baseline="0">
                <a:solidFill>
                  <a:schemeClr val="bg1"/>
                </a:solidFill>
                <a:effectLst/>
                <a:latin typeface="+mn-lt"/>
                <a:ea typeface="+mn-ea"/>
                <a:cs typeface="+mn-cs"/>
              </a:rPr>
              <a:t>thu nhập &amp; chi tiêu</a:t>
            </a:r>
            <a:endParaRPr lang="en-US">
              <a:solidFill>
                <a:schemeClr val="bg1"/>
              </a:solidFill>
              <a:effectLst/>
            </a:endParaRPr>
          </a:p>
        </xdr:txBody>
      </xdr:sp>
      <xdr:sp macro="" textlink="">
        <xdr:nvSpPr>
          <xdr:cNvPr id="35" name="TextBox 34">
            <a:hlinkClick xmlns:r="http://schemas.openxmlformats.org/officeDocument/2006/relationships" r:id="rId15"/>
            <a:extLst>
              <a:ext uri="{FF2B5EF4-FFF2-40B4-BE49-F238E27FC236}">
                <a16:creationId xmlns:a16="http://schemas.microsoft.com/office/drawing/2014/main" id="{0CC4D973-10C1-438B-BFE2-4B4EACF874B7}"/>
              </a:ext>
            </a:extLst>
          </xdr:cNvPr>
          <xdr:cNvSpPr txBox="1"/>
        </xdr:nvSpPr>
        <xdr:spPr>
          <a:xfrm>
            <a:off x="495750" y="413279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a:t>
            </a:r>
            <a:endParaRPr lang="en-US">
              <a:solidFill>
                <a:schemeClr val="bg1"/>
              </a:solidFill>
              <a:effectLst/>
            </a:endParaRPr>
          </a:p>
        </xdr:txBody>
      </xdr:sp>
      <xdr:sp macro="" textlink="">
        <xdr:nvSpPr>
          <xdr:cNvPr id="36" name="TextBox 35">
            <a:hlinkClick xmlns:r="http://schemas.openxmlformats.org/officeDocument/2006/relationships" r:id="rId16"/>
            <a:extLst>
              <a:ext uri="{FF2B5EF4-FFF2-40B4-BE49-F238E27FC236}">
                <a16:creationId xmlns:a16="http://schemas.microsoft.com/office/drawing/2014/main" id="{58513DBA-01BA-4BAC-AB6A-CBB506D2B2CF}"/>
              </a:ext>
            </a:extLst>
          </xdr:cNvPr>
          <xdr:cNvSpPr txBox="1"/>
        </xdr:nvSpPr>
        <xdr:spPr>
          <a:xfrm>
            <a:off x="495750" y="4633291"/>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2</a:t>
            </a:r>
            <a:endParaRPr lang="en-US">
              <a:solidFill>
                <a:schemeClr val="bg1"/>
              </a:solidFill>
              <a:effectLst/>
            </a:endParaRPr>
          </a:p>
        </xdr:txBody>
      </xdr:sp>
      <xdr:sp macro="" textlink="">
        <xdr:nvSpPr>
          <xdr:cNvPr id="37" name="TextBox 36">
            <a:hlinkClick xmlns:r="http://schemas.openxmlformats.org/officeDocument/2006/relationships" r:id="rId17"/>
            <a:extLst>
              <a:ext uri="{FF2B5EF4-FFF2-40B4-BE49-F238E27FC236}">
                <a16:creationId xmlns:a16="http://schemas.microsoft.com/office/drawing/2014/main" id="{6AD1ED98-4EBD-4691-B00C-517F8DA3C229}"/>
              </a:ext>
            </a:extLst>
          </xdr:cNvPr>
          <xdr:cNvSpPr txBox="1"/>
        </xdr:nvSpPr>
        <xdr:spPr>
          <a:xfrm>
            <a:off x="495750" y="5133792"/>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3</a:t>
            </a:r>
            <a:endParaRPr lang="en-US">
              <a:solidFill>
                <a:schemeClr val="bg1"/>
              </a:solidFill>
              <a:effectLst/>
            </a:endParaRPr>
          </a:p>
        </xdr:txBody>
      </xdr:sp>
      <xdr:sp macro="" textlink="">
        <xdr:nvSpPr>
          <xdr:cNvPr id="38" name="TextBox 37">
            <a:hlinkClick xmlns:r="http://schemas.openxmlformats.org/officeDocument/2006/relationships" r:id="rId18"/>
            <a:extLst>
              <a:ext uri="{FF2B5EF4-FFF2-40B4-BE49-F238E27FC236}">
                <a16:creationId xmlns:a16="http://schemas.microsoft.com/office/drawing/2014/main" id="{1EFA0BDA-3518-4DBF-8433-4F96FDF7CB08}"/>
              </a:ext>
            </a:extLst>
          </xdr:cNvPr>
          <xdr:cNvSpPr txBox="1"/>
        </xdr:nvSpPr>
        <xdr:spPr>
          <a:xfrm>
            <a:off x="495750" y="5634293"/>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4</a:t>
            </a:r>
            <a:endParaRPr lang="en-US">
              <a:solidFill>
                <a:schemeClr val="bg1"/>
              </a:solidFill>
              <a:effectLst/>
            </a:endParaRPr>
          </a:p>
        </xdr:txBody>
      </xdr:sp>
      <xdr:sp macro="" textlink="">
        <xdr:nvSpPr>
          <xdr:cNvPr id="39" name="TextBox 38">
            <a:hlinkClick xmlns:r="http://schemas.openxmlformats.org/officeDocument/2006/relationships" r:id="rId19"/>
            <a:extLst>
              <a:ext uri="{FF2B5EF4-FFF2-40B4-BE49-F238E27FC236}">
                <a16:creationId xmlns:a16="http://schemas.microsoft.com/office/drawing/2014/main" id="{F5C09E3A-1F22-44DB-96C5-35A957A537C0}"/>
              </a:ext>
            </a:extLst>
          </xdr:cNvPr>
          <xdr:cNvSpPr txBox="1"/>
        </xdr:nvSpPr>
        <xdr:spPr>
          <a:xfrm>
            <a:off x="495750" y="6134794"/>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5</a:t>
            </a:r>
            <a:endParaRPr lang="en-US">
              <a:solidFill>
                <a:schemeClr val="bg1"/>
              </a:solidFill>
              <a:effectLst/>
            </a:endParaRPr>
          </a:p>
        </xdr:txBody>
      </xdr:sp>
      <xdr:sp macro="" textlink="">
        <xdr:nvSpPr>
          <xdr:cNvPr id="40" name="TextBox 39">
            <a:hlinkClick xmlns:r="http://schemas.openxmlformats.org/officeDocument/2006/relationships" r:id="rId20"/>
            <a:extLst>
              <a:ext uri="{FF2B5EF4-FFF2-40B4-BE49-F238E27FC236}">
                <a16:creationId xmlns:a16="http://schemas.microsoft.com/office/drawing/2014/main" id="{8E7A0C11-F6A9-4496-ABB6-D25EFB429E90}"/>
              </a:ext>
            </a:extLst>
          </xdr:cNvPr>
          <xdr:cNvSpPr txBox="1"/>
        </xdr:nvSpPr>
        <xdr:spPr>
          <a:xfrm>
            <a:off x="495750" y="6635295"/>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6</a:t>
            </a:r>
            <a:endParaRPr lang="en-US">
              <a:solidFill>
                <a:schemeClr val="bg1"/>
              </a:solidFill>
              <a:effectLst/>
            </a:endParaRPr>
          </a:p>
        </xdr:txBody>
      </xdr:sp>
      <xdr:sp macro="" textlink="">
        <xdr:nvSpPr>
          <xdr:cNvPr id="41" name="TextBox 40">
            <a:hlinkClick xmlns:r="http://schemas.openxmlformats.org/officeDocument/2006/relationships" r:id="rId21"/>
            <a:extLst>
              <a:ext uri="{FF2B5EF4-FFF2-40B4-BE49-F238E27FC236}">
                <a16:creationId xmlns:a16="http://schemas.microsoft.com/office/drawing/2014/main" id="{61971364-E4D1-4CD1-B3F5-D288A8C7E05B}"/>
              </a:ext>
            </a:extLst>
          </xdr:cNvPr>
          <xdr:cNvSpPr txBox="1"/>
        </xdr:nvSpPr>
        <xdr:spPr>
          <a:xfrm>
            <a:off x="495750" y="7135796"/>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7</a:t>
            </a:r>
            <a:endParaRPr lang="en-US">
              <a:solidFill>
                <a:schemeClr val="bg1"/>
              </a:solidFill>
              <a:effectLst/>
            </a:endParaRPr>
          </a:p>
        </xdr:txBody>
      </xdr:sp>
      <xdr:sp macro="" textlink="">
        <xdr:nvSpPr>
          <xdr:cNvPr id="42" name="TextBox 41">
            <a:hlinkClick xmlns:r="http://schemas.openxmlformats.org/officeDocument/2006/relationships" r:id="rId22"/>
            <a:extLst>
              <a:ext uri="{FF2B5EF4-FFF2-40B4-BE49-F238E27FC236}">
                <a16:creationId xmlns:a16="http://schemas.microsoft.com/office/drawing/2014/main" id="{D80E3945-D5D0-4071-978B-C386685DC203}"/>
              </a:ext>
            </a:extLst>
          </xdr:cNvPr>
          <xdr:cNvSpPr txBox="1"/>
        </xdr:nvSpPr>
        <xdr:spPr>
          <a:xfrm>
            <a:off x="495750" y="7636297"/>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8</a:t>
            </a:r>
            <a:endParaRPr lang="en-US">
              <a:solidFill>
                <a:schemeClr val="bg1"/>
              </a:solidFill>
              <a:effectLst/>
            </a:endParaRPr>
          </a:p>
        </xdr:txBody>
      </xdr:sp>
      <xdr:sp macro="" textlink="">
        <xdr:nvSpPr>
          <xdr:cNvPr id="43" name="TextBox 42">
            <a:hlinkClick xmlns:r="http://schemas.openxmlformats.org/officeDocument/2006/relationships" r:id="rId23"/>
            <a:extLst>
              <a:ext uri="{FF2B5EF4-FFF2-40B4-BE49-F238E27FC236}">
                <a16:creationId xmlns:a16="http://schemas.microsoft.com/office/drawing/2014/main" id="{E930BBE5-59AC-4B91-ACEE-F2C91032181D}"/>
              </a:ext>
            </a:extLst>
          </xdr:cNvPr>
          <xdr:cNvSpPr txBox="1"/>
        </xdr:nvSpPr>
        <xdr:spPr>
          <a:xfrm>
            <a:off x="495750" y="8136798"/>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9</a:t>
            </a:r>
            <a:endParaRPr lang="en-US">
              <a:solidFill>
                <a:schemeClr val="bg1"/>
              </a:solidFill>
              <a:effectLst/>
            </a:endParaRPr>
          </a:p>
        </xdr:txBody>
      </xdr:sp>
      <xdr:sp macro="" textlink="">
        <xdr:nvSpPr>
          <xdr:cNvPr id="44" name="TextBox 43">
            <a:hlinkClick xmlns:r="http://schemas.openxmlformats.org/officeDocument/2006/relationships" r:id="rId24"/>
            <a:extLst>
              <a:ext uri="{FF2B5EF4-FFF2-40B4-BE49-F238E27FC236}">
                <a16:creationId xmlns:a16="http://schemas.microsoft.com/office/drawing/2014/main" id="{19B8703E-F822-4A38-9922-B3CEAC4D6B9D}"/>
              </a:ext>
            </a:extLst>
          </xdr:cNvPr>
          <xdr:cNvSpPr txBox="1"/>
        </xdr:nvSpPr>
        <xdr:spPr>
          <a:xfrm>
            <a:off x="495750" y="8637299"/>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10</a:t>
            </a:r>
            <a:endParaRPr lang="en-US">
              <a:solidFill>
                <a:schemeClr val="bg1"/>
              </a:solidFill>
              <a:effectLst/>
            </a:endParaRPr>
          </a:p>
        </xdr:txBody>
      </xdr:sp>
      <xdr:sp macro="" textlink="">
        <xdr:nvSpPr>
          <xdr:cNvPr id="45" name="TextBox 44">
            <a:hlinkClick xmlns:r="http://schemas.openxmlformats.org/officeDocument/2006/relationships" r:id="rId25"/>
            <a:extLst>
              <a:ext uri="{FF2B5EF4-FFF2-40B4-BE49-F238E27FC236}">
                <a16:creationId xmlns:a16="http://schemas.microsoft.com/office/drawing/2014/main" id="{357786B6-37E8-4B62-9E90-8E6BD2212321}"/>
              </a:ext>
            </a:extLst>
          </xdr:cNvPr>
          <xdr:cNvSpPr txBox="1"/>
        </xdr:nvSpPr>
        <xdr:spPr>
          <a:xfrm>
            <a:off x="495750" y="913780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effectLst/>
                <a:latin typeface="+mn-lt"/>
                <a:ea typeface="+mn-ea"/>
                <a:cs typeface="+mn-cs"/>
              </a:rPr>
              <a:t>Theo dõi</a:t>
            </a:r>
            <a:r>
              <a:rPr lang="en-US" sz="1100" b="1" baseline="0">
                <a:solidFill>
                  <a:schemeClr val="bg1"/>
                </a:solidFill>
                <a:effectLst/>
                <a:latin typeface="+mn-lt"/>
                <a:ea typeface="+mn-ea"/>
                <a:cs typeface="+mn-cs"/>
              </a:rPr>
              <a:t> tháng 11</a:t>
            </a:r>
            <a:endParaRPr lang="en-US">
              <a:solidFill>
                <a:schemeClr val="bg1"/>
              </a:solidFill>
              <a:effectLst/>
            </a:endParaRPr>
          </a:p>
        </xdr:txBody>
      </xdr:sp>
      <xdr:sp macro="" textlink="">
        <xdr:nvSpPr>
          <xdr:cNvPr id="46" name="TextBox 45">
            <a:hlinkClick xmlns:r="http://schemas.openxmlformats.org/officeDocument/2006/relationships" r:id="rId26"/>
            <a:extLst>
              <a:ext uri="{FF2B5EF4-FFF2-40B4-BE49-F238E27FC236}">
                <a16:creationId xmlns:a16="http://schemas.microsoft.com/office/drawing/2014/main" id="{11A9C592-3C30-4B59-9BA0-2FF4F09B9E49}"/>
              </a:ext>
            </a:extLst>
          </xdr:cNvPr>
          <xdr:cNvSpPr txBox="1"/>
        </xdr:nvSpPr>
        <xdr:spPr>
          <a:xfrm>
            <a:off x="495750" y="9638301"/>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ysClr val="windowText" lastClr="000000"/>
                </a:solidFill>
                <a:effectLst/>
                <a:latin typeface="+mn-lt"/>
                <a:ea typeface="+mn-ea"/>
                <a:cs typeface="+mn-cs"/>
              </a:rPr>
              <a:t>Theo dõi</a:t>
            </a:r>
            <a:r>
              <a:rPr lang="en-US" sz="1100" b="1" baseline="0">
                <a:solidFill>
                  <a:sysClr val="windowText" lastClr="000000"/>
                </a:solidFill>
                <a:effectLst/>
                <a:latin typeface="+mn-lt"/>
                <a:ea typeface="+mn-ea"/>
                <a:cs typeface="+mn-cs"/>
              </a:rPr>
              <a:t> tháng 12</a:t>
            </a:r>
            <a:endParaRPr lang="en-US">
              <a:solidFill>
                <a:sysClr val="windowText" lastClr="000000"/>
              </a:solidFill>
              <a:effectLst/>
            </a:endParaRPr>
          </a:p>
        </xdr:txBody>
      </xdr:sp>
      <xdr:sp macro="" textlink="">
        <xdr:nvSpPr>
          <xdr:cNvPr id="47" name="TextBox 46">
            <a:hlinkClick xmlns:r="http://schemas.openxmlformats.org/officeDocument/2006/relationships" r:id="rId27"/>
            <a:extLst>
              <a:ext uri="{FF2B5EF4-FFF2-40B4-BE49-F238E27FC236}">
                <a16:creationId xmlns:a16="http://schemas.microsoft.com/office/drawing/2014/main" id="{F2E9593C-E0BE-464F-9056-095CAD852B0D}"/>
              </a:ext>
            </a:extLst>
          </xdr:cNvPr>
          <xdr:cNvSpPr txBox="1"/>
        </xdr:nvSpPr>
        <xdr:spPr>
          <a:xfrm>
            <a:off x="495750" y="10138810"/>
            <a:ext cx="12608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b="1">
                <a:solidFill>
                  <a:schemeClr val="bg1"/>
                </a:solidFill>
                <a:effectLst/>
                <a:latin typeface="+mn-lt"/>
                <a:ea typeface="+mn-ea"/>
                <a:cs typeface="+mn-cs"/>
              </a:rPr>
              <a:t>Bảng</a:t>
            </a:r>
            <a:r>
              <a:rPr lang="en-US" sz="1100" b="1" baseline="0">
                <a:solidFill>
                  <a:schemeClr val="bg1"/>
                </a:solidFill>
                <a:effectLst/>
                <a:latin typeface="+mn-lt"/>
                <a:ea typeface="+mn-ea"/>
                <a:cs typeface="+mn-cs"/>
              </a:rPr>
              <a:t> khảo sát</a:t>
            </a:r>
            <a:endParaRPr lang="en-US">
              <a:solidFill>
                <a:schemeClr val="bg1"/>
              </a:solidFill>
              <a:effectLst/>
            </a:endParaRPr>
          </a:p>
        </xdr:txBody>
      </xdr:sp>
    </xdr:grp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66675</xdr:colOff>
      <xdr:row>27</xdr:row>
      <xdr:rowOff>114300</xdr:rowOff>
    </xdr:from>
    <xdr:to>
      <xdr:col>1</xdr:col>
      <xdr:colOff>9525000</xdr:colOff>
      <xdr:row>27</xdr:row>
      <xdr:rowOff>1943100</xdr:rowOff>
    </xdr:to>
    <xdr:grpSp>
      <xdr:nvGrpSpPr>
        <xdr:cNvPr id="2" name="Group 1">
          <a:extLst>
            <a:ext uri="{FF2B5EF4-FFF2-40B4-BE49-F238E27FC236}">
              <a16:creationId xmlns:a16="http://schemas.microsoft.com/office/drawing/2014/main" id="{77376A1F-F333-4F5C-9079-B686B21F658B}"/>
            </a:ext>
          </a:extLst>
        </xdr:cNvPr>
        <xdr:cNvGrpSpPr/>
      </xdr:nvGrpSpPr>
      <xdr:grpSpPr>
        <a:xfrm>
          <a:off x="509588" y="5905500"/>
          <a:ext cx="9458325" cy="1828800"/>
          <a:chOff x="219075" y="3429000"/>
          <a:chExt cx="9591675" cy="1828800"/>
        </a:xfrm>
      </xdr:grpSpPr>
      <xdr:graphicFrame macro="">
        <xdr:nvGraphicFramePr>
          <xdr:cNvPr id="3" name="Chart 2">
            <a:extLst>
              <a:ext uri="{FF2B5EF4-FFF2-40B4-BE49-F238E27FC236}">
                <a16:creationId xmlns:a16="http://schemas.microsoft.com/office/drawing/2014/main" id="{A8854B88-F49A-44E2-A2AC-96D560CC7EF8}"/>
              </a:ext>
            </a:extLst>
          </xdr:cNvPr>
          <xdr:cNvGraphicFramePr/>
        </xdr:nvGraphicFramePr>
        <xdr:xfrm>
          <a:off x="6610350" y="3429000"/>
          <a:ext cx="3200400" cy="18288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EBF32996-4008-413D-9B8D-A077EF0655A0}"/>
              </a:ext>
            </a:extLst>
          </xdr:cNvPr>
          <xdr:cNvGraphicFramePr/>
        </xdr:nvGraphicFramePr>
        <xdr:xfrm>
          <a:off x="219075" y="3429000"/>
          <a:ext cx="3200400" cy="18288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576A34B5-7E7B-43AF-A9EC-CFD10F5D8006}"/>
              </a:ext>
            </a:extLst>
          </xdr:cNvPr>
          <xdr:cNvGraphicFramePr/>
        </xdr:nvGraphicFramePr>
        <xdr:xfrm>
          <a:off x="3414713" y="3429000"/>
          <a:ext cx="3200400" cy="18288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oneCellAnchor>
    <xdr:from>
      <xdr:col>1</xdr:col>
      <xdr:colOff>521493</xdr:colOff>
      <xdr:row>32</xdr:row>
      <xdr:rowOff>88106</xdr:rowOff>
    </xdr:from>
    <xdr:ext cx="8163865" cy="1333499"/>
    <xdr:pic>
      <xdr:nvPicPr>
        <xdr:cNvPr id="6" name="Picture 5">
          <a:extLst>
            <a:ext uri="{FF2B5EF4-FFF2-40B4-BE49-F238E27FC236}">
              <a16:creationId xmlns:a16="http://schemas.microsoft.com/office/drawing/2014/main" id="{9B157828-3102-4DFA-8102-F02B5A59FDCF}"/>
            </a:ext>
          </a:extLst>
        </xdr:cNvPr>
        <xdr:cNvPicPr>
          <a:picLocks noChangeAspect="1"/>
        </xdr:cNvPicPr>
      </xdr:nvPicPr>
      <xdr:blipFill>
        <a:blip xmlns:r="http://schemas.openxmlformats.org/officeDocument/2006/relationships" r:embed="rId4"/>
        <a:stretch>
          <a:fillRect/>
        </a:stretch>
      </xdr:blipFill>
      <xdr:spPr>
        <a:xfrm>
          <a:off x="931068" y="7146131"/>
          <a:ext cx="8163865" cy="1333499"/>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C\Downloads\Sample%20l&#7897;%20tr&#236;nh%20t&#224;i%20ch&#237;nh%20c&#225;%20nh&#226;n_01.10%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ừ khóa"/>
      <sheetName val="Dashboard"/>
      <sheetName val="Mục tiêu bản thân"/>
      <sheetName val="Mục tiêu tài chính"/>
      <sheetName val="Cân đối lộ trình nghề nghiệp"/>
      <sheetName val="Kế hoạch thu nhập &amp; chi tiêu"/>
      <sheetName val="DULIEU"/>
      <sheetName val="Sheet1"/>
    </sheetNames>
    <sheetDataSet>
      <sheetData sheetId="0"/>
      <sheetData sheetId="1"/>
      <sheetData sheetId="2"/>
      <sheetData sheetId="3"/>
      <sheetData sheetId="4"/>
      <sheetData sheetId="5"/>
      <sheetData sheetId="6"/>
      <sheetData sheetId="7">
        <row r="17">
          <cell r="G17">
            <v>9</v>
          </cell>
        </row>
      </sheetData>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_phí_phát_triển_bản_thân" xr10:uid="{00000000-0013-0000-FFFF-FFFF01000000}" sourceName="Chi phí phát triển bản thân">
  <extLst>
    <x:ext xmlns:x15="http://schemas.microsoft.com/office/spreadsheetml/2010/11/main" uri="{2F2917AC-EB37-4324-AD4E-5DD8C200BD13}">
      <x15:tableSlicerCache tableId="3" column="1" sortOrder="descending"/>
    </x:ex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i phí phát triển bản thân" xr10:uid="{00000000-0014-0000-FFFF-FFFF01000000}" cache="Slicer_Chi_phí_phát_triển_bản_thân" caption="Chi phí phát triển bản thân" style="SlicerStyleDark1 2"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E64:R73" totalsRowCount="1" headerRowDxfId="128" dataDxfId="126" totalsRowDxfId="124" headerRowBorderDxfId="127" tableBorderDxfId="125" headerRowCellStyle="Normal 5">
  <autoFilter ref="E64:R72"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000-000001000000}" name="Thu nhập" totalsRowLabel="Tổng thu nhập" dataDxfId="123" totalsRowDxfId="122">
      <calculatedColumnFormula>'Từ khóa'!M12</calculatedColumnFormula>
    </tableColumn>
    <tableColumn id="5" xr3:uid="{00000000-0010-0000-0000-000005000000}" name="Tháng 1" totalsRowFunction="sum" dataDxfId="121" totalsRowDxfId="120">
      <calculatedColumnFormula>'T1'!W27</calculatedColumnFormula>
    </tableColumn>
    <tableColumn id="6" xr3:uid="{00000000-0010-0000-0000-000006000000}" name="Tháng 2" totalsRowFunction="sum" dataDxfId="119" totalsRowDxfId="118">
      <calculatedColumnFormula>'T2'!W27</calculatedColumnFormula>
    </tableColumn>
    <tableColumn id="7" xr3:uid="{00000000-0010-0000-0000-000007000000}" name="Tháng 3" totalsRowFunction="sum" dataDxfId="117" totalsRowDxfId="116">
      <calculatedColumnFormula>'T3'!W27</calculatedColumnFormula>
    </tableColumn>
    <tableColumn id="8" xr3:uid="{00000000-0010-0000-0000-000008000000}" name="Tháng 4" totalsRowFunction="sum" dataDxfId="115" totalsRowDxfId="114">
      <calculatedColumnFormula>'T4'!W27</calculatedColumnFormula>
    </tableColumn>
    <tableColumn id="9" xr3:uid="{00000000-0010-0000-0000-000009000000}" name="Tháng 5" totalsRowFunction="sum" dataDxfId="113" totalsRowDxfId="112">
      <calculatedColumnFormula>'T5'!W27</calculatedColumnFormula>
    </tableColumn>
    <tableColumn id="10" xr3:uid="{00000000-0010-0000-0000-00000A000000}" name="Tháng 6" totalsRowFunction="sum" dataDxfId="111" totalsRowDxfId="110">
      <calculatedColumnFormula>'T6'!W27</calculatedColumnFormula>
    </tableColumn>
    <tableColumn id="11" xr3:uid="{00000000-0010-0000-0000-00000B000000}" name="Tháng 7" totalsRowFunction="sum" dataDxfId="109" totalsRowDxfId="108">
      <calculatedColumnFormula>'T7'!W27</calculatedColumnFormula>
    </tableColumn>
    <tableColumn id="12" xr3:uid="{00000000-0010-0000-0000-00000C000000}" name="Tháng 8" totalsRowFunction="sum" dataDxfId="107" totalsRowDxfId="106">
      <calculatedColumnFormula>'T8'!W27</calculatedColumnFormula>
    </tableColumn>
    <tableColumn id="13" xr3:uid="{00000000-0010-0000-0000-00000D000000}" name="Tháng 9" totalsRowFunction="sum" dataDxfId="105" totalsRowDxfId="104">
      <calculatedColumnFormula>'T9'!W27</calculatedColumnFormula>
    </tableColumn>
    <tableColumn id="14" xr3:uid="{00000000-0010-0000-0000-00000E000000}" name="Tháng 10" totalsRowFunction="sum" dataDxfId="103" totalsRowDxfId="102">
      <calculatedColumnFormula>'T10'!W27</calculatedColumnFormula>
    </tableColumn>
    <tableColumn id="15" xr3:uid="{00000000-0010-0000-0000-00000F000000}" name="Tháng 11" totalsRowFunction="sum" dataDxfId="101" totalsRowDxfId="100">
      <calculatedColumnFormula>'T11'!W27</calculatedColumnFormula>
    </tableColumn>
    <tableColumn id="16" xr3:uid="{00000000-0010-0000-0000-000010000000}" name="Tháng 12" totalsRowFunction="sum" dataDxfId="99" totalsRowDxfId="98">
      <calculatedColumnFormula>'T12'!W27</calculatedColumnFormula>
    </tableColumn>
    <tableColumn id="17" xr3:uid="{00000000-0010-0000-0000-000011000000}" name="Tổng" totalsRowFunction="sum" dataDxfId="97" totalsRowDxfId="96">
      <calculatedColumnFormula>SUM(F65:Q65)</calculatedColumnFormula>
    </tableColumn>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3" displayName="Table3" ref="E75:R91" totalsRowCount="1" headerRowDxfId="95" dataDxfId="93" totalsRowDxfId="91" headerRowBorderDxfId="94" tableBorderDxfId="92" headerRowCellStyle="Normal 5">
  <autoFilter ref="E75:R90"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100-000001000000}" name="Chi tiêu" totalsRowLabel="Tổng chi tiêu" dataDxfId="90" totalsRowDxfId="89">
      <calculatedColumnFormula>'Từ khóa'!F12</calculatedColumnFormula>
    </tableColumn>
    <tableColumn id="2" xr3:uid="{00000000-0010-0000-0100-000002000000}" name="Tháng 1" totalsRowFunction="sum" dataDxfId="88" totalsRowDxfId="87">
      <calculatedColumnFormula>'T1'!W42</calculatedColumnFormula>
    </tableColumn>
    <tableColumn id="3" xr3:uid="{00000000-0010-0000-0100-000003000000}" name="Tháng 2" totalsRowFunction="sum" dataDxfId="86" totalsRowDxfId="85">
      <calculatedColumnFormula>'T2'!W42</calculatedColumnFormula>
    </tableColumn>
    <tableColumn id="4" xr3:uid="{00000000-0010-0000-0100-000004000000}" name="Tháng 3" totalsRowFunction="sum" dataDxfId="84" totalsRowDxfId="83">
      <calculatedColumnFormula>'T3'!W42</calculatedColumnFormula>
    </tableColumn>
    <tableColumn id="5" xr3:uid="{00000000-0010-0000-0100-000005000000}" name="Tháng 4" totalsRowFunction="sum" dataDxfId="82" totalsRowDxfId="81">
      <calculatedColumnFormula>'T4'!W42</calculatedColumnFormula>
    </tableColumn>
    <tableColumn id="6" xr3:uid="{00000000-0010-0000-0100-000006000000}" name="Tháng 5" totalsRowFunction="sum" dataDxfId="80" totalsRowDxfId="79">
      <calculatedColumnFormula>'T5'!W42</calculatedColumnFormula>
    </tableColumn>
    <tableColumn id="7" xr3:uid="{00000000-0010-0000-0100-000007000000}" name="Tháng 6" totalsRowFunction="sum" dataDxfId="78" totalsRowDxfId="77">
      <calculatedColumnFormula>'T6'!W42</calculatedColumnFormula>
    </tableColumn>
    <tableColumn id="8" xr3:uid="{00000000-0010-0000-0100-000008000000}" name="Tháng 7" totalsRowFunction="sum" dataDxfId="76" totalsRowDxfId="75">
      <calculatedColumnFormula>'T7'!W42</calculatedColumnFormula>
    </tableColumn>
    <tableColumn id="9" xr3:uid="{00000000-0010-0000-0100-000009000000}" name="Tháng 8" totalsRowFunction="sum" dataDxfId="74" totalsRowDxfId="73">
      <calculatedColumnFormula>'T8'!W42</calculatedColumnFormula>
    </tableColumn>
    <tableColumn id="10" xr3:uid="{00000000-0010-0000-0100-00000A000000}" name="Tháng 9" totalsRowFunction="sum" dataDxfId="72" totalsRowDxfId="71">
      <calculatedColumnFormula>'T9'!W42</calculatedColumnFormula>
    </tableColumn>
    <tableColumn id="11" xr3:uid="{00000000-0010-0000-0100-00000B000000}" name="Tháng 10" totalsRowFunction="sum" dataDxfId="70" totalsRowDxfId="69">
      <calculatedColumnFormula>'T10'!W42</calculatedColumnFormula>
    </tableColumn>
    <tableColumn id="12" xr3:uid="{00000000-0010-0000-0100-00000C000000}" name="Tháng 11" totalsRowFunction="sum" dataDxfId="68" totalsRowDxfId="67">
      <calculatedColumnFormula>'T11'!W42</calculatedColumnFormula>
    </tableColumn>
    <tableColumn id="13" xr3:uid="{00000000-0010-0000-0100-00000D000000}" name="Tháng 12" totalsRowFunction="sum" dataDxfId="66" totalsRowDxfId="65">
      <calculatedColumnFormula>'T12'!W42</calculatedColumnFormula>
    </tableColumn>
    <tableColumn id="14" xr3:uid="{00000000-0010-0000-0100-00000E000000}" name="Tổng" totalsRowFunction="sum" dataDxfId="64" totalsRowDxfId="63">
      <calculatedColumnFormula>SUM(F76:Q76)</calculatedColumnFormula>
    </tableColumn>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4" displayName="Table4" ref="E98:R109" totalsRowCount="1" headerRowDxfId="62" dataDxfId="60" totalsRowDxfId="58" headerRowBorderDxfId="61" tableBorderDxfId="59" headerRowCellStyle="Normal 5">
  <autoFilter ref="E98:R108"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200-000001000000}" name="Chi phí phát triển bản thân" totalsRowLabel="Tổng" dataDxfId="57" totalsRowDxfId="56">
      <calculatedColumnFormula>'Từ khóa'!S12</calculatedColumnFormula>
    </tableColumn>
    <tableColumn id="2" xr3:uid="{00000000-0010-0000-0200-000002000000}" name="Tháng 1" totalsRowFunction="sum" dataDxfId="55" totalsRowDxfId="54">
      <calculatedColumnFormula>'T1'!AE92</calculatedColumnFormula>
    </tableColumn>
    <tableColumn id="3" xr3:uid="{00000000-0010-0000-0200-000003000000}" name="Tháng 2" totalsRowFunction="sum" dataDxfId="53" totalsRowDxfId="52">
      <calculatedColumnFormula>'T2'!AE92</calculatedColumnFormula>
    </tableColumn>
    <tableColumn id="4" xr3:uid="{00000000-0010-0000-0200-000004000000}" name="Tháng 3" totalsRowFunction="sum" dataDxfId="51" totalsRowDxfId="50">
      <calculatedColumnFormula>'T3'!AE92</calculatedColumnFormula>
    </tableColumn>
    <tableColumn id="5" xr3:uid="{00000000-0010-0000-0200-000005000000}" name="Tháng 4" totalsRowFunction="sum" dataDxfId="49" totalsRowDxfId="48">
      <calculatedColumnFormula>'T4'!AE92</calculatedColumnFormula>
    </tableColumn>
    <tableColumn id="6" xr3:uid="{00000000-0010-0000-0200-000006000000}" name="Tháng 5" totalsRowFunction="sum" dataDxfId="47" totalsRowDxfId="46">
      <calculatedColumnFormula>'T5'!AE92</calculatedColumnFormula>
    </tableColumn>
    <tableColumn id="7" xr3:uid="{00000000-0010-0000-0200-000007000000}" name="Tháng 6" totalsRowFunction="sum" dataDxfId="45" totalsRowDxfId="44">
      <calculatedColumnFormula>'T6'!AE92</calculatedColumnFormula>
    </tableColumn>
    <tableColumn id="8" xr3:uid="{00000000-0010-0000-0200-000008000000}" name="Tháng 7" totalsRowFunction="sum" dataDxfId="43" totalsRowDxfId="42">
      <calculatedColumnFormula>'T7'!AE92</calculatedColumnFormula>
    </tableColumn>
    <tableColumn id="9" xr3:uid="{00000000-0010-0000-0200-000009000000}" name="Tháng 8" totalsRowFunction="sum" dataDxfId="41" totalsRowDxfId="40">
      <calculatedColumnFormula>'T8'!AE92</calculatedColumnFormula>
    </tableColumn>
    <tableColumn id="10" xr3:uid="{00000000-0010-0000-0200-00000A000000}" name="Tháng 9" totalsRowFunction="sum" dataDxfId="39" totalsRowDxfId="38">
      <calculatedColumnFormula>'T9'!AE92</calculatedColumnFormula>
    </tableColumn>
    <tableColumn id="11" xr3:uid="{00000000-0010-0000-0200-00000B000000}" name="Tháng 10" totalsRowFunction="sum" dataDxfId="37" totalsRowDxfId="36">
      <calculatedColumnFormula>'T10'!AE92</calculatedColumnFormula>
    </tableColumn>
    <tableColumn id="12" xr3:uid="{00000000-0010-0000-0200-00000C000000}" name="Tháng 11" totalsRowFunction="sum" dataDxfId="35" totalsRowDxfId="34">
      <calculatedColumnFormula>'T11'!AE92</calculatedColumnFormula>
    </tableColumn>
    <tableColumn id="13" xr3:uid="{00000000-0010-0000-0200-00000D000000}" name="Tháng 12" totalsRowFunction="sum" dataDxfId="33" totalsRowDxfId="32">
      <calculatedColumnFormula>'T12'!AE92</calculatedColumnFormula>
    </tableColumn>
    <tableColumn id="14" xr3:uid="{00000000-0010-0000-0200-00000E000000}" name="Tổng" totalsRowFunction="sum" dataDxfId="31" totalsRowDxfId="30"/>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00000000-000C-0000-FFFF-FFFF03000000}" name="Table1" displayName="Table1" ref="U42:W46" totalsRowShown="0" headerRowDxfId="29" dataDxfId="28">
  <autoFilter ref="U42:W46" xr:uid="{00000000-0009-0000-0100-00004F000000}">
    <filterColumn colId="0" hiddenButton="1"/>
    <filterColumn colId="1" hiddenButton="1"/>
    <filterColumn colId="2" hiddenButton="1"/>
  </autoFilter>
  <tableColumns count="3">
    <tableColumn id="1" xr3:uid="{00000000-0010-0000-0300-000001000000}" name="Danh mục đầu tư" dataDxfId="27"/>
    <tableColumn id="2" xr3:uid="{00000000-0010-0000-0300-000002000000}" name="Giá trị kỳ vọng của 100 triệu đồng sau một năm" dataDxfId="26"/>
    <tableColumn id="3" xr3:uid="{00000000-0010-0000-0300-000003000000}" name="Khả năng lỗ sau một năm" dataDxfId="25"/>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Custom 15">
      <a:dk1>
        <a:sysClr val="windowText" lastClr="000000"/>
      </a:dk1>
      <a:lt1>
        <a:sysClr val="window" lastClr="FFFFFF"/>
      </a:lt1>
      <a:dk2>
        <a:srgbClr val="6EAC1C"/>
      </a:dk2>
      <a:lt2>
        <a:srgbClr val="DFE3E5"/>
      </a:lt2>
      <a:accent1>
        <a:srgbClr val="3E7C17"/>
      </a:accent1>
      <a:accent2>
        <a:srgbClr val="125C13"/>
      </a:accent2>
      <a:accent3>
        <a:srgbClr val="F4A442"/>
      </a:accent3>
      <a:accent4>
        <a:srgbClr val="E8E1D9"/>
      </a:accent4>
      <a:accent5>
        <a:srgbClr val="3E8853"/>
      </a:accent5>
      <a:accent6>
        <a:srgbClr val="62A39F"/>
      </a:accent6>
      <a:hlink>
        <a:srgbClr val="6EAC1C"/>
      </a:hlink>
      <a:folHlink>
        <a:srgbClr val="B26B0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07/relationships/slicer" Target="../slicers/slicer1.xml"/><Relationship Id="rId5" Type="http://schemas.openxmlformats.org/officeDocument/2006/relationships/table" Target="../tables/table3.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6"/>
  </sheetPr>
  <dimension ref="A1:AC26"/>
  <sheetViews>
    <sheetView showGridLines="0" zoomScale="80" zoomScaleNormal="80" workbookViewId="0">
      <pane xSplit="4" ySplit="4" topLeftCell="E11" activePane="bottomRight" state="frozen"/>
      <selection pane="topRight" activeCell="E1" sqref="E1"/>
      <selection pane="bottomLeft" activeCell="A5" sqref="A5"/>
      <selection pane="bottomRight" activeCell="W15" sqref="W15:Y15"/>
    </sheetView>
  </sheetViews>
  <sheetFormatPr defaultColWidth="9.19921875" defaultRowHeight="14.25" x14ac:dyDescent="0.45"/>
  <cols>
    <col min="1" max="3" width="9.19921875" style="1"/>
    <col min="4" max="19" width="9.19921875" style="4"/>
    <col min="20" max="20" width="17.796875" style="4" customWidth="1"/>
    <col min="21" max="16384" width="9.19921875" style="4"/>
  </cols>
  <sheetData>
    <row r="1" spans="1:29" s="2" customFormat="1" ht="15" customHeight="1" x14ac:dyDescent="0.45">
      <c r="A1" s="1"/>
      <c r="B1" s="1"/>
      <c r="C1" s="1"/>
      <c r="E1" s="353" t="s">
        <v>0</v>
      </c>
      <c r="F1" s="353"/>
      <c r="G1" s="353"/>
      <c r="H1" s="353"/>
      <c r="I1" s="353"/>
      <c r="J1" s="353"/>
      <c r="K1" s="353"/>
      <c r="L1" s="353"/>
      <c r="M1" s="353"/>
      <c r="N1" s="353"/>
      <c r="O1" s="353"/>
      <c r="P1" s="353"/>
    </row>
    <row r="2" spans="1:29" s="2" customFormat="1" ht="15" customHeight="1" x14ac:dyDescent="0.45">
      <c r="A2" s="1"/>
      <c r="B2" s="1"/>
      <c r="C2" s="1"/>
      <c r="E2" s="353"/>
      <c r="F2" s="353"/>
      <c r="G2" s="353"/>
      <c r="H2" s="353"/>
      <c r="I2" s="353"/>
      <c r="J2" s="353"/>
      <c r="K2" s="353"/>
      <c r="L2" s="353"/>
      <c r="M2" s="353"/>
      <c r="N2" s="353"/>
      <c r="O2" s="353"/>
      <c r="P2" s="353"/>
    </row>
    <row r="3" spans="1:29" s="2" customFormat="1" x14ac:dyDescent="0.45">
      <c r="A3" s="1"/>
      <c r="B3" s="1"/>
      <c r="C3" s="1"/>
      <c r="E3" s="353"/>
      <c r="F3" s="353"/>
      <c r="G3" s="353"/>
      <c r="H3" s="353"/>
      <c r="I3" s="353"/>
      <c r="J3" s="353"/>
      <c r="K3" s="353"/>
      <c r="L3" s="353"/>
      <c r="M3" s="353"/>
      <c r="N3" s="353"/>
      <c r="O3" s="353"/>
      <c r="P3" s="353"/>
      <c r="Q3" s="3" t="s">
        <v>45</v>
      </c>
    </row>
    <row r="5" spans="1:29" ht="15" customHeight="1" thickBot="1" x14ac:dyDescent="0.5">
      <c r="E5" s="356" t="s">
        <v>1</v>
      </c>
      <c r="F5" s="356"/>
      <c r="G5" s="356"/>
      <c r="H5" s="356"/>
      <c r="I5" s="356"/>
      <c r="J5" s="356"/>
      <c r="L5" s="354" t="str">
        <f>"Tuổi của bạn năm " &amp;'Từ khóa'!E7</f>
        <v>Tuổi của bạn năm 2023</v>
      </c>
      <c r="M5" s="354"/>
      <c r="N5" s="354"/>
      <c r="O5" s="354"/>
      <c r="P5" s="354"/>
      <c r="R5" s="34" t="s">
        <v>41</v>
      </c>
    </row>
    <row r="6" spans="1:29" ht="15" customHeight="1" thickBot="1" x14ac:dyDescent="0.5">
      <c r="E6" s="356"/>
      <c r="F6" s="356"/>
      <c r="G6" s="356"/>
      <c r="H6" s="356"/>
      <c r="I6" s="356"/>
      <c r="J6" s="356"/>
      <c r="L6" s="354"/>
      <c r="M6" s="354"/>
      <c r="N6" s="354"/>
      <c r="O6" s="354"/>
      <c r="P6" s="354"/>
      <c r="R6" s="35"/>
      <c r="S6" s="36" t="s">
        <v>42</v>
      </c>
    </row>
    <row r="7" spans="1:29" ht="15" customHeight="1" thickBot="1" x14ac:dyDescent="0.5">
      <c r="E7" s="352">
        <v>2023</v>
      </c>
      <c r="F7" s="352"/>
      <c r="G7" s="352"/>
      <c r="H7" s="352"/>
      <c r="I7" s="352"/>
      <c r="J7" s="352"/>
      <c r="L7" s="355">
        <v>21</v>
      </c>
      <c r="M7" s="355"/>
      <c r="N7" s="355"/>
      <c r="O7" s="355"/>
      <c r="P7" s="355"/>
      <c r="R7" s="37"/>
      <c r="S7" s="4" t="s">
        <v>43</v>
      </c>
    </row>
    <row r="8" spans="1:29" ht="15" customHeight="1" thickBot="1" x14ac:dyDescent="0.5">
      <c r="E8" s="352"/>
      <c r="F8" s="352"/>
      <c r="G8" s="352"/>
      <c r="H8" s="352"/>
      <c r="I8" s="352"/>
      <c r="J8" s="352"/>
      <c r="L8" s="355"/>
      <c r="M8" s="355"/>
      <c r="N8" s="355"/>
      <c r="O8" s="355"/>
      <c r="P8" s="355"/>
      <c r="R8" s="38"/>
      <c r="S8" s="39" t="s">
        <v>44</v>
      </c>
    </row>
    <row r="10" spans="1:29" x14ac:dyDescent="0.45">
      <c r="E10" s="350" t="s">
        <v>2</v>
      </c>
      <c r="F10" s="350"/>
      <c r="G10" s="350"/>
      <c r="H10" s="350"/>
      <c r="I10" s="350"/>
      <c r="J10" s="350"/>
      <c r="L10" s="342" t="s">
        <v>20</v>
      </c>
      <c r="M10" s="342"/>
      <c r="N10" s="342"/>
      <c r="O10" s="342"/>
      <c r="P10" s="342"/>
      <c r="Q10" s="6"/>
      <c r="R10" s="350" t="s">
        <v>22</v>
      </c>
      <c r="S10" s="350"/>
      <c r="T10" s="350"/>
      <c r="V10" s="342" t="s">
        <v>25</v>
      </c>
      <c r="W10" s="342"/>
      <c r="X10" s="342"/>
      <c r="Y10" s="342"/>
      <c r="Z10" s="342"/>
      <c r="AA10" s="342"/>
      <c r="AB10" s="342"/>
      <c r="AC10" s="342"/>
    </row>
    <row r="11" spans="1:29" x14ac:dyDescent="0.45">
      <c r="E11" s="40" t="s">
        <v>3</v>
      </c>
      <c r="F11" s="351" t="s">
        <v>4</v>
      </c>
      <c r="G11" s="351"/>
      <c r="H11" s="351"/>
      <c r="I11" s="351"/>
      <c r="J11" s="351"/>
      <c r="L11" s="41" t="s">
        <v>3</v>
      </c>
      <c r="M11" s="357" t="s">
        <v>4</v>
      </c>
      <c r="N11" s="357"/>
      <c r="O11" s="357"/>
      <c r="P11" s="357"/>
      <c r="Q11" s="6"/>
      <c r="R11" s="40" t="s">
        <v>3</v>
      </c>
      <c r="S11" s="351" t="s">
        <v>4</v>
      </c>
      <c r="T11" s="351"/>
      <c r="V11" s="42" t="s">
        <v>3</v>
      </c>
      <c r="W11" s="344" t="s">
        <v>4</v>
      </c>
      <c r="X11" s="344"/>
      <c r="Y11" s="344"/>
      <c r="Z11" s="345" t="s">
        <v>26</v>
      </c>
      <c r="AA11" s="345"/>
      <c r="AB11" s="345"/>
      <c r="AC11" s="42" t="s">
        <v>27</v>
      </c>
    </row>
    <row r="12" spans="1:29" x14ac:dyDescent="0.45">
      <c r="E12" s="43">
        <v>1</v>
      </c>
      <c r="F12" s="343" t="s">
        <v>5</v>
      </c>
      <c r="G12" s="343"/>
      <c r="H12" s="343"/>
      <c r="I12" s="343"/>
      <c r="J12" s="343"/>
      <c r="L12" s="43">
        <v>1</v>
      </c>
      <c r="M12" s="343" t="s">
        <v>21</v>
      </c>
      <c r="N12" s="343"/>
      <c r="O12" s="343"/>
      <c r="P12" s="343"/>
      <c r="Q12" s="6"/>
      <c r="R12" s="43">
        <v>1</v>
      </c>
      <c r="S12" s="343" t="s">
        <v>23</v>
      </c>
      <c r="T12" s="343"/>
      <c r="V12" s="44">
        <v>1</v>
      </c>
      <c r="W12" s="343" t="s">
        <v>28</v>
      </c>
      <c r="X12" s="343"/>
      <c r="Y12" s="343"/>
      <c r="Z12" s="341">
        <v>0.13</v>
      </c>
      <c r="AA12" s="341"/>
      <c r="AB12" s="341"/>
      <c r="AC12" s="45">
        <v>0.18</v>
      </c>
    </row>
    <row r="13" spans="1:29" x14ac:dyDescent="0.45">
      <c r="E13" s="43">
        <v>2</v>
      </c>
      <c r="F13" s="343" t="s">
        <v>6</v>
      </c>
      <c r="G13" s="343"/>
      <c r="H13" s="343"/>
      <c r="I13" s="343"/>
      <c r="J13" s="343"/>
      <c r="L13" s="43">
        <v>2</v>
      </c>
      <c r="M13" s="343" t="s">
        <v>372</v>
      </c>
      <c r="N13" s="343"/>
      <c r="O13" s="343"/>
      <c r="P13" s="343"/>
      <c r="Q13" s="6"/>
      <c r="R13" s="43">
        <v>2</v>
      </c>
      <c r="S13" s="343" t="s">
        <v>24</v>
      </c>
      <c r="T13" s="343"/>
      <c r="V13" s="44">
        <v>2</v>
      </c>
      <c r="W13" s="343" t="s">
        <v>29</v>
      </c>
      <c r="X13" s="343"/>
      <c r="Y13" s="343"/>
      <c r="Z13" s="341">
        <v>0.15</v>
      </c>
      <c r="AA13" s="341"/>
      <c r="AB13" s="341"/>
      <c r="AC13" s="45">
        <v>0.2</v>
      </c>
    </row>
    <row r="14" spans="1:29" x14ac:dyDescent="0.45">
      <c r="E14" s="43">
        <v>3</v>
      </c>
      <c r="F14" s="343" t="s">
        <v>7</v>
      </c>
      <c r="G14" s="343"/>
      <c r="H14" s="343"/>
      <c r="I14" s="343"/>
      <c r="J14" s="343"/>
      <c r="L14" s="43">
        <v>3</v>
      </c>
      <c r="M14" s="343"/>
      <c r="N14" s="343"/>
      <c r="O14" s="343"/>
      <c r="P14" s="343"/>
      <c r="Q14" s="6"/>
      <c r="R14" s="43">
        <v>3</v>
      </c>
      <c r="S14" s="343" t="s">
        <v>423</v>
      </c>
      <c r="T14" s="343"/>
      <c r="V14" s="44">
        <v>3</v>
      </c>
      <c r="W14" s="343" t="s">
        <v>30</v>
      </c>
      <c r="X14" s="343"/>
      <c r="Y14" s="343"/>
      <c r="Z14" s="341">
        <v>0.16</v>
      </c>
      <c r="AA14" s="341"/>
      <c r="AB14" s="341"/>
      <c r="AC14" s="45">
        <v>0.2</v>
      </c>
    </row>
    <row r="15" spans="1:29" x14ac:dyDescent="0.45">
      <c r="E15" s="43">
        <v>4</v>
      </c>
      <c r="F15" s="343" t="s">
        <v>8</v>
      </c>
      <c r="G15" s="343"/>
      <c r="H15" s="343"/>
      <c r="I15" s="343"/>
      <c r="J15" s="343"/>
      <c r="L15" s="43">
        <v>4</v>
      </c>
      <c r="M15" s="343"/>
      <c r="N15" s="343"/>
      <c r="O15" s="343"/>
      <c r="P15" s="343"/>
      <c r="Q15" s="6"/>
      <c r="R15" s="43">
        <v>4</v>
      </c>
      <c r="S15" s="346" t="s">
        <v>424</v>
      </c>
      <c r="T15" s="347"/>
      <c r="V15" s="44">
        <v>4</v>
      </c>
      <c r="W15" s="343" t="s">
        <v>31</v>
      </c>
      <c r="X15" s="343"/>
      <c r="Y15" s="343"/>
      <c r="Z15" s="341">
        <v>0.11</v>
      </c>
      <c r="AA15" s="341"/>
      <c r="AB15" s="341"/>
      <c r="AC15" s="45">
        <v>0.1</v>
      </c>
    </row>
    <row r="16" spans="1:29" x14ac:dyDescent="0.45">
      <c r="E16" s="43">
        <v>5</v>
      </c>
      <c r="F16" s="343" t="s">
        <v>9</v>
      </c>
      <c r="G16" s="343"/>
      <c r="H16" s="343"/>
      <c r="I16" s="343"/>
      <c r="J16" s="343"/>
      <c r="L16" s="43">
        <v>5</v>
      </c>
      <c r="M16" s="343"/>
      <c r="N16" s="343"/>
      <c r="O16" s="343"/>
      <c r="P16" s="343"/>
      <c r="Q16" s="6"/>
      <c r="R16" s="43">
        <v>5</v>
      </c>
      <c r="S16" s="343" t="s">
        <v>421</v>
      </c>
      <c r="T16" s="343"/>
      <c r="V16" s="44">
        <v>5</v>
      </c>
      <c r="W16" s="343" t="s">
        <v>32</v>
      </c>
      <c r="X16" s="343"/>
      <c r="Y16" s="343"/>
      <c r="Z16" s="341">
        <v>0.09</v>
      </c>
      <c r="AA16" s="341"/>
      <c r="AB16" s="341"/>
      <c r="AC16" s="45">
        <v>0.08</v>
      </c>
    </row>
    <row r="17" spans="5:29" x14ac:dyDescent="0.45">
      <c r="E17" s="43">
        <v>6</v>
      </c>
      <c r="F17" s="343" t="s">
        <v>10</v>
      </c>
      <c r="G17" s="343"/>
      <c r="H17" s="343"/>
      <c r="I17" s="343"/>
      <c r="J17" s="343"/>
      <c r="L17" s="43">
        <v>6</v>
      </c>
      <c r="M17" s="343"/>
      <c r="N17" s="343"/>
      <c r="O17" s="343"/>
      <c r="P17" s="343"/>
      <c r="Q17" s="6"/>
      <c r="R17" s="43">
        <v>6</v>
      </c>
      <c r="S17" s="348"/>
      <c r="T17" s="349"/>
      <c r="V17" s="44">
        <v>6</v>
      </c>
      <c r="W17" s="343" t="s">
        <v>33</v>
      </c>
      <c r="X17" s="343"/>
      <c r="Y17" s="343"/>
      <c r="Z17" s="341">
        <v>0.105</v>
      </c>
      <c r="AA17" s="341"/>
      <c r="AB17" s="341"/>
      <c r="AC17" s="45">
        <v>0.06</v>
      </c>
    </row>
    <row r="18" spans="5:29" x14ac:dyDescent="0.45">
      <c r="E18" s="43">
        <v>7</v>
      </c>
      <c r="F18" s="343" t="s">
        <v>11</v>
      </c>
      <c r="G18" s="343"/>
      <c r="H18" s="343"/>
      <c r="I18" s="343"/>
      <c r="J18" s="343"/>
      <c r="L18" s="43">
        <v>7</v>
      </c>
      <c r="M18" s="343"/>
      <c r="N18" s="343"/>
      <c r="O18" s="343"/>
      <c r="P18" s="343"/>
      <c r="Q18" s="6"/>
      <c r="R18" s="43">
        <v>7</v>
      </c>
      <c r="S18" s="343"/>
      <c r="T18" s="343"/>
      <c r="V18" s="44">
        <v>7</v>
      </c>
      <c r="W18" s="343" t="s">
        <v>34</v>
      </c>
      <c r="X18" s="343"/>
      <c r="Y18" s="343"/>
      <c r="Z18" s="341">
        <v>0.1</v>
      </c>
      <c r="AA18" s="341"/>
      <c r="AB18" s="341"/>
      <c r="AC18" s="45">
        <v>0.08</v>
      </c>
    </row>
    <row r="19" spans="5:29" x14ac:dyDescent="0.45">
      <c r="E19" s="43">
        <v>8</v>
      </c>
      <c r="F19" s="343" t="s">
        <v>12</v>
      </c>
      <c r="G19" s="343"/>
      <c r="H19" s="343"/>
      <c r="I19" s="343"/>
      <c r="J19" s="343"/>
      <c r="L19" s="43">
        <v>8</v>
      </c>
      <c r="M19" s="343"/>
      <c r="N19" s="343"/>
      <c r="O19" s="343"/>
      <c r="P19" s="343"/>
      <c r="Q19" s="6"/>
      <c r="R19" s="43">
        <v>8</v>
      </c>
      <c r="S19" s="343"/>
      <c r="T19" s="343"/>
      <c r="V19" s="44">
        <v>8</v>
      </c>
      <c r="W19" s="343" t="s">
        <v>35</v>
      </c>
      <c r="X19" s="343"/>
      <c r="Y19" s="343"/>
      <c r="Z19" s="341">
        <v>0.06</v>
      </c>
      <c r="AA19" s="341"/>
      <c r="AB19" s="341"/>
      <c r="AC19" s="45">
        <v>7.0000000000000007E-2</v>
      </c>
    </row>
    <row r="20" spans="5:29" x14ac:dyDescent="0.45">
      <c r="E20" s="43">
        <v>9</v>
      </c>
      <c r="F20" s="343" t="s">
        <v>13</v>
      </c>
      <c r="G20" s="343"/>
      <c r="H20" s="343"/>
      <c r="I20" s="343"/>
      <c r="J20" s="343"/>
      <c r="Q20" s="6"/>
      <c r="R20" s="43">
        <v>9</v>
      </c>
      <c r="S20" s="343"/>
      <c r="T20" s="343"/>
      <c r="V20" s="44">
        <v>9</v>
      </c>
      <c r="W20" s="343" t="s">
        <v>36</v>
      </c>
      <c r="X20" s="343"/>
      <c r="Y20" s="343"/>
      <c r="Z20" s="341">
        <v>0.04</v>
      </c>
      <c r="AA20" s="341"/>
      <c r="AB20" s="341"/>
      <c r="AC20" s="45">
        <v>0.05</v>
      </c>
    </row>
    <row r="21" spans="5:29" x14ac:dyDescent="0.45">
      <c r="E21" s="43">
        <v>10</v>
      </c>
      <c r="F21" s="343" t="s">
        <v>14</v>
      </c>
      <c r="G21" s="343"/>
      <c r="H21" s="343"/>
      <c r="I21" s="343"/>
      <c r="J21" s="343"/>
      <c r="Q21" s="6"/>
      <c r="R21" s="43">
        <v>10</v>
      </c>
      <c r="S21" s="343"/>
      <c r="T21" s="343"/>
      <c r="V21" s="44">
        <v>10</v>
      </c>
      <c r="W21" s="343" t="s">
        <v>88</v>
      </c>
      <c r="X21" s="343"/>
      <c r="Y21" s="343"/>
      <c r="Z21" s="341">
        <v>0.12</v>
      </c>
      <c r="AA21" s="341"/>
      <c r="AB21" s="341"/>
      <c r="AC21" s="45">
        <v>0.05</v>
      </c>
    </row>
    <row r="22" spans="5:29" x14ac:dyDescent="0.45">
      <c r="E22" s="43">
        <v>11</v>
      </c>
      <c r="F22" s="343" t="s">
        <v>15</v>
      </c>
      <c r="G22" s="343"/>
      <c r="H22" s="343"/>
      <c r="I22" s="343"/>
      <c r="J22" s="343"/>
      <c r="Q22" s="6"/>
      <c r="V22" s="44">
        <v>11</v>
      </c>
      <c r="W22" s="343" t="s">
        <v>37</v>
      </c>
      <c r="X22" s="343"/>
      <c r="Y22" s="343"/>
      <c r="Z22" s="341">
        <v>0.05</v>
      </c>
      <c r="AA22" s="341"/>
      <c r="AB22" s="341"/>
      <c r="AC22" s="45">
        <v>0.02</v>
      </c>
    </row>
    <row r="23" spans="5:29" x14ac:dyDescent="0.45">
      <c r="E23" s="43">
        <v>12</v>
      </c>
      <c r="F23" s="343" t="s">
        <v>16</v>
      </c>
      <c r="G23" s="343"/>
      <c r="H23" s="343"/>
      <c r="I23" s="343"/>
      <c r="J23" s="343"/>
      <c r="Q23" s="6"/>
      <c r="V23" s="44">
        <v>12</v>
      </c>
      <c r="W23" s="343" t="s">
        <v>431</v>
      </c>
      <c r="X23" s="343"/>
      <c r="Y23" s="343"/>
      <c r="Z23" s="341">
        <v>0.12</v>
      </c>
      <c r="AA23" s="341"/>
      <c r="AB23" s="341"/>
      <c r="AC23" s="45">
        <v>0.06</v>
      </c>
    </row>
    <row r="24" spans="5:29" x14ac:dyDescent="0.45">
      <c r="E24" s="43">
        <v>13</v>
      </c>
      <c r="F24" s="343" t="s">
        <v>17</v>
      </c>
      <c r="G24" s="343"/>
      <c r="H24" s="343"/>
      <c r="I24" s="343"/>
      <c r="J24" s="343"/>
      <c r="Q24" s="6"/>
      <c r="V24" s="44">
        <v>13</v>
      </c>
      <c r="W24" s="343" t="s">
        <v>38</v>
      </c>
      <c r="X24" s="343"/>
      <c r="Y24" s="343"/>
      <c r="Z24" s="341">
        <v>0</v>
      </c>
      <c r="AA24" s="341"/>
      <c r="AB24" s="341"/>
      <c r="AC24" s="45">
        <v>0</v>
      </c>
    </row>
    <row r="25" spans="5:29" x14ac:dyDescent="0.45">
      <c r="E25" s="43">
        <v>14</v>
      </c>
      <c r="F25" s="343" t="s">
        <v>18</v>
      </c>
      <c r="G25" s="343"/>
      <c r="H25" s="343"/>
      <c r="I25" s="343"/>
      <c r="J25" s="343"/>
      <c r="Q25" s="6"/>
      <c r="V25" s="44">
        <v>14</v>
      </c>
      <c r="W25" s="343" t="s">
        <v>39</v>
      </c>
      <c r="X25" s="343"/>
      <c r="Y25" s="343"/>
      <c r="Z25" s="341">
        <v>0</v>
      </c>
      <c r="AA25" s="341"/>
      <c r="AB25" s="341"/>
      <c r="AC25" s="45">
        <v>0</v>
      </c>
    </row>
    <row r="26" spans="5:29" x14ac:dyDescent="0.45">
      <c r="E26" s="43">
        <v>15</v>
      </c>
      <c r="F26" s="343" t="s">
        <v>19</v>
      </c>
      <c r="G26" s="343"/>
      <c r="H26" s="343"/>
      <c r="I26" s="343"/>
      <c r="J26" s="343"/>
      <c r="Q26" s="6"/>
      <c r="V26" s="44">
        <v>15</v>
      </c>
      <c r="W26" s="343" t="s">
        <v>40</v>
      </c>
      <c r="X26" s="343"/>
      <c r="Y26" s="343"/>
      <c r="Z26" s="341">
        <v>0</v>
      </c>
      <c r="AA26" s="341"/>
      <c r="AB26" s="341"/>
      <c r="AC26" s="45">
        <v>0</v>
      </c>
    </row>
  </sheetData>
  <mergeCells count="77">
    <mergeCell ref="E7:J8"/>
    <mergeCell ref="E1:P3"/>
    <mergeCell ref="E10:J10"/>
    <mergeCell ref="L10:P10"/>
    <mergeCell ref="F23:J23"/>
    <mergeCell ref="M19:P19"/>
    <mergeCell ref="L5:P6"/>
    <mergeCell ref="L7:P8"/>
    <mergeCell ref="E5:J6"/>
    <mergeCell ref="M17:P17"/>
    <mergeCell ref="M18:P18"/>
    <mergeCell ref="M16:P16"/>
    <mergeCell ref="M11:P11"/>
    <mergeCell ref="M12:P12"/>
    <mergeCell ref="M13:P13"/>
    <mergeCell ref="M14:P14"/>
    <mergeCell ref="F24:J24"/>
    <mergeCell ref="F25:J25"/>
    <mergeCell ref="F26:J26"/>
    <mergeCell ref="F11:J11"/>
    <mergeCell ref="F17:J17"/>
    <mergeCell ref="F18:J18"/>
    <mergeCell ref="F19:J19"/>
    <mergeCell ref="F20:J20"/>
    <mergeCell ref="F21:J21"/>
    <mergeCell ref="F22:J22"/>
    <mergeCell ref="F12:J12"/>
    <mergeCell ref="F13:J13"/>
    <mergeCell ref="F14:J14"/>
    <mergeCell ref="F15:J15"/>
    <mergeCell ref="F16:J16"/>
    <mergeCell ref="R10:T10"/>
    <mergeCell ref="S11:T11"/>
    <mergeCell ref="S12:T12"/>
    <mergeCell ref="S13:T13"/>
    <mergeCell ref="S14:T14"/>
    <mergeCell ref="M15:P15"/>
    <mergeCell ref="W22:Y22"/>
    <mergeCell ref="S15:T15"/>
    <mergeCell ref="S18:T18"/>
    <mergeCell ref="S19:T19"/>
    <mergeCell ref="S20:T20"/>
    <mergeCell ref="S21:T21"/>
    <mergeCell ref="W16:Y16"/>
    <mergeCell ref="S16:T16"/>
    <mergeCell ref="S17:T17"/>
    <mergeCell ref="Z17:AB17"/>
    <mergeCell ref="Z18:AB18"/>
    <mergeCell ref="Z11:AB11"/>
    <mergeCell ref="Z12:AB12"/>
    <mergeCell ref="Z13:AB13"/>
    <mergeCell ref="Z14:AB14"/>
    <mergeCell ref="Z15:AB15"/>
    <mergeCell ref="Z16:AB16"/>
    <mergeCell ref="W11:Y11"/>
    <mergeCell ref="W17:Y17"/>
    <mergeCell ref="W18:Y18"/>
    <mergeCell ref="W12:Y12"/>
    <mergeCell ref="W13:Y13"/>
    <mergeCell ref="W14:Y14"/>
    <mergeCell ref="W15:Y15"/>
    <mergeCell ref="Z23:AB23"/>
    <mergeCell ref="Z24:AB24"/>
    <mergeCell ref="Z25:AB25"/>
    <mergeCell ref="Z26:AB26"/>
    <mergeCell ref="V10:AC10"/>
    <mergeCell ref="Z19:AB19"/>
    <mergeCell ref="Z20:AB20"/>
    <mergeCell ref="Z21:AB21"/>
    <mergeCell ref="Z22:AB22"/>
    <mergeCell ref="W23:Y23"/>
    <mergeCell ref="W24:Y24"/>
    <mergeCell ref="W25:Y25"/>
    <mergeCell ref="W26:Y26"/>
    <mergeCell ref="W19:Y19"/>
    <mergeCell ref="W20:Y20"/>
    <mergeCell ref="W21:Y21"/>
  </mergeCells>
  <phoneticPr fontId="20" type="noConversion"/>
  <pageMargins left="0.7" right="0.7" top="0.75" bottom="0.75" header="0.3" footer="0.3"/>
  <pageSetup scale="3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AB109"/>
  <sheetViews>
    <sheetView showGridLines="0" tabSelected="1" zoomScale="80" zoomScaleNormal="80" workbookViewId="0">
      <pane xSplit="4" ySplit="4" topLeftCell="E29" activePane="bottomRight" state="frozen"/>
      <selection pane="topRight" activeCell="E1" sqref="E1"/>
      <selection pane="bottomLeft" activeCell="A5" sqref="A5"/>
      <selection pane="bottomRight"/>
    </sheetView>
  </sheetViews>
  <sheetFormatPr defaultColWidth="9.19921875" defaultRowHeight="14.25" x14ac:dyDescent="0.45"/>
  <cols>
    <col min="1" max="2" width="9.19921875" style="214"/>
    <col min="3" max="3" width="9.19921875" style="214" customWidth="1"/>
    <col min="4" max="4" width="9.19921875" style="61"/>
    <col min="5" max="5" width="34.796875" style="61" customWidth="1"/>
    <col min="6" max="8" width="11.796875" style="61" customWidth="1"/>
    <col min="9" max="14" width="10.796875" style="219" customWidth="1"/>
    <col min="15" max="20" width="12" style="219" customWidth="1"/>
    <col min="21" max="16384" width="9.19921875" style="61"/>
  </cols>
  <sheetData>
    <row r="1" spans="1:28" s="215" customFormat="1" ht="15" customHeight="1" x14ac:dyDescent="0.45">
      <c r="A1" s="214"/>
      <c r="B1" s="214"/>
      <c r="C1" s="214"/>
      <c r="E1" s="360" t="s">
        <v>105</v>
      </c>
      <c r="F1" s="360"/>
      <c r="G1" s="360"/>
      <c r="H1" s="360"/>
      <c r="I1" s="360"/>
      <c r="J1" s="360"/>
      <c r="K1" s="360"/>
      <c r="L1" s="360"/>
      <c r="M1" s="360"/>
      <c r="N1" s="360"/>
      <c r="O1" s="360"/>
      <c r="P1" s="360"/>
      <c r="Q1" s="216"/>
      <c r="R1" s="216"/>
      <c r="S1" s="217"/>
      <c r="T1" s="218"/>
    </row>
    <row r="2" spans="1:28" s="215" customFormat="1" ht="15" customHeight="1" x14ac:dyDescent="0.45">
      <c r="A2" s="214"/>
      <c r="B2" s="214"/>
      <c r="C2" s="214"/>
      <c r="E2" s="360"/>
      <c r="F2" s="360"/>
      <c r="G2" s="360"/>
      <c r="H2" s="360"/>
      <c r="I2" s="360"/>
      <c r="J2" s="360"/>
      <c r="K2" s="360"/>
      <c r="L2" s="360"/>
      <c r="M2" s="360"/>
      <c r="N2" s="360"/>
      <c r="O2" s="360"/>
      <c r="P2" s="360"/>
      <c r="Q2" s="216"/>
      <c r="R2" s="216"/>
      <c r="S2" s="217"/>
      <c r="T2" s="218"/>
    </row>
    <row r="3" spans="1:28" s="215" customFormat="1" ht="15" customHeight="1" x14ac:dyDescent="0.45">
      <c r="A3" s="214"/>
      <c r="B3" s="214"/>
      <c r="C3" s="214"/>
      <c r="E3" s="360"/>
      <c r="F3" s="360"/>
      <c r="G3" s="360"/>
      <c r="H3" s="360"/>
      <c r="I3" s="360"/>
      <c r="J3" s="360"/>
      <c r="K3" s="360"/>
      <c r="L3" s="360"/>
      <c r="M3" s="360"/>
      <c r="N3" s="360"/>
      <c r="O3" s="360"/>
      <c r="P3" s="360"/>
      <c r="Q3" s="253" t="s">
        <v>45</v>
      </c>
      <c r="R3" s="216"/>
      <c r="T3" s="218"/>
    </row>
    <row r="5" spans="1:28" ht="15" customHeight="1" x14ac:dyDescent="0.45">
      <c r="F5" s="60"/>
      <c r="G5" s="60"/>
      <c r="H5" s="60"/>
      <c r="I5" s="220"/>
      <c r="J5" s="220"/>
      <c r="K5" s="220"/>
      <c r="L5" s="220"/>
      <c r="M5" s="220"/>
      <c r="N5" s="220"/>
      <c r="O5" s="220"/>
      <c r="P5" s="220"/>
      <c r="Q5" s="220"/>
      <c r="R5" s="220"/>
      <c r="S5" s="220"/>
      <c r="T5" s="220"/>
      <c r="U5" s="60"/>
      <c r="V5" s="60"/>
      <c r="W5" s="60"/>
      <c r="X5" s="60"/>
      <c r="Y5" s="60"/>
      <c r="Z5" s="60"/>
      <c r="AA5" s="60"/>
      <c r="AB5" s="60"/>
    </row>
    <row r="6" spans="1:28" ht="15" customHeight="1" x14ac:dyDescent="0.45">
      <c r="E6" s="359" t="str">
        <f>'Từ khóa'!E5</f>
        <v>Năm bắt đầu theo dõi</v>
      </c>
      <c r="F6" s="367">
        <f>'Từ khóa'!E7</f>
        <v>2023</v>
      </c>
      <c r="G6" s="367"/>
      <c r="I6" s="362" t="s">
        <v>101</v>
      </c>
      <c r="J6" s="362"/>
      <c r="K6" s="362"/>
      <c r="L6" s="363">
        <f>SUM('Mục tiêu bản thân'!$S$9:$T$18)</f>
        <v>2850</v>
      </c>
      <c r="M6" s="363"/>
      <c r="N6" s="61"/>
      <c r="O6" s="364" t="s">
        <v>102</v>
      </c>
      <c r="P6" s="364"/>
      <c r="Q6" s="364"/>
      <c r="R6" s="365">
        <f>'Mục tiêu tài chính'!V251</f>
        <v>9.9677009340719283E-2</v>
      </c>
      <c r="S6" s="366"/>
      <c r="T6" s="61"/>
    </row>
    <row r="7" spans="1:28" ht="15" customHeight="1" x14ac:dyDescent="0.45">
      <c r="E7" s="359"/>
      <c r="F7" s="367"/>
      <c r="G7" s="367"/>
      <c r="I7" s="362"/>
      <c r="J7" s="362"/>
      <c r="K7" s="362"/>
      <c r="L7" s="363"/>
      <c r="M7" s="363"/>
      <c r="O7" s="364"/>
      <c r="P7" s="364"/>
      <c r="Q7" s="364"/>
      <c r="R7" s="366"/>
      <c r="S7" s="366"/>
    </row>
    <row r="8" spans="1:28" x14ac:dyDescent="0.45">
      <c r="E8" s="60"/>
    </row>
    <row r="9" spans="1:28" ht="15" customHeight="1" x14ac:dyDescent="0.45">
      <c r="E9" s="60"/>
    </row>
    <row r="10" spans="1:28" ht="15" customHeight="1" x14ac:dyDescent="0.45">
      <c r="E10" s="60"/>
      <c r="F10" s="60"/>
      <c r="G10" s="60"/>
      <c r="H10" s="60"/>
      <c r="I10" s="220"/>
      <c r="J10" s="220"/>
    </row>
    <row r="11" spans="1:28" x14ac:dyDescent="0.45">
      <c r="E11" s="60"/>
      <c r="F11" s="60"/>
      <c r="G11" s="60"/>
      <c r="H11" s="60"/>
      <c r="I11" s="220"/>
      <c r="J11" s="220"/>
    </row>
    <row r="12" spans="1:28" x14ac:dyDescent="0.45">
      <c r="E12" s="60"/>
      <c r="F12" s="60"/>
      <c r="G12" s="60"/>
    </row>
    <row r="14" spans="1:28" ht="15" customHeight="1" x14ac:dyDescent="0.45"/>
    <row r="15" spans="1:28" ht="15" customHeight="1" x14ac:dyDescent="0.45"/>
    <row r="26" spans="5:19" ht="15" customHeight="1" x14ac:dyDescent="0.45">
      <c r="E26" s="359" t="str">
        <f>"Tổng thu nhập năm "&amp;F6</f>
        <v>Tổng thu nhập năm 2023</v>
      </c>
      <c r="F26" s="361">
        <f ca="1">Table2[[#Totals],[Tổng]]</f>
        <v>329.4</v>
      </c>
      <c r="G26" s="361"/>
      <c r="I26" s="362" t="str">
        <f>"Tổng chi tiêu năm "&amp;F6</f>
        <v>Tổng chi tiêu năm 2023</v>
      </c>
      <c r="J26" s="362"/>
      <c r="K26" s="362"/>
      <c r="L26" s="363">
        <f ca="1">Table3[[#Totals],[Tổng]]</f>
        <v>223.75000000000003</v>
      </c>
      <c r="M26" s="363"/>
      <c r="O26" s="364" t="str">
        <f>"Tiết kiệm năm "&amp;F6</f>
        <v>Tiết kiệm năm 2023</v>
      </c>
      <c r="P26" s="364"/>
      <c r="Q26" s="364"/>
      <c r="R26" s="358">
        <f ca="1">F26-L26</f>
        <v>105.64999999999995</v>
      </c>
      <c r="S26" s="358"/>
    </row>
    <row r="27" spans="5:19" ht="15" customHeight="1" x14ac:dyDescent="0.45">
      <c r="E27" s="359"/>
      <c r="F27" s="361"/>
      <c r="G27" s="361"/>
      <c r="I27" s="362"/>
      <c r="J27" s="362"/>
      <c r="K27" s="362"/>
      <c r="L27" s="363"/>
      <c r="M27" s="363"/>
      <c r="O27" s="364"/>
      <c r="P27" s="364"/>
      <c r="Q27" s="364"/>
      <c r="R27" s="358"/>
      <c r="S27" s="358"/>
    </row>
    <row r="62" spans="1:21" s="255" customFormat="1" ht="14.65" thickBot="1" x14ac:dyDescent="0.5">
      <c r="A62" s="254"/>
      <c r="B62" s="254"/>
      <c r="C62" s="254"/>
      <c r="I62" s="256"/>
      <c r="J62" s="256"/>
      <c r="K62" s="256"/>
      <c r="L62" s="256"/>
      <c r="M62" s="256"/>
      <c r="N62" s="256"/>
      <c r="O62" s="256"/>
      <c r="P62" s="256"/>
      <c r="Q62" s="256"/>
      <c r="R62" s="256"/>
      <c r="S62" s="256"/>
      <c r="T62" s="256"/>
    </row>
    <row r="63" spans="1:21" ht="14.65" thickBot="1" x14ac:dyDescent="0.5"/>
    <row r="64" spans="1:21" ht="15.4" thickBot="1" x14ac:dyDescent="0.5">
      <c r="E64" s="202" t="s">
        <v>313</v>
      </c>
      <c r="F64" s="203" t="s">
        <v>131</v>
      </c>
      <c r="G64" s="203" t="s">
        <v>137</v>
      </c>
      <c r="H64" s="203" t="s">
        <v>138</v>
      </c>
      <c r="I64" s="203" t="s">
        <v>139</v>
      </c>
      <c r="J64" s="203" t="s">
        <v>140</v>
      </c>
      <c r="K64" s="203" t="s">
        <v>141</v>
      </c>
      <c r="L64" s="203" t="s">
        <v>142</v>
      </c>
      <c r="M64" s="203" t="s">
        <v>145</v>
      </c>
      <c r="N64" s="203" t="s">
        <v>154</v>
      </c>
      <c r="O64" s="203" t="s">
        <v>155</v>
      </c>
      <c r="P64" s="203" t="s">
        <v>156</v>
      </c>
      <c r="Q64" s="203" t="s">
        <v>157</v>
      </c>
      <c r="R64" s="213" t="s">
        <v>148</v>
      </c>
      <c r="S64" s="212" t="s">
        <v>314</v>
      </c>
      <c r="T64" s="60"/>
      <c r="U64" s="60"/>
    </row>
    <row r="65" spans="5:21" x14ac:dyDescent="0.45">
      <c r="E65" s="221" t="str">
        <f>'Từ khóa'!M12</f>
        <v>Lương từ công ty</v>
      </c>
      <c r="F65" s="222">
        <f ca="1">'T1'!W27</f>
        <v>20</v>
      </c>
      <c r="G65" s="222">
        <f ca="1">'T2'!W27</f>
        <v>25</v>
      </c>
      <c r="H65" s="222">
        <f ca="1">'T3'!W27</f>
        <v>18</v>
      </c>
      <c r="I65" s="222">
        <f ca="1">'T4'!W27</f>
        <v>19</v>
      </c>
      <c r="J65" s="222">
        <f ca="1">'T5'!W27</f>
        <v>20</v>
      </c>
      <c r="K65" s="222">
        <f ca="1">'T6'!W27</f>
        <v>18</v>
      </c>
      <c r="L65" s="222">
        <f ca="1">'T7'!W27</f>
        <v>18</v>
      </c>
      <c r="M65" s="222">
        <f ca="1">'T8'!W27</f>
        <v>18</v>
      </c>
      <c r="N65" s="222">
        <f ca="1">'T9'!W27</f>
        <v>20</v>
      </c>
      <c r="O65" s="222">
        <f ca="1">'T10'!W27</f>
        <v>20</v>
      </c>
      <c r="P65" s="222">
        <f ca="1">'T11'!W27</f>
        <v>19</v>
      </c>
      <c r="Q65" s="222">
        <f ca="1">'T12'!W27</f>
        <v>20</v>
      </c>
      <c r="R65" s="223">
        <f ca="1">SUM(F65:Q65)</f>
        <v>235</v>
      </c>
      <c r="S65" s="224"/>
      <c r="T65" s="61"/>
    </row>
    <row r="66" spans="5:21" x14ac:dyDescent="0.45">
      <c r="E66" s="225" t="str">
        <f>'Từ khóa'!M13</f>
        <v>Thu nhập khác</v>
      </c>
      <c r="F66" s="226">
        <f ca="1">'T1'!W28</f>
        <v>4</v>
      </c>
      <c r="G66" s="226">
        <f ca="1">'T2'!W28</f>
        <v>4.5</v>
      </c>
      <c r="H66" s="226">
        <f ca="1">'T3'!W28</f>
        <v>5.7</v>
      </c>
      <c r="I66" s="226">
        <f ca="1">'T4'!W28</f>
        <v>4.8999999999999995</v>
      </c>
      <c r="J66" s="226">
        <f ca="1">'T5'!W28</f>
        <v>12.8</v>
      </c>
      <c r="K66" s="226">
        <f ca="1">'T6'!W28</f>
        <v>9.5</v>
      </c>
      <c r="L66" s="226">
        <f ca="1">'T7'!W28</f>
        <v>11</v>
      </c>
      <c r="M66" s="226">
        <f ca="1">'T8'!W28</f>
        <v>7</v>
      </c>
      <c r="N66" s="226">
        <f ca="1">'T9'!W28</f>
        <v>7</v>
      </c>
      <c r="O66" s="226">
        <f ca="1">'T10'!W28</f>
        <v>8</v>
      </c>
      <c r="P66" s="226">
        <f ca="1">'T11'!W28</f>
        <v>5</v>
      </c>
      <c r="Q66" s="226">
        <f ca="1">'T12'!W28</f>
        <v>15</v>
      </c>
      <c r="R66" s="227">
        <f t="shared" ref="R66:R72" ca="1" si="0">SUM(F66:Q66)</f>
        <v>94.4</v>
      </c>
      <c r="S66" s="224"/>
      <c r="T66" s="60"/>
      <c r="U66" s="60"/>
    </row>
    <row r="67" spans="5:21" x14ac:dyDescent="0.45">
      <c r="E67" s="225">
        <f>'Từ khóa'!M14</f>
        <v>0</v>
      </c>
      <c r="F67" s="226">
        <f ca="1">'T1'!W29</f>
        <v>0</v>
      </c>
      <c r="G67" s="226">
        <f ca="1">'T2'!W29</f>
        <v>0</v>
      </c>
      <c r="H67" s="226">
        <f ca="1">'T3'!W29</f>
        <v>0</v>
      </c>
      <c r="I67" s="226">
        <f ca="1">'T4'!W29</f>
        <v>0</v>
      </c>
      <c r="J67" s="226">
        <f ca="1">'T5'!W29</f>
        <v>0</v>
      </c>
      <c r="K67" s="226">
        <f ca="1">'T6'!W29</f>
        <v>0</v>
      </c>
      <c r="L67" s="226">
        <f ca="1">'T7'!W29</f>
        <v>0</v>
      </c>
      <c r="M67" s="226">
        <f ca="1">'T8'!W29</f>
        <v>0</v>
      </c>
      <c r="N67" s="226">
        <f ca="1">'T9'!W29</f>
        <v>0</v>
      </c>
      <c r="O67" s="226">
        <f ca="1">'T10'!W29</f>
        <v>0</v>
      </c>
      <c r="P67" s="226">
        <f ca="1">'T11'!W29</f>
        <v>0</v>
      </c>
      <c r="Q67" s="226">
        <f ca="1">'T12'!W29</f>
        <v>0</v>
      </c>
      <c r="R67" s="227">
        <f t="shared" ca="1" si="0"/>
        <v>0</v>
      </c>
      <c r="S67" s="224"/>
      <c r="T67" s="60"/>
      <c r="U67" s="60"/>
    </row>
    <row r="68" spans="5:21" x14ac:dyDescent="0.45">
      <c r="E68" s="225">
        <f>'Từ khóa'!M15</f>
        <v>0</v>
      </c>
      <c r="F68" s="226">
        <f ca="1">'T1'!W30</f>
        <v>0</v>
      </c>
      <c r="G68" s="226">
        <f ca="1">'T2'!W30</f>
        <v>0</v>
      </c>
      <c r="H68" s="226">
        <f ca="1">'T3'!W30</f>
        <v>0</v>
      </c>
      <c r="I68" s="226">
        <f ca="1">'T4'!W30</f>
        <v>0</v>
      </c>
      <c r="J68" s="226">
        <f ca="1">'T5'!W30</f>
        <v>0</v>
      </c>
      <c r="K68" s="226">
        <f ca="1">'T6'!W30</f>
        <v>0</v>
      </c>
      <c r="L68" s="226">
        <f ca="1">'T7'!W30</f>
        <v>0</v>
      </c>
      <c r="M68" s="226">
        <f ca="1">'T8'!W30</f>
        <v>0</v>
      </c>
      <c r="N68" s="226">
        <f ca="1">'T9'!W30</f>
        <v>0</v>
      </c>
      <c r="O68" s="226">
        <f ca="1">'T10'!W30</f>
        <v>0</v>
      </c>
      <c r="P68" s="226">
        <f ca="1">'T11'!W30</f>
        <v>0</v>
      </c>
      <c r="Q68" s="226">
        <f ca="1">'T12'!W30</f>
        <v>0</v>
      </c>
      <c r="R68" s="227">
        <f t="shared" ca="1" si="0"/>
        <v>0</v>
      </c>
      <c r="S68" s="224"/>
      <c r="T68" s="60"/>
      <c r="U68" s="60"/>
    </row>
    <row r="69" spans="5:21" x14ac:dyDescent="0.45">
      <c r="E69" s="225">
        <f>'Từ khóa'!M16</f>
        <v>0</v>
      </c>
      <c r="F69" s="226">
        <f ca="1">'T1'!W31</f>
        <v>0</v>
      </c>
      <c r="G69" s="226">
        <f ca="1">'T2'!W31</f>
        <v>0</v>
      </c>
      <c r="H69" s="226">
        <f ca="1">'T3'!W31</f>
        <v>0</v>
      </c>
      <c r="I69" s="226">
        <f ca="1">'T4'!W31</f>
        <v>0</v>
      </c>
      <c r="J69" s="226">
        <f ca="1">'T5'!W31</f>
        <v>0</v>
      </c>
      <c r="K69" s="226">
        <f ca="1">'T6'!W31</f>
        <v>0</v>
      </c>
      <c r="L69" s="226">
        <f ca="1">'T7'!W31</f>
        <v>0</v>
      </c>
      <c r="M69" s="226">
        <f ca="1">'T8'!W31</f>
        <v>0</v>
      </c>
      <c r="N69" s="226">
        <f ca="1">'T9'!W31</f>
        <v>0</v>
      </c>
      <c r="O69" s="226">
        <f ca="1">'T10'!W31</f>
        <v>0</v>
      </c>
      <c r="P69" s="226">
        <f ca="1">'T11'!W31</f>
        <v>0</v>
      </c>
      <c r="Q69" s="226">
        <f ca="1">'T12'!W31</f>
        <v>0</v>
      </c>
      <c r="R69" s="227">
        <f t="shared" ca="1" si="0"/>
        <v>0</v>
      </c>
      <c r="S69" s="224"/>
      <c r="T69" s="60"/>
      <c r="U69" s="60"/>
    </row>
    <row r="70" spans="5:21" x14ac:dyDescent="0.45">
      <c r="E70" s="225">
        <f>'Từ khóa'!M17</f>
        <v>0</v>
      </c>
      <c r="F70" s="226">
        <f ca="1">'T1'!W32</f>
        <v>0</v>
      </c>
      <c r="G70" s="226">
        <f ca="1">'T2'!W32</f>
        <v>0</v>
      </c>
      <c r="H70" s="226">
        <f ca="1">'T3'!W32</f>
        <v>0</v>
      </c>
      <c r="I70" s="226">
        <f ca="1">'T4'!W32</f>
        <v>0</v>
      </c>
      <c r="J70" s="226">
        <f ca="1">'T5'!W32</f>
        <v>0</v>
      </c>
      <c r="K70" s="226">
        <f ca="1">'T6'!W32</f>
        <v>0</v>
      </c>
      <c r="L70" s="226">
        <f ca="1">'T7'!W32</f>
        <v>0</v>
      </c>
      <c r="M70" s="226">
        <f ca="1">'T8'!W32</f>
        <v>0</v>
      </c>
      <c r="N70" s="226">
        <f ca="1">'T9'!W32</f>
        <v>0</v>
      </c>
      <c r="O70" s="226">
        <f ca="1">'T10'!W32</f>
        <v>0</v>
      </c>
      <c r="P70" s="226">
        <f ca="1">'T11'!W32</f>
        <v>0</v>
      </c>
      <c r="Q70" s="226">
        <f ca="1">'T12'!W32</f>
        <v>0</v>
      </c>
      <c r="R70" s="227">
        <f t="shared" ca="1" si="0"/>
        <v>0</v>
      </c>
      <c r="S70" s="224"/>
      <c r="T70" s="60"/>
      <c r="U70" s="60"/>
    </row>
    <row r="71" spans="5:21" x14ac:dyDescent="0.45">
      <c r="E71" s="225">
        <f>'Từ khóa'!M18</f>
        <v>0</v>
      </c>
      <c r="F71" s="226">
        <f ca="1">'T1'!W33</f>
        <v>0</v>
      </c>
      <c r="G71" s="226">
        <f ca="1">'T2'!W33</f>
        <v>0</v>
      </c>
      <c r="H71" s="226">
        <f ca="1">'T3'!W33</f>
        <v>0</v>
      </c>
      <c r="I71" s="226">
        <f ca="1">'T4'!W33</f>
        <v>0</v>
      </c>
      <c r="J71" s="226">
        <f ca="1">'T5'!W33</f>
        <v>0</v>
      </c>
      <c r="K71" s="226">
        <f ca="1">'T6'!W33</f>
        <v>0</v>
      </c>
      <c r="L71" s="226">
        <f ca="1">'T7'!W33</f>
        <v>0</v>
      </c>
      <c r="M71" s="226">
        <f ca="1">'T8'!W33</f>
        <v>0</v>
      </c>
      <c r="N71" s="226">
        <f ca="1">'T9'!W33</f>
        <v>0</v>
      </c>
      <c r="O71" s="226">
        <f ca="1">'T10'!W33</f>
        <v>0</v>
      </c>
      <c r="P71" s="226">
        <f ca="1">'T11'!W33</f>
        <v>0</v>
      </c>
      <c r="Q71" s="226">
        <f ca="1">'T12'!W33</f>
        <v>0</v>
      </c>
      <c r="R71" s="227">
        <f t="shared" ca="1" si="0"/>
        <v>0</v>
      </c>
      <c r="S71" s="224"/>
      <c r="T71" s="60"/>
      <c r="U71" s="60"/>
    </row>
    <row r="72" spans="5:21" ht="14.65" thickBot="1" x14ac:dyDescent="0.5">
      <c r="E72" s="228">
        <f>'Từ khóa'!M19</f>
        <v>0</v>
      </c>
      <c r="F72" s="229">
        <f ca="1">'T1'!W34</f>
        <v>0</v>
      </c>
      <c r="G72" s="229">
        <f ca="1">'T2'!W34</f>
        <v>0</v>
      </c>
      <c r="H72" s="229">
        <f ca="1">'T3'!W34</f>
        <v>0</v>
      </c>
      <c r="I72" s="229">
        <f ca="1">'T4'!W34</f>
        <v>0</v>
      </c>
      <c r="J72" s="229">
        <f ca="1">'T5'!W34</f>
        <v>0</v>
      </c>
      <c r="K72" s="229">
        <f ca="1">'T6'!W34</f>
        <v>0</v>
      </c>
      <c r="L72" s="229">
        <f ca="1">'T7'!W34</f>
        <v>0</v>
      </c>
      <c r="M72" s="229">
        <f ca="1">'T8'!W34</f>
        <v>0</v>
      </c>
      <c r="N72" s="229">
        <f ca="1">'T9'!W34</f>
        <v>0</v>
      </c>
      <c r="O72" s="229">
        <f ca="1">'T10'!W34</f>
        <v>0</v>
      </c>
      <c r="P72" s="229">
        <f ca="1">'T11'!W34</f>
        <v>0</v>
      </c>
      <c r="Q72" s="229">
        <f ca="1">'T12'!W34</f>
        <v>0</v>
      </c>
      <c r="R72" s="230">
        <f t="shared" ca="1" si="0"/>
        <v>0</v>
      </c>
      <c r="S72" s="231"/>
      <c r="T72" s="60"/>
      <c r="U72" s="60"/>
    </row>
    <row r="73" spans="5:21" ht="15" thickTop="1" thickBot="1" x14ac:dyDescent="0.5">
      <c r="E73" s="232" t="s">
        <v>124</v>
      </c>
      <c r="F73" s="219">
        <f ca="1">SUBTOTAL(109,Table2[Tháng 1])</f>
        <v>24</v>
      </c>
      <c r="G73" s="219">
        <f ca="1">SUBTOTAL(109,Table2[Tháng 2])</f>
        <v>29.5</v>
      </c>
      <c r="H73" s="219">
        <f ca="1">SUBTOTAL(109,Table2[Tháng 3])</f>
        <v>23.7</v>
      </c>
      <c r="I73" s="219">
        <f ca="1">SUBTOTAL(109,Table2[Tháng 4])</f>
        <v>23.9</v>
      </c>
      <c r="J73" s="219">
        <f ca="1">SUBTOTAL(109,Table2[Tháng 5])</f>
        <v>32.799999999999997</v>
      </c>
      <c r="K73" s="219">
        <f ca="1">SUBTOTAL(109,Table2[Tháng 6])</f>
        <v>27.5</v>
      </c>
      <c r="L73" s="219">
        <f ca="1">SUBTOTAL(109,Table2[Tháng 7])</f>
        <v>29</v>
      </c>
      <c r="M73" s="219">
        <f ca="1">SUBTOTAL(109,Table2[Tháng 8])</f>
        <v>25</v>
      </c>
      <c r="N73" s="219">
        <f ca="1">SUBTOTAL(109,Table2[Tháng 9])</f>
        <v>27</v>
      </c>
      <c r="O73" s="219">
        <f ca="1">SUBTOTAL(109,Table2[Tháng 10])</f>
        <v>28</v>
      </c>
      <c r="P73" s="219">
        <f ca="1">SUBTOTAL(109,Table2[Tháng 11])</f>
        <v>24</v>
      </c>
      <c r="Q73" s="219">
        <f ca="1">SUBTOTAL(109,Table2[Tháng 12])</f>
        <v>35</v>
      </c>
      <c r="R73" s="219">
        <f ca="1">SUBTOTAL(109,Table2[Tổng])</f>
        <v>329.4</v>
      </c>
      <c r="S73" s="233"/>
      <c r="T73" s="60"/>
      <c r="U73" s="60"/>
    </row>
    <row r="74" spans="5:21" ht="14.65" thickBot="1" x14ac:dyDescent="0.5"/>
    <row r="75" spans="5:21" ht="15.4" thickBot="1" x14ac:dyDescent="0.5">
      <c r="E75" s="204" t="s">
        <v>340</v>
      </c>
      <c r="F75" s="205" t="s">
        <v>131</v>
      </c>
      <c r="G75" s="205" t="s">
        <v>137</v>
      </c>
      <c r="H75" s="205" t="s">
        <v>138</v>
      </c>
      <c r="I75" s="205" t="s">
        <v>139</v>
      </c>
      <c r="J75" s="205" t="s">
        <v>140</v>
      </c>
      <c r="K75" s="205" t="s">
        <v>141</v>
      </c>
      <c r="L75" s="205" t="s">
        <v>142</v>
      </c>
      <c r="M75" s="205" t="s">
        <v>145</v>
      </c>
      <c r="N75" s="205" t="s">
        <v>154</v>
      </c>
      <c r="O75" s="205" t="s">
        <v>155</v>
      </c>
      <c r="P75" s="205" t="s">
        <v>156</v>
      </c>
      <c r="Q75" s="205" t="s">
        <v>157</v>
      </c>
      <c r="R75" s="204" t="s">
        <v>148</v>
      </c>
      <c r="S75" s="209" t="s">
        <v>314</v>
      </c>
      <c r="T75" s="60"/>
      <c r="U75" s="60"/>
    </row>
    <row r="76" spans="5:21" x14ac:dyDescent="0.45">
      <c r="E76" s="221" t="str">
        <f>'Từ khóa'!F12</f>
        <v>Mua thực phẩm</v>
      </c>
      <c r="F76" s="222">
        <f ca="1">'T1'!W42</f>
        <v>5.5</v>
      </c>
      <c r="G76" s="222">
        <f ca="1">'T2'!W42</f>
        <v>5</v>
      </c>
      <c r="H76" s="222">
        <f ca="1">'T3'!W42</f>
        <v>6.8</v>
      </c>
      <c r="I76" s="222">
        <f ca="1">'T4'!W42</f>
        <v>5</v>
      </c>
      <c r="J76" s="222">
        <f ca="1">'T5'!W42</f>
        <v>3.4</v>
      </c>
      <c r="K76" s="222">
        <f ca="1">'T6'!W42</f>
        <v>4.3</v>
      </c>
      <c r="L76" s="222">
        <f ca="1">'T7'!W42</f>
        <v>5.5</v>
      </c>
      <c r="M76" s="222">
        <f ca="1">'T8'!W42</f>
        <v>7</v>
      </c>
      <c r="N76" s="222">
        <f ca="1">'T9'!W42</f>
        <v>4.2</v>
      </c>
      <c r="O76" s="222">
        <f ca="1">'T10'!W42</f>
        <v>5</v>
      </c>
      <c r="P76" s="222">
        <f ca="1">'T11'!W42</f>
        <v>5</v>
      </c>
      <c r="Q76" s="222">
        <f ca="1">'T12'!W42</f>
        <v>5</v>
      </c>
      <c r="R76" s="223">
        <f ca="1">SUM(F76:Q76)</f>
        <v>61.7</v>
      </c>
      <c r="S76" s="224"/>
      <c r="T76" s="61"/>
    </row>
    <row r="77" spans="5:21" x14ac:dyDescent="0.45">
      <c r="E77" s="225" t="str">
        <f>'Từ khóa'!F13</f>
        <v>Mua đồ dùng trong nhà</v>
      </c>
      <c r="F77" s="226">
        <f ca="1">'T1'!W43</f>
        <v>0.3</v>
      </c>
      <c r="G77" s="226">
        <f ca="1">'T2'!W43</f>
        <v>0.7</v>
      </c>
      <c r="H77" s="226">
        <f ca="1">'T3'!W43</f>
        <v>1.1000000000000001</v>
      </c>
      <c r="I77" s="226">
        <f ca="1">'T4'!W43</f>
        <v>0.4</v>
      </c>
      <c r="J77" s="226">
        <f ca="1">'T5'!W43</f>
        <v>1</v>
      </c>
      <c r="K77" s="226">
        <f ca="1">'T6'!W43</f>
        <v>0.30000000000000004</v>
      </c>
      <c r="L77" s="226">
        <f ca="1">'T7'!W43</f>
        <v>2.5</v>
      </c>
      <c r="M77" s="226">
        <f ca="1">'T8'!W43</f>
        <v>1.3</v>
      </c>
      <c r="N77" s="226">
        <f ca="1">'T9'!W43</f>
        <v>1.3</v>
      </c>
      <c r="O77" s="226">
        <f ca="1">'T10'!W43</f>
        <v>1.1000000000000001</v>
      </c>
      <c r="P77" s="226">
        <f ca="1">'T11'!W43</f>
        <v>0.4</v>
      </c>
      <c r="Q77" s="226">
        <f ca="1">'T12'!W43</f>
        <v>4.5</v>
      </c>
      <c r="R77" s="227">
        <f t="shared" ref="R77:R90" ca="1" si="1">SUM(F77:Q77)</f>
        <v>14.9</v>
      </c>
      <c r="S77" s="224"/>
      <c r="T77" s="61"/>
    </row>
    <row r="78" spans="5:21" x14ac:dyDescent="0.45">
      <c r="E78" s="225" t="str">
        <f>'Từ khóa'!F14</f>
        <v>Đi ăn ở ngoài</v>
      </c>
      <c r="F78" s="226">
        <f ca="1">'T1'!W44</f>
        <v>0.8</v>
      </c>
      <c r="G78" s="226">
        <f ca="1">'T2'!W44</f>
        <v>1.8000000000000003</v>
      </c>
      <c r="H78" s="226">
        <f ca="1">'T3'!W44</f>
        <v>0.5</v>
      </c>
      <c r="I78" s="226">
        <f ca="1">'T4'!W44</f>
        <v>1.3</v>
      </c>
      <c r="J78" s="226">
        <f ca="1">'T5'!W44</f>
        <v>1.2999999999999998</v>
      </c>
      <c r="K78" s="226">
        <f ca="1">'T6'!W44</f>
        <v>1</v>
      </c>
      <c r="L78" s="226">
        <f ca="1">'T7'!W44</f>
        <v>0.5</v>
      </c>
      <c r="M78" s="226">
        <f ca="1">'T8'!W44</f>
        <v>0</v>
      </c>
      <c r="N78" s="226">
        <f ca="1">'T9'!W44</f>
        <v>1</v>
      </c>
      <c r="O78" s="226">
        <f ca="1">'T10'!W44</f>
        <v>1.9</v>
      </c>
      <c r="P78" s="226">
        <f ca="1">'T11'!W44</f>
        <v>2.5</v>
      </c>
      <c r="Q78" s="226">
        <f ca="1">'T12'!W44</f>
        <v>3</v>
      </c>
      <c r="R78" s="227">
        <f t="shared" ca="1" si="1"/>
        <v>15.6</v>
      </c>
      <c r="S78" s="224"/>
      <c r="T78" s="61"/>
    </row>
    <row r="79" spans="5:21" x14ac:dyDescent="0.45">
      <c r="E79" s="225" t="str">
        <f>'Từ khóa'!F15</f>
        <v>Chi tiền phát triển bản thân</v>
      </c>
      <c r="F79" s="226">
        <f ca="1">'T1'!W45</f>
        <v>1.1000000000000001</v>
      </c>
      <c r="G79" s="226">
        <f ca="1">'T2'!W45</f>
        <v>2.2999999999999998</v>
      </c>
      <c r="H79" s="226">
        <f ca="1">'T3'!W45</f>
        <v>1.5</v>
      </c>
      <c r="I79" s="226">
        <f ca="1">'T4'!W45</f>
        <v>1.2999999999999998</v>
      </c>
      <c r="J79" s="226">
        <f ca="1">'T5'!W45</f>
        <v>2</v>
      </c>
      <c r="K79" s="226">
        <f ca="1">'T6'!W45</f>
        <v>1.0999999999999999</v>
      </c>
      <c r="L79" s="226">
        <f ca="1">'T7'!W45</f>
        <v>1.1000000000000001</v>
      </c>
      <c r="M79" s="226">
        <f ca="1">'T8'!W45</f>
        <v>3.1</v>
      </c>
      <c r="N79" s="226">
        <f ca="1">'T9'!W45</f>
        <v>0.8</v>
      </c>
      <c r="O79" s="226">
        <f ca="1">'T10'!W45</f>
        <v>2.1</v>
      </c>
      <c r="P79" s="226">
        <f ca="1">'T11'!W45</f>
        <v>1.5</v>
      </c>
      <c r="Q79" s="226">
        <f ca="1">'T12'!W45</f>
        <v>2</v>
      </c>
      <c r="R79" s="227">
        <f t="shared" ca="1" si="1"/>
        <v>19.899999999999999</v>
      </c>
      <c r="S79" s="224"/>
      <c r="T79" s="61"/>
    </row>
    <row r="80" spans="5:21" x14ac:dyDescent="0.45">
      <c r="E80" s="225" t="str">
        <f>'Từ khóa'!F16</f>
        <v>Chi tiền bảo hiểm</v>
      </c>
      <c r="F80" s="226">
        <f ca="1">'T1'!W46</f>
        <v>0</v>
      </c>
      <c r="G80" s="226">
        <f ca="1">'T2'!W46</f>
        <v>0</v>
      </c>
      <c r="H80" s="226">
        <f ca="1">'T3'!W46</f>
        <v>0.5</v>
      </c>
      <c r="I80" s="226">
        <f ca="1">'T4'!W46</f>
        <v>0</v>
      </c>
      <c r="J80" s="226">
        <f ca="1">'T5'!W46</f>
        <v>0</v>
      </c>
      <c r="K80" s="226">
        <f ca="1">'T6'!W46</f>
        <v>0</v>
      </c>
      <c r="L80" s="226">
        <f ca="1">'T7'!W46</f>
        <v>0</v>
      </c>
      <c r="M80" s="226">
        <f ca="1">'T8'!W46</f>
        <v>0</v>
      </c>
      <c r="N80" s="226">
        <f ca="1">'T9'!W46</f>
        <v>0</v>
      </c>
      <c r="O80" s="226">
        <f ca="1">'T10'!W46</f>
        <v>0</v>
      </c>
      <c r="P80" s="226">
        <f ca="1">'T11'!W46</f>
        <v>0</v>
      </c>
      <c r="Q80" s="226">
        <f ca="1">'T12'!W46</f>
        <v>0</v>
      </c>
      <c r="R80" s="227">
        <f t="shared" ca="1" si="1"/>
        <v>0.5</v>
      </c>
      <c r="S80" s="224"/>
      <c r="T80" s="61"/>
    </row>
    <row r="81" spans="5:21" x14ac:dyDescent="0.45">
      <c r="E81" s="225" t="str">
        <f>'Từ khóa'!F17</f>
        <v>Chi tiền điện, nước, internet, điện thoại, xăng xe</v>
      </c>
      <c r="F81" s="226">
        <f ca="1">'T1'!W47</f>
        <v>1.3</v>
      </c>
      <c r="G81" s="226">
        <f ca="1">'T2'!W47</f>
        <v>1.6</v>
      </c>
      <c r="H81" s="226">
        <f ca="1">'T3'!W47</f>
        <v>1.6500000000000001</v>
      </c>
      <c r="I81" s="226">
        <f ca="1">'T4'!W47</f>
        <v>1.35</v>
      </c>
      <c r="J81" s="226">
        <f ca="1">'T5'!W47</f>
        <v>1.5</v>
      </c>
      <c r="K81" s="226">
        <f ca="1">'T6'!W47</f>
        <v>1.7500000000000002</v>
      </c>
      <c r="L81" s="226">
        <f ca="1">'T7'!W47</f>
        <v>1.05</v>
      </c>
      <c r="M81" s="226">
        <f ca="1">'T8'!W47</f>
        <v>2.6500000000000004</v>
      </c>
      <c r="N81" s="226">
        <f ca="1">'T9'!W47</f>
        <v>2.5499999999999998</v>
      </c>
      <c r="O81" s="226">
        <f ca="1">'T10'!W47</f>
        <v>1.35</v>
      </c>
      <c r="P81" s="226">
        <f ca="1">'T11'!W47</f>
        <v>1.35</v>
      </c>
      <c r="Q81" s="226">
        <f ca="1">'T12'!W47</f>
        <v>1.55</v>
      </c>
      <c r="R81" s="227">
        <f t="shared" ca="1" si="1"/>
        <v>19.650000000000006</v>
      </c>
      <c r="S81" s="224"/>
      <c r="T81" s="61"/>
    </row>
    <row r="82" spans="5:21" x14ac:dyDescent="0.45">
      <c r="E82" s="225" t="str">
        <f>'Từ khóa'!F18</f>
        <v>Chi tiền giải trí, quà tặng</v>
      </c>
      <c r="F82" s="226">
        <f ca="1">'T1'!W48</f>
        <v>0</v>
      </c>
      <c r="G82" s="226">
        <f ca="1">'T2'!W48</f>
        <v>0</v>
      </c>
      <c r="H82" s="226">
        <f ca="1">'T3'!W48</f>
        <v>0.7</v>
      </c>
      <c r="I82" s="226">
        <f ca="1">'T4'!W48</f>
        <v>0</v>
      </c>
      <c r="J82" s="226">
        <f ca="1">'T5'!W48</f>
        <v>0.4</v>
      </c>
      <c r="K82" s="226">
        <f ca="1">'T6'!W48</f>
        <v>0</v>
      </c>
      <c r="L82" s="226">
        <f ca="1">'T7'!W48</f>
        <v>0</v>
      </c>
      <c r="M82" s="226">
        <f ca="1">'T8'!W48</f>
        <v>0.5</v>
      </c>
      <c r="N82" s="226">
        <f ca="1">'T9'!W48</f>
        <v>0.3</v>
      </c>
      <c r="O82" s="226">
        <f ca="1">'T10'!W48</f>
        <v>0</v>
      </c>
      <c r="P82" s="226">
        <f ca="1">'T11'!W48</f>
        <v>0.5</v>
      </c>
      <c r="Q82" s="226">
        <f ca="1">'T12'!W48</f>
        <v>2.5</v>
      </c>
      <c r="R82" s="227">
        <f t="shared" ca="1" si="1"/>
        <v>4.9000000000000004</v>
      </c>
      <c r="S82" s="224"/>
      <c r="T82" s="61"/>
    </row>
    <row r="83" spans="5:21" x14ac:dyDescent="0.45">
      <c r="E83" s="225" t="str">
        <f>'Từ khóa'!F19</f>
        <v>Chi tiền cho con</v>
      </c>
      <c r="F83" s="226">
        <f ca="1">'T1'!W49</f>
        <v>0</v>
      </c>
      <c r="G83" s="226">
        <f ca="1">'T2'!W49</f>
        <v>0</v>
      </c>
      <c r="H83" s="226">
        <f ca="1">'T3'!W49</f>
        <v>0</v>
      </c>
      <c r="I83" s="226">
        <f ca="1">'T4'!W49</f>
        <v>0</v>
      </c>
      <c r="J83" s="226">
        <f ca="1">'T5'!W49</f>
        <v>0</v>
      </c>
      <c r="K83" s="226">
        <f ca="1">'T6'!W49</f>
        <v>0</v>
      </c>
      <c r="L83" s="226">
        <f ca="1">'T7'!W49</f>
        <v>1</v>
      </c>
      <c r="M83" s="226">
        <f ca="1">'T8'!W49</f>
        <v>1</v>
      </c>
      <c r="N83" s="226">
        <f ca="1">'T9'!W49</f>
        <v>0.3</v>
      </c>
      <c r="O83" s="226">
        <f ca="1">'T10'!W49</f>
        <v>0</v>
      </c>
      <c r="P83" s="226">
        <f ca="1">'T11'!W49</f>
        <v>0</v>
      </c>
      <c r="Q83" s="226">
        <f ca="1">'T12'!W49</f>
        <v>0</v>
      </c>
      <c r="R83" s="227">
        <f t="shared" ca="1" si="1"/>
        <v>2.2999999999999998</v>
      </c>
      <c r="S83" s="224"/>
      <c r="T83" s="61"/>
    </row>
    <row r="84" spans="5:21" x14ac:dyDescent="0.45">
      <c r="E84" s="225" t="str">
        <f>'Từ khóa'!F20</f>
        <v>Chi tiền trả nợ</v>
      </c>
      <c r="F84" s="226">
        <f ca="1">'T1'!W50</f>
        <v>6.5</v>
      </c>
      <c r="G84" s="226">
        <f ca="1">'T2'!W50</f>
        <v>6.5</v>
      </c>
      <c r="H84" s="226">
        <f ca="1">'T3'!W50</f>
        <v>6.5</v>
      </c>
      <c r="I84" s="226">
        <f ca="1">'T4'!W50</f>
        <v>6.5</v>
      </c>
      <c r="J84" s="226">
        <f ca="1">'T5'!W50</f>
        <v>6.5</v>
      </c>
      <c r="K84" s="226">
        <f ca="1">'T6'!W50</f>
        <v>6.5</v>
      </c>
      <c r="L84" s="226">
        <f ca="1">'T7'!W50</f>
        <v>6.5</v>
      </c>
      <c r="M84" s="226">
        <f ca="1">'T8'!W50</f>
        <v>6.5</v>
      </c>
      <c r="N84" s="226">
        <f ca="1">'T9'!W50</f>
        <v>6.5</v>
      </c>
      <c r="O84" s="226">
        <f ca="1">'T10'!W50</f>
        <v>6.5</v>
      </c>
      <c r="P84" s="226">
        <f ca="1">'T11'!W50</f>
        <v>6.5</v>
      </c>
      <c r="Q84" s="226">
        <f ca="1">'T12'!W50</f>
        <v>6.5</v>
      </c>
      <c r="R84" s="227">
        <f t="shared" ca="1" si="1"/>
        <v>78</v>
      </c>
      <c r="S84" s="224"/>
      <c r="T84" s="61"/>
    </row>
    <row r="85" spans="5:21" x14ac:dyDescent="0.45">
      <c r="E85" s="225" t="str">
        <f>'Từ khóa'!F21</f>
        <v>Chi tiền cho tặng gia đình</v>
      </c>
      <c r="F85" s="226">
        <f ca="1">'T1'!W51</f>
        <v>2</v>
      </c>
      <c r="G85" s="226">
        <f ca="1">'T2'!W51</f>
        <v>1.3</v>
      </c>
      <c r="H85" s="226">
        <f ca="1">'T3'!W51</f>
        <v>0</v>
      </c>
      <c r="I85" s="226">
        <f ca="1">'T4'!W51</f>
        <v>1.4</v>
      </c>
      <c r="J85" s="226">
        <f ca="1">'T5'!W51</f>
        <v>0.5</v>
      </c>
      <c r="K85" s="226">
        <f ca="1">'T6'!W51</f>
        <v>0</v>
      </c>
      <c r="L85" s="226">
        <f ca="1">'T7'!W51</f>
        <v>0.1</v>
      </c>
      <c r="M85" s="226">
        <f ca="1">'T8'!W51</f>
        <v>0.5</v>
      </c>
      <c r="N85" s="226">
        <f ca="1">'T9'!W51</f>
        <v>0.5</v>
      </c>
      <c r="O85" s="226">
        <f ca="1">'T10'!W51</f>
        <v>0</v>
      </c>
      <c r="P85" s="226">
        <f ca="1">'T11'!W51</f>
        <v>0</v>
      </c>
      <c r="Q85" s="226">
        <f ca="1">'T12'!W51</f>
        <v>0</v>
      </c>
      <c r="R85" s="227">
        <f t="shared" ca="1" si="1"/>
        <v>6.2999999999999989</v>
      </c>
      <c r="S85" s="224"/>
      <c r="T85" s="61"/>
    </row>
    <row r="86" spans="5:21" x14ac:dyDescent="0.45">
      <c r="E86" s="225" t="str">
        <f>'Từ khóa'!F22</f>
        <v>Chi tiêu 1</v>
      </c>
      <c r="F86" s="226">
        <f ca="1">'T1'!W52</f>
        <v>0</v>
      </c>
      <c r="G86" s="226">
        <f ca="1">'T2'!W52</f>
        <v>0</v>
      </c>
      <c r="H86" s="226">
        <f ca="1">'T3'!W52</f>
        <v>0</v>
      </c>
      <c r="I86" s="226">
        <f ca="1">'T4'!W52</f>
        <v>0</v>
      </c>
      <c r="J86" s="226">
        <f ca="1">'T5'!W52</f>
        <v>0</v>
      </c>
      <c r="K86" s="226">
        <f ca="1">'T6'!W52</f>
        <v>0</v>
      </c>
      <c r="L86" s="226">
        <f ca="1">'T7'!W52</f>
        <v>0</v>
      </c>
      <c r="M86" s="226">
        <f ca="1">'T8'!W52</f>
        <v>0</v>
      </c>
      <c r="N86" s="226">
        <f ca="1">'T9'!W52</f>
        <v>0</v>
      </c>
      <c r="O86" s="226">
        <f ca="1">'T10'!W52</f>
        <v>0</v>
      </c>
      <c r="P86" s="226">
        <f ca="1">'T11'!W52</f>
        <v>0</v>
      </c>
      <c r="Q86" s="226">
        <f ca="1">'T12'!W52</f>
        <v>0</v>
      </c>
      <c r="R86" s="227">
        <f t="shared" ca="1" si="1"/>
        <v>0</v>
      </c>
      <c r="S86" s="224"/>
      <c r="T86" s="61"/>
    </row>
    <row r="87" spans="5:21" x14ac:dyDescent="0.45">
      <c r="E87" s="225" t="str">
        <f>'Từ khóa'!F23</f>
        <v>Chi tiêu 2</v>
      </c>
      <c r="F87" s="226">
        <f ca="1">'T1'!W53</f>
        <v>0</v>
      </c>
      <c r="G87" s="226">
        <f ca="1">'T2'!W53</f>
        <v>0</v>
      </c>
      <c r="H87" s="226">
        <f ca="1">'T3'!W53</f>
        <v>0</v>
      </c>
      <c r="I87" s="226">
        <f ca="1">'T4'!W53</f>
        <v>0</v>
      </c>
      <c r="J87" s="226">
        <f ca="1">'T5'!W53</f>
        <v>0</v>
      </c>
      <c r="K87" s="226">
        <f ca="1">'T6'!W53</f>
        <v>0</v>
      </c>
      <c r="L87" s="226">
        <f ca="1">'T7'!W53</f>
        <v>0</v>
      </c>
      <c r="M87" s="226">
        <f ca="1">'T8'!W53</f>
        <v>0</v>
      </c>
      <c r="N87" s="226">
        <f ca="1">'T9'!W53</f>
        <v>0</v>
      </c>
      <c r="O87" s="226">
        <f ca="1">'T10'!W53</f>
        <v>0</v>
      </c>
      <c r="P87" s="226">
        <f ca="1">'T11'!W53</f>
        <v>0</v>
      </c>
      <c r="Q87" s="226">
        <f ca="1">'T12'!W53</f>
        <v>0</v>
      </c>
      <c r="R87" s="227">
        <f t="shared" ca="1" si="1"/>
        <v>0</v>
      </c>
      <c r="S87" s="224"/>
      <c r="T87" s="61"/>
    </row>
    <row r="88" spans="5:21" x14ac:dyDescent="0.45">
      <c r="E88" s="225" t="str">
        <f>'Từ khóa'!F24</f>
        <v>Chi tiêu 3</v>
      </c>
      <c r="F88" s="226">
        <f ca="1">'T1'!W54</f>
        <v>0</v>
      </c>
      <c r="G88" s="226">
        <f ca="1">'T2'!W54</f>
        <v>0</v>
      </c>
      <c r="H88" s="226">
        <f ca="1">'T3'!W54</f>
        <v>0</v>
      </c>
      <c r="I88" s="226">
        <f ca="1">'T4'!W54</f>
        <v>0</v>
      </c>
      <c r="J88" s="226">
        <f ca="1">'T5'!W54</f>
        <v>0</v>
      </c>
      <c r="K88" s="226">
        <f ca="1">'T6'!W54</f>
        <v>0</v>
      </c>
      <c r="L88" s="226">
        <f ca="1">'T7'!W54</f>
        <v>0</v>
      </c>
      <c r="M88" s="226">
        <f ca="1">'T8'!W54</f>
        <v>0</v>
      </c>
      <c r="N88" s="226">
        <f ca="1">'T9'!W54</f>
        <v>0</v>
      </c>
      <c r="O88" s="226">
        <f ca="1">'T10'!W54</f>
        <v>0</v>
      </c>
      <c r="P88" s="226">
        <f ca="1">'T11'!W54</f>
        <v>0</v>
      </c>
      <c r="Q88" s="226">
        <f ca="1">'T12'!W54</f>
        <v>0</v>
      </c>
      <c r="R88" s="227">
        <f t="shared" ca="1" si="1"/>
        <v>0</v>
      </c>
      <c r="S88" s="224"/>
      <c r="T88" s="61"/>
    </row>
    <row r="89" spans="5:21" x14ac:dyDescent="0.45">
      <c r="E89" s="225" t="str">
        <f>'Từ khóa'!F25</f>
        <v>Chi tiêu 4</v>
      </c>
      <c r="F89" s="226">
        <f ca="1">'T1'!W55</f>
        <v>0</v>
      </c>
      <c r="G89" s="226">
        <f ca="1">'T2'!W55</f>
        <v>0</v>
      </c>
      <c r="H89" s="226">
        <f ca="1">'T3'!W55</f>
        <v>0</v>
      </c>
      <c r="I89" s="226">
        <f ca="1">'T4'!W55</f>
        <v>0</v>
      </c>
      <c r="J89" s="226">
        <f ca="1">'T5'!W55</f>
        <v>0</v>
      </c>
      <c r="K89" s="226">
        <f ca="1">'T6'!W55</f>
        <v>0</v>
      </c>
      <c r="L89" s="226">
        <f ca="1">'T7'!W55</f>
        <v>0</v>
      </c>
      <c r="M89" s="226">
        <f ca="1">'T8'!W55</f>
        <v>0</v>
      </c>
      <c r="N89" s="226">
        <f ca="1">'T9'!W55</f>
        <v>0</v>
      </c>
      <c r="O89" s="226">
        <f ca="1">'T10'!W55</f>
        <v>0</v>
      </c>
      <c r="P89" s="226">
        <f ca="1">'T11'!W55</f>
        <v>0</v>
      </c>
      <c r="Q89" s="226">
        <f ca="1">'T12'!W55</f>
        <v>0</v>
      </c>
      <c r="R89" s="227">
        <f t="shared" ca="1" si="1"/>
        <v>0</v>
      </c>
      <c r="S89" s="224"/>
      <c r="T89" s="61"/>
    </row>
    <row r="90" spans="5:21" ht="14.65" thickBot="1" x14ac:dyDescent="0.5">
      <c r="E90" s="228" t="str">
        <f>'Từ khóa'!F26</f>
        <v>Chi tiêu 5</v>
      </c>
      <c r="F90" s="229">
        <f>'T1'!W56</f>
        <v>0</v>
      </c>
      <c r="G90" s="229">
        <f>'T2'!W56</f>
        <v>0</v>
      </c>
      <c r="H90" s="229">
        <f>'T3'!W56</f>
        <v>0</v>
      </c>
      <c r="I90" s="229">
        <f>'T4'!W56</f>
        <v>0</v>
      </c>
      <c r="J90" s="229">
        <f ca="1">'T5'!W56</f>
        <v>0</v>
      </c>
      <c r="K90" s="229">
        <f ca="1">'T6'!W56</f>
        <v>0</v>
      </c>
      <c r="L90" s="229">
        <f ca="1">'T7'!W56</f>
        <v>0</v>
      </c>
      <c r="M90" s="229">
        <f ca="1">'T8'!W56</f>
        <v>0</v>
      </c>
      <c r="N90" s="229">
        <f ca="1">'T9'!W56</f>
        <v>0</v>
      </c>
      <c r="O90" s="229">
        <f ca="1">'T10'!W56</f>
        <v>0</v>
      </c>
      <c r="P90" s="229">
        <f ca="1">'T11'!W56</f>
        <v>0</v>
      </c>
      <c r="Q90" s="229">
        <f ca="1">'T12'!W56</f>
        <v>0</v>
      </c>
      <c r="R90" s="230">
        <f t="shared" ca="1" si="1"/>
        <v>0</v>
      </c>
      <c r="S90" s="231"/>
      <c r="T90" s="61"/>
    </row>
    <row r="91" spans="5:21" ht="15" thickTop="1" thickBot="1" x14ac:dyDescent="0.5">
      <c r="E91" s="232" t="s">
        <v>317</v>
      </c>
      <c r="F91" s="219">
        <f ca="1">SUBTOTAL(109,Table3[Tháng 1])</f>
        <v>17.5</v>
      </c>
      <c r="G91" s="219">
        <f ca="1">SUBTOTAL(109,Table3[Tháng 2])</f>
        <v>19.2</v>
      </c>
      <c r="H91" s="219">
        <f ca="1">SUBTOTAL(109,Table3[Tháng 3])</f>
        <v>19.25</v>
      </c>
      <c r="I91" s="219">
        <f ca="1">SUBTOTAL(109,Table3[Tháng 4])</f>
        <v>17.25</v>
      </c>
      <c r="J91" s="219">
        <f ca="1">SUBTOTAL(109,Table3[Tháng 5])</f>
        <v>16.600000000000001</v>
      </c>
      <c r="K91" s="219">
        <f ca="1">SUBTOTAL(109,Table3[Tháng 6])</f>
        <v>14.95</v>
      </c>
      <c r="L91" s="219">
        <f ca="1">SUBTOTAL(109,Table3[Tháng 7])</f>
        <v>18.25</v>
      </c>
      <c r="M91" s="219">
        <f ca="1">SUBTOTAL(109,Table3[Tháng 8])</f>
        <v>22.55</v>
      </c>
      <c r="N91" s="219">
        <f ca="1">SUBTOTAL(109,Table3[Tháng 9])</f>
        <v>17.450000000000003</v>
      </c>
      <c r="O91" s="219">
        <f ca="1">SUBTOTAL(109,Table3[Tháng 10])</f>
        <v>17.95</v>
      </c>
      <c r="P91" s="219">
        <f ca="1">SUBTOTAL(109,Table3[Tháng 11])</f>
        <v>17.75</v>
      </c>
      <c r="Q91" s="219">
        <f ca="1">SUBTOTAL(109,Table3[Tháng 12])</f>
        <v>25.05</v>
      </c>
      <c r="R91" s="219">
        <f ca="1">SUBTOTAL(109,Table3[Tổng])</f>
        <v>223.75000000000003</v>
      </c>
      <c r="S91" s="234"/>
      <c r="T91" s="61"/>
    </row>
    <row r="92" spans="5:21" x14ac:dyDescent="0.45">
      <c r="E92" s="235" t="s">
        <v>315</v>
      </c>
      <c r="F92" s="236">
        <f>'Kế hoạch thu nhập và chi tiêu'!$L$41</f>
        <v>18.5</v>
      </c>
      <c r="G92" s="236">
        <f>'Kế hoạch thu nhập và chi tiêu'!$L$41</f>
        <v>18.5</v>
      </c>
      <c r="H92" s="236">
        <f>'Kế hoạch thu nhập và chi tiêu'!$L$41</f>
        <v>18.5</v>
      </c>
      <c r="I92" s="236">
        <f>'Kế hoạch thu nhập và chi tiêu'!$L$41</f>
        <v>18.5</v>
      </c>
      <c r="J92" s="236">
        <f>'Kế hoạch thu nhập và chi tiêu'!$L$41</f>
        <v>18.5</v>
      </c>
      <c r="K92" s="236">
        <f>'Kế hoạch thu nhập và chi tiêu'!$L$41</f>
        <v>18.5</v>
      </c>
      <c r="L92" s="236">
        <f>'Kế hoạch thu nhập và chi tiêu'!$L$41</f>
        <v>18.5</v>
      </c>
      <c r="M92" s="236">
        <f>'Kế hoạch thu nhập và chi tiêu'!$L$41</f>
        <v>18.5</v>
      </c>
      <c r="N92" s="236">
        <f>'Kế hoạch thu nhập và chi tiêu'!$L$41</f>
        <v>18.5</v>
      </c>
      <c r="O92" s="236">
        <f>'Kế hoạch thu nhập và chi tiêu'!$L$41</f>
        <v>18.5</v>
      </c>
      <c r="P92" s="236">
        <f>'Kế hoạch thu nhập và chi tiêu'!$L$41</f>
        <v>18.5</v>
      </c>
      <c r="Q92" s="236">
        <f>'Kế hoạch thu nhập và chi tiêu'!$L$41</f>
        <v>18.5</v>
      </c>
      <c r="R92" s="237"/>
      <c r="S92" s="224"/>
      <c r="T92" s="61"/>
    </row>
    <row r="93" spans="5:21" ht="14.65" thickBot="1" x14ac:dyDescent="0.5">
      <c r="E93" s="238" t="s">
        <v>342</v>
      </c>
      <c r="F93" s="239">
        <f ca="1">F92-Table3[[#Totals],[Tháng 1]]</f>
        <v>1</v>
      </c>
      <c r="G93" s="239">
        <f ca="1">F93+G92-Table3[[#Totals],[Tháng 2]]</f>
        <v>0.30000000000000071</v>
      </c>
      <c r="H93" s="239">
        <f ca="1">G93+H92-Table3[[#Totals],[Tháng 3]]</f>
        <v>-0.44999999999999929</v>
      </c>
      <c r="I93" s="239">
        <f ca="1">H93+I92-Table3[[#Totals],[Tháng 4]]</f>
        <v>0.80000000000000071</v>
      </c>
      <c r="J93" s="239">
        <f ca="1">I93+J92-Table3[[#Totals],[Tháng 5]]</f>
        <v>2.6999999999999993</v>
      </c>
      <c r="K93" s="239">
        <f ca="1">J93+K92-Table3[[#Totals],[Tháng 6]]</f>
        <v>6.25</v>
      </c>
      <c r="L93" s="239">
        <f ca="1">K93+L92-Table3[[#Totals],[Tháng 7]]</f>
        <v>6.5</v>
      </c>
      <c r="M93" s="239">
        <f ca="1">L93+M92-Table3[[#Totals],[Tháng 8]]</f>
        <v>2.4499999999999993</v>
      </c>
      <c r="N93" s="239">
        <f ca="1">M93+N92-Table3[[#Totals],[Tháng 9]]</f>
        <v>3.4999999999999964</v>
      </c>
      <c r="O93" s="239">
        <f ca="1">N93+O92-Table3[[#Totals],[Tháng 10]]</f>
        <v>4.0499999999999972</v>
      </c>
      <c r="P93" s="239">
        <f ca="1">O93+P92-Table3[[#Totals],[Tháng 11]]</f>
        <v>4.7999999999999972</v>
      </c>
      <c r="Q93" s="239">
        <f ca="1">P93+Q92-Table3[[#Totals],[Tháng 12]]</f>
        <v>-1.7500000000000036</v>
      </c>
      <c r="R93" s="240"/>
      <c r="S93" s="233"/>
      <c r="T93" s="61"/>
    </row>
    <row r="94" spans="5:21" ht="14.65" thickBot="1" x14ac:dyDescent="0.5"/>
    <row r="95" spans="5:21" ht="15.4" thickBot="1" x14ac:dyDescent="0.5">
      <c r="E95" s="206" t="s">
        <v>96</v>
      </c>
      <c r="F95" s="207" t="s">
        <v>131</v>
      </c>
      <c r="G95" s="207" t="s">
        <v>137</v>
      </c>
      <c r="H95" s="207" t="s">
        <v>138</v>
      </c>
      <c r="I95" s="207" t="s">
        <v>139</v>
      </c>
      <c r="J95" s="207" t="s">
        <v>140</v>
      </c>
      <c r="K95" s="207" t="s">
        <v>141</v>
      </c>
      <c r="L95" s="207" t="s">
        <v>142</v>
      </c>
      <c r="M95" s="207" t="s">
        <v>145</v>
      </c>
      <c r="N95" s="207" t="s">
        <v>154</v>
      </c>
      <c r="O95" s="207" t="s">
        <v>155</v>
      </c>
      <c r="P95" s="207" t="s">
        <v>156</v>
      </c>
      <c r="Q95" s="207" t="s">
        <v>157</v>
      </c>
      <c r="R95" s="208" t="s">
        <v>148</v>
      </c>
      <c r="S95" s="210" t="s">
        <v>314</v>
      </c>
      <c r="T95" s="60"/>
      <c r="U95" s="60"/>
    </row>
    <row r="96" spans="5:21" ht="14.65" thickBot="1" x14ac:dyDescent="0.5">
      <c r="E96" s="241" t="s">
        <v>49</v>
      </c>
      <c r="F96" s="242">
        <f ca="1">Table2[[#Totals],[Tháng 1]]-Table3[[#Totals],[Tháng 1]]</f>
        <v>6.5</v>
      </c>
      <c r="G96" s="242">
        <f ca="1">Table2[[#Totals],[Tháng 2]]-Table3[[#Totals],[Tháng 2]]</f>
        <v>10.3</v>
      </c>
      <c r="H96" s="242">
        <f ca="1">Table2[[#Totals],[Tháng 3]]-Table3[[#Totals],[Tháng 3]]</f>
        <v>4.4499999999999993</v>
      </c>
      <c r="I96" s="242">
        <f ca="1">Table2[[#Totals],[Tháng 4]]-Table3[[#Totals],[Tháng 4]]</f>
        <v>6.6499999999999986</v>
      </c>
      <c r="J96" s="242">
        <f ca="1">Table2[[#Totals],[Tháng 5]]-Table3[[#Totals],[Tháng 5]]</f>
        <v>16.199999999999996</v>
      </c>
      <c r="K96" s="242">
        <f ca="1">Table2[[#Totals],[Tháng 6]]-Table3[[#Totals],[Tháng 6]]</f>
        <v>12.55</v>
      </c>
      <c r="L96" s="242">
        <f ca="1">Table2[[#Totals],[Tháng 7]]-Table3[[#Totals],[Tháng 7]]</f>
        <v>10.75</v>
      </c>
      <c r="M96" s="242">
        <f ca="1">Table2[[#Totals],[Tháng 8]]-Table3[[#Totals],[Tháng 8]]</f>
        <v>2.4499999999999993</v>
      </c>
      <c r="N96" s="242">
        <f ca="1">Table2[[#Totals],[Tháng 9]]-Table3[[#Totals],[Tháng 9]]</f>
        <v>9.5499999999999972</v>
      </c>
      <c r="O96" s="242">
        <f ca="1">Table2[[#Totals],[Tháng 10]]-Table3[[#Totals],[Tháng 10]]</f>
        <v>10.050000000000001</v>
      </c>
      <c r="P96" s="242">
        <f ca="1">Table2[[#Totals],[Tháng 11]]-Table3[[#Totals],[Tháng 11]]</f>
        <v>6.25</v>
      </c>
      <c r="Q96" s="242">
        <f ca="1">Table2[[#Totals],[Tháng 12]]-Table3[[#Totals],[Tháng 12]]</f>
        <v>9.9499999999999993</v>
      </c>
      <c r="R96" s="243">
        <f ca="1">SUM(F96:Q96)</f>
        <v>105.64999999999999</v>
      </c>
      <c r="S96" s="233"/>
      <c r="T96" s="61"/>
    </row>
    <row r="97" spans="5:21" ht="14.65" thickBot="1" x14ac:dyDescent="0.5"/>
    <row r="98" spans="5:21" ht="15.4" thickBot="1" x14ac:dyDescent="0.5">
      <c r="E98" s="204" t="s">
        <v>339</v>
      </c>
      <c r="F98" s="205" t="s">
        <v>131</v>
      </c>
      <c r="G98" s="205" t="s">
        <v>137</v>
      </c>
      <c r="H98" s="205" t="s">
        <v>138</v>
      </c>
      <c r="I98" s="205" t="s">
        <v>139</v>
      </c>
      <c r="J98" s="205" t="s">
        <v>140</v>
      </c>
      <c r="K98" s="205" t="s">
        <v>141</v>
      </c>
      <c r="L98" s="205" t="s">
        <v>142</v>
      </c>
      <c r="M98" s="205" t="s">
        <v>145</v>
      </c>
      <c r="N98" s="205" t="s">
        <v>154</v>
      </c>
      <c r="O98" s="205" t="s">
        <v>155</v>
      </c>
      <c r="P98" s="205" t="s">
        <v>156</v>
      </c>
      <c r="Q98" s="205" t="s">
        <v>157</v>
      </c>
      <c r="R98" s="204" t="s">
        <v>148</v>
      </c>
      <c r="S98" s="211" t="s">
        <v>314</v>
      </c>
      <c r="T98" s="60"/>
      <c r="U98" s="60"/>
    </row>
    <row r="99" spans="5:21" x14ac:dyDescent="0.45">
      <c r="E99" s="221" t="str">
        <f>'Từ khóa'!S12</f>
        <v>Mua sách</v>
      </c>
      <c r="F99" s="244">
        <f ca="1">'T1'!AE92</f>
        <v>0.1</v>
      </c>
      <c r="G99" s="244">
        <f ca="1">'T2'!AE92</f>
        <v>0.5</v>
      </c>
      <c r="H99" s="244">
        <f ca="1">'T3'!AE92</f>
        <v>0.3</v>
      </c>
      <c r="I99" s="244">
        <f ca="1">'T4'!AE92</f>
        <v>0.1</v>
      </c>
      <c r="J99" s="244">
        <f ca="1">'T5'!AE92</f>
        <v>0.3</v>
      </c>
      <c r="K99" s="244">
        <f ca="1">'T6'!AE92</f>
        <v>0.1</v>
      </c>
      <c r="L99" s="244">
        <f ca="1">'T7'!AE92</f>
        <v>0.5</v>
      </c>
      <c r="M99" s="244">
        <f ca="1">'T8'!AE92</f>
        <v>0.5</v>
      </c>
      <c r="N99" s="244">
        <f ca="1">'T9'!AE92</f>
        <v>0.5</v>
      </c>
      <c r="O99" s="244">
        <f ca="1">'T10'!AE92</f>
        <v>1</v>
      </c>
      <c r="P99" s="244">
        <f ca="1">'T11'!AE92</f>
        <v>0.5</v>
      </c>
      <c r="Q99" s="244">
        <f ca="1">'T12'!AE92</f>
        <v>0.5</v>
      </c>
      <c r="R99" s="245">
        <f ca="1">SUM(F99:Q99)</f>
        <v>4.9000000000000004</v>
      </c>
      <c r="S99" s="224"/>
      <c r="T99" s="61"/>
    </row>
    <row r="100" spans="5:21" x14ac:dyDescent="0.45">
      <c r="E100" s="225" t="str">
        <f>'Từ khóa'!S13</f>
        <v>Khóa học ngắn hạn</v>
      </c>
      <c r="F100" s="246">
        <f ca="1">'T1'!AE93</f>
        <v>1</v>
      </c>
      <c r="G100" s="246">
        <f ca="1">'T2'!AE93</f>
        <v>1</v>
      </c>
      <c r="H100" s="246">
        <f ca="1">'T3'!AE93</f>
        <v>1.2</v>
      </c>
      <c r="I100" s="246">
        <f ca="1">'T4'!AE93</f>
        <v>1.2</v>
      </c>
      <c r="J100" s="246">
        <f ca="1">'T5'!AE93</f>
        <v>1.7</v>
      </c>
      <c r="K100" s="246">
        <f ca="1">'T6'!AE93</f>
        <v>1</v>
      </c>
      <c r="L100" s="246">
        <f ca="1">'T7'!AE93</f>
        <v>0.6</v>
      </c>
      <c r="M100" s="246">
        <f ca="1">'T8'!AE93</f>
        <v>2.6</v>
      </c>
      <c r="N100" s="246">
        <f ca="1">'T9'!AE93</f>
        <v>0.3</v>
      </c>
      <c r="O100" s="246">
        <f ca="1">'T10'!AE93</f>
        <v>1.1000000000000001</v>
      </c>
      <c r="P100" s="246">
        <f ca="1">'T11'!AE93</f>
        <v>1</v>
      </c>
      <c r="Q100" s="246">
        <f ca="1">'T12'!AE93</f>
        <v>1</v>
      </c>
      <c r="R100" s="247">
        <f t="shared" ref="R100:R108" ca="1" si="2">SUM(F100:Q100)</f>
        <v>13.700000000000001</v>
      </c>
      <c r="S100" s="224"/>
      <c r="T100" s="61"/>
    </row>
    <row r="101" spans="5:21" x14ac:dyDescent="0.45">
      <c r="E101" s="225" t="str">
        <f>'Từ khóa'!S14</f>
        <v>Khóa học dài hạn</v>
      </c>
      <c r="F101" s="246">
        <f ca="1">'T1'!AE94</f>
        <v>0</v>
      </c>
      <c r="G101" s="246">
        <f ca="1">'T2'!AE94</f>
        <v>0</v>
      </c>
      <c r="H101" s="246">
        <f ca="1">'T3'!AE94</f>
        <v>0</v>
      </c>
      <c r="I101" s="246">
        <f ca="1">'T4'!AE94</f>
        <v>0</v>
      </c>
      <c r="J101" s="246">
        <f ca="1">'T5'!AE94</f>
        <v>0</v>
      </c>
      <c r="K101" s="246">
        <f ca="1">'T6'!AE94</f>
        <v>0</v>
      </c>
      <c r="L101" s="246">
        <f ca="1">'T7'!AE94</f>
        <v>0</v>
      </c>
      <c r="M101" s="246">
        <f ca="1">'T8'!AE94</f>
        <v>0</v>
      </c>
      <c r="N101" s="246">
        <f ca="1">'T9'!AE94</f>
        <v>0</v>
      </c>
      <c r="O101" s="246">
        <f ca="1">'T10'!AE94</f>
        <v>0</v>
      </c>
      <c r="P101" s="246">
        <f ca="1">'T11'!AE94</f>
        <v>0</v>
      </c>
      <c r="Q101" s="246">
        <f ca="1">'T12'!AE94</f>
        <v>0</v>
      </c>
      <c r="R101" s="247">
        <f t="shared" ca="1" si="2"/>
        <v>0</v>
      </c>
      <c r="S101" s="224"/>
      <c r="T101" s="61"/>
    </row>
    <row r="102" spans="5:21" x14ac:dyDescent="0.45">
      <c r="E102" s="225" t="e">
        <f>'Từ khóa'!#REF!</f>
        <v>#REF!</v>
      </c>
      <c r="F102" s="246">
        <f ca="1">'T1'!AE95</f>
        <v>0</v>
      </c>
      <c r="G102" s="246">
        <f ca="1">'T2'!AE95</f>
        <v>0</v>
      </c>
      <c r="H102" s="246">
        <f ca="1">'T3'!AE95</f>
        <v>0</v>
      </c>
      <c r="I102" s="246">
        <f ca="1">'T4'!AE95</f>
        <v>0</v>
      </c>
      <c r="J102" s="246">
        <f ca="1">'T5'!AE95</f>
        <v>0</v>
      </c>
      <c r="K102" s="246">
        <f ca="1">'T6'!AE95</f>
        <v>0</v>
      </c>
      <c r="L102" s="246">
        <f ca="1">'T7'!AE95</f>
        <v>0</v>
      </c>
      <c r="M102" s="246">
        <f ca="1">'T8'!AE95</f>
        <v>0</v>
      </c>
      <c r="N102" s="246">
        <f ca="1">'T9'!AE95</f>
        <v>0</v>
      </c>
      <c r="O102" s="246">
        <f ca="1">'T10'!AE95</f>
        <v>0</v>
      </c>
      <c r="P102" s="246">
        <f ca="1">'T11'!AE95</f>
        <v>0</v>
      </c>
      <c r="Q102" s="246">
        <f ca="1">'T12'!AE95</f>
        <v>0</v>
      </c>
      <c r="R102" s="247">
        <f t="shared" ca="1" si="2"/>
        <v>0</v>
      </c>
      <c r="S102" s="224"/>
      <c r="T102" s="61"/>
    </row>
    <row r="103" spans="5:21" x14ac:dyDescent="0.45">
      <c r="E103" s="225" t="str">
        <f>'Từ khóa'!S15</f>
        <v>Tham gia các buổi diễn thuyết</v>
      </c>
      <c r="F103" s="246">
        <f ca="1">'T1'!AE96</f>
        <v>0</v>
      </c>
      <c r="G103" s="246">
        <f ca="1">'T2'!AE96</f>
        <v>0</v>
      </c>
      <c r="H103" s="246">
        <f ca="1">'T3'!AE96</f>
        <v>0</v>
      </c>
      <c r="I103" s="246">
        <f ca="1">'T4'!AE96</f>
        <v>0</v>
      </c>
      <c r="J103" s="246">
        <f ca="1">'T5'!AE96</f>
        <v>0</v>
      </c>
      <c r="K103" s="246">
        <f ca="1">'T6'!AE96</f>
        <v>0</v>
      </c>
      <c r="L103" s="246">
        <f ca="1">'T7'!AE96</f>
        <v>0</v>
      </c>
      <c r="M103" s="246">
        <f ca="1">'T8'!AE96</f>
        <v>0</v>
      </c>
      <c r="N103" s="246">
        <f ca="1">'T9'!AE96</f>
        <v>0</v>
      </c>
      <c r="O103" s="246">
        <f ca="1">'T10'!AE96</f>
        <v>0</v>
      </c>
      <c r="P103" s="246">
        <f ca="1">'T11'!AE96</f>
        <v>0</v>
      </c>
      <c r="Q103" s="246">
        <f ca="1">'T12'!AE96</f>
        <v>0</v>
      </c>
      <c r="R103" s="247">
        <f t="shared" ca="1" si="2"/>
        <v>0</v>
      </c>
      <c r="S103" s="224"/>
      <c r="T103" s="61"/>
    </row>
    <row r="104" spans="5:21" x14ac:dyDescent="0.45">
      <c r="E104" s="225" t="str">
        <f>'Từ khóa'!S16</f>
        <v>Chi phát triển bản thân khác</v>
      </c>
      <c r="F104" s="246">
        <f ca="1">'T1'!AE97</f>
        <v>0</v>
      </c>
      <c r="G104" s="246">
        <f ca="1">'T2'!AE97</f>
        <v>0.8</v>
      </c>
      <c r="H104" s="246">
        <f ca="1">'T3'!AE97</f>
        <v>0</v>
      </c>
      <c r="I104" s="246">
        <f ca="1">'T4'!AE97</f>
        <v>0</v>
      </c>
      <c r="J104" s="246">
        <f ca="1">'T5'!AE97</f>
        <v>0</v>
      </c>
      <c r="K104" s="246">
        <f ca="1">'T6'!AE97</f>
        <v>0</v>
      </c>
      <c r="L104" s="246">
        <f ca="1">'T7'!AE97</f>
        <v>0</v>
      </c>
      <c r="M104" s="246">
        <f ca="1">'T8'!AE97</f>
        <v>0</v>
      </c>
      <c r="N104" s="246">
        <f ca="1">'T9'!AE97</f>
        <v>0</v>
      </c>
      <c r="O104" s="246">
        <f ca="1">'T10'!AE97</f>
        <v>0</v>
      </c>
      <c r="P104" s="246">
        <f ca="1">'T11'!AE97</f>
        <v>0</v>
      </c>
      <c r="Q104" s="246">
        <f ca="1">'T12'!AE97</f>
        <v>0</v>
      </c>
      <c r="R104" s="247">
        <f t="shared" ca="1" si="2"/>
        <v>0.8</v>
      </c>
      <c r="S104" s="224"/>
    </row>
    <row r="105" spans="5:21" x14ac:dyDescent="0.45">
      <c r="E105" s="225">
        <f>'Từ khóa'!S18</f>
        <v>0</v>
      </c>
      <c r="F105" s="246">
        <f ca="1">'T1'!AE98</f>
        <v>0</v>
      </c>
      <c r="G105" s="246">
        <f ca="1">'T2'!AE98</f>
        <v>0</v>
      </c>
      <c r="H105" s="246">
        <f ca="1">'T3'!AE98</f>
        <v>0</v>
      </c>
      <c r="I105" s="246">
        <f ca="1">'T4'!AE98</f>
        <v>0</v>
      </c>
      <c r="J105" s="246">
        <f ca="1">'T5'!AE98</f>
        <v>0</v>
      </c>
      <c r="K105" s="246">
        <f ca="1">'T6'!AE98</f>
        <v>0</v>
      </c>
      <c r="L105" s="246">
        <f ca="1">'T7'!AE98</f>
        <v>0</v>
      </c>
      <c r="M105" s="246">
        <f ca="1">'T8'!AE98</f>
        <v>0</v>
      </c>
      <c r="N105" s="246">
        <f ca="1">'T9'!AE98</f>
        <v>0</v>
      </c>
      <c r="O105" s="246">
        <f ca="1">'T10'!AE98</f>
        <v>0</v>
      </c>
      <c r="P105" s="246">
        <f ca="1">'T11'!AE98</f>
        <v>0</v>
      </c>
      <c r="Q105" s="246">
        <f ca="1">'T12'!AE98</f>
        <v>0</v>
      </c>
      <c r="R105" s="247">
        <f t="shared" ca="1" si="2"/>
        <v>0</v>
      </c>
      <c r="S105" s="224"/>
    </row>
    <row r="106" spans="5:21" x14ac:dyDescent="0.45">
      <c r="E106" s="225">
        <f>'Từ khóa'!S19</f>
        <v>0</v>
      </c>
      <c r="F106" s="246">
        <f ca="1">'T1'!AE99</f>
        <v>0</v>
      </c>
      <c r="G106" s="246">
        <f ca="1">'T2'!AE99</f>
        <v>0</v>
      </c>
      <c r="H106" s="246">
        <f ca="1">'T3'!AE99</f>
        <v>0</v>
      </c>
      <c r="I106" s="246">
        <f ca="1">'T4'!AE99</f>
        <v>0</v>
      </c>
      <c r="J106" s="246">
        <f ca="1">'T5'!AE99</f>
        <v>0</v>
      </c>
      <c r="K106" s="246">
        <f ca="1">'T6'!AE99</f>
        <v>0</v>
      </c>
      <c r="L106" s="246">
        <f ca="1">'T7'!AE99</f>
        <v>0</v>
      </c>
      <c r="M106" s="246">
        <f ca="1">'T8'!AE99</f>
        <v>0</v>
      </c>
      <c r="N106" s="246">
        <f ca="1">'T9'!AE99</f>
        <v>0</v>
      </c>
      <c r="O106" s="246">
        <f ca="1">'T10'!AE99</f>
        <v>0</v>
      </c>
      <c r="P106" s="246">
        <f ca="1">'T11'!AE99</f>
        <v>0</v>
      </c>
      <c r="Q106" s="246">
        <f ca="1">'T12'!AE99</f>
        <v>0</v>
      </c>
      <c r="R106" s="247">
        <f t="shared" ca="1" si="2"/>
        <v>0</v>
      </c>
      <c r="S106" s="224"/>
    </row>
    <row r="107" spans="5:21" x14ac:dyDescent="0.45">
      <c r="E107" s="225">
        <f>'Từ khóa'!S20</f>
        <v>0</v>
      </c>
      <c r="F107" s="246">
        <f ca="1">'T1'!AE100</f>
        <v>0</v>
      </c>
      <c r="G107" s="246">
        <f ca="1">'T2'!AE100</f>
        <v>0</v>
      </c>
      <c r="H107" s="246">
        <f ca="1">'T3'!AE100</f>
        <v>0</v>
      </c>
      <c r="I107" s="246">
        <f ca="1">'T4'!AE100</f>
        <v>0</v>
      </c>
      <c r="J107" s="246">
        <f ca="1">'T5'!AE100</f>
        <v>0</v>
      </c>
      <c r="K107" s="246">
        <f ca="1">'T6'!AE100</f>
        <v>0</v>
      </c>
      <c r="L107" s="246">
        <f ca="1">'T7'!AE100</f>
        <v>0</v>
      </c>
      <c r="M107" s="246">
        <f ca="1">'T8'!AE100</f>
        <v>0</v>
      </c>
      <c r="N107" s="246">
        <f ca="1">'T9'!AE100</f>
        <v>0</v>
      </c>
      <c r="O107" s="246">
        <f ca="1">'T10'!AE100</f>
        <v>0</v>
      </c>
      <c r="P107" s="246">
        <f ca="1">'T11'!AE100</f>
        <v>0</v>
      </c>
      <c r="Q107" s="246">
        <f ca="1">'T12'!AE100</f>
        <v>0</v>
      </c>
      <c r="R107" s="247">
        <f t="shared" ca="1" si="2"/>
        <v>0</v>
      </c>
      <c r="S107" s="224"/>
    </row>
    <row r="108" spans="5:21" ht="14.65" thickBot="1" x14ac:dyDescent="0.5">
      <c r="E108" s="248">
        <f>'Từ khóa'!S21</f>
        <v>0</v>
      </c>
      <c r="F108" s="249">
        <f ca="1">'T1'!AE101</f>
        <v>0</v>
      </c>
      <c r="G108" s="249">
        <f ca="1">'T2'!AE101</f>
        <v>0</v>
      </c>
      <c r="H108" s="249">
        <f ca="1">'T3'!AE101</f>
        <v>0</v>
      </c>
      <c r="I108" s="249">
        <f ca="1">'T4'!AE101</f>
        <v>0</v>
      </c>
      <c r="J108" s="249">
        <f ca="1">'T5'!AE101</f>
        <v>0</v>
      </c>
      <c r="K108" s="249">
        <f ca="1">'T6'!AE101</f>
        <v>0</v>
      </c>
      <c r="L108" s="249">
        <f ca="1">'T7'!AE101</f>
        <v>0</v>
      </c>
      <c r="M108" s="249">
        <f ca="1">'T8'!AE101</f>
        <v>0</v>
      </c>
      <c r="N108" s="249">
        <f ca="1">'T9'!AE101</f>
        <v>0</v>
      </c>
      <c r="O108" s="249">
        <f ca="1">'T10'!AE101</f>
        <v>0</v>
      </c>
      <c r="P108" s="249">
        <f ca="1">'T11'!AE101</f>
        <v>0</v>
      </c>
      <c r="Q108" s="249">
        <f ca="1">'T12'!AE101</f>
        <v>0</v>
      </c>
      <c r="R108" s="250">
        <f t="shared" ca="1" si="2"/>
        <v>0</v>
      </c>
      <c r="S108" s="231"/>
    </row>
    <row r="109" spans="5:21" ht="15" thickTop="1" thickBot="1" x14ac:dyDescent="0.5">
      <c r="E109" s="251" t="s">
        <v>148</v>
      </c>
      <c r="F109" s="252">
        <f ca="1">SUBTOTAL(109,Table4[Tháng 1])</f>
        <v>1.1000000000000001</v>
      </c>
      <c r="G109" s="252">
        <f ca="1">SUBTOTAL(109,Table4[Tháng 2])</f>
        <v>2.2999999999999998</v>
      </c>
      <c r="H109" s="252">
        <f ca="1">SUBTOTAL(109,Table4[Tháng 3])</f>
        <v>1.5</v>
      </c>
      <c r="I109" s="252">
        <f ca="1">SUBTOTAL(109,Table4[Tháng 4])</f>
        <v>1.3</v>
      </c>
      <c r="J109" s="252">
        <f ca="1">SUBTOTAL(109,Table4[Tháng 5])</f>
        <v>2</v>
      </c>
      <c r="K109" s="252">
        <f ca="1">SUBTOTAL(109,Table4[Tháng 6])</f>
        <v>1.1000000000000001</v>
      </c>
      <c r="L109" s="252">
        <f ca="1">SUBTOTAL(109,Table4[Tháng 7])</f>
        <v>1.1000000000000001</v>
      </c>
      <c r="M109" s="252">
        <f ca="1">SUBTOTAL(109,Table4[Tháng 8])</f>
        <v>3.1</v>
      </c>
      <c r="N109" s="252">
        <f ca="1">SUBTOTAL(109,Table4[Tháng 9])</f>
        <v>0.8</v>
      </c>
      <c r="O109" s="252">
        <f ca="1">SUBTOTAL(109,Table4[Tháng 10])</f>
        <v>2.1</v>
      </c>
      <c r="P109" s="252">
        <f ca="1">SUBTOTAL(109,Table4[Tháng 11])</f>
        <v>1.5</v>
      </c>
      <c r="Q109" s="252">
        <f ca="1">SUBTOTAL(109,Table4[Tháng 12])</f>
        <v>1.5</v>
      </c>
      <c r="R109" s="252">
        <f ca="1">SUBTOTAL(109,Table4[Tổng])</f>
        <v>19.400000000000002</v>
      </c>
      <c r="S109" s="233"/>
    </row>
  </sheetData>
  <sheetProtection algorithmName="SHA-512" hashValue="voBwSVyJlTwVTZ2hOUTFz2EAL6qZTR21dUL9lePJOweuFwTc879wVWf0SEGT/xpAkCwYZsQIlSDF7+4rkLdWIg==" saltValue="SdRGaYPknpu/0b7weH9FmA==" spinCount="100000" sheet="1" formatCells="0" formatColumns="0" formatRows="0" sort="0" autoFilter="0" pivotTables="0"/>
  <mergeCells count="13">
    <mergeCell ref="R26:S27"/>
    <mergeCell ref="E26:E27"/>
    <mergeCell ref="E1:P3"/>
    <mergeCell ref="F26:G27"/>
    <mergeCell ref="I26:K27"/>
    <mergeCell ref="L26:M27"/>
    <mergeCell ref="O26:Q27"/>
    <mergeCell ref="L6:M7"/>
    <mergeCell ref="R6:S7"/>
    <mergeCell ref="F6:G7"/>
    <mergeCell ref="O6:Q7"/>
    <mergeCell ref="E6:E7"/>
    <mergeCell ref="I6:K7"/>
  </mergeCells>
  <pageMargins left="0.7" right="0.7" top="0.75" bottom="0.75" header="0.3" footer="0.3"/>
  <pageSetup scale="31" orientation="portrait" r:id="rId1"/>
  <drawing r:id="rId2"/>
  <tableParts count="3">
    <tablePart r:id="rId3"/>
    <tablePart r:id="rId4"/>
    <tablePart r:id="rId5"/>
  </tableParts>
  <extLst>
    <ext xmlns:x14="http://schemas.microsoft.com/office/spreadsheetml/2009/9/main" uri="{05C60535-1F16-4fd2-B633-F4F36F0B64E0}">
      <x14:sparklineGroups xmlns:xm="http://schemas.microsoft.com/office/excel/2006/main">
        <x14:sparklineGroup displayEmptyCellsAs="gap" xr2:uid="{00000000-0003-0000-0100-000003000000}">
          <x14:colorSeries rgb="FF376092"/>
          <x14:colorNegative rgb="FFD00000"/>
          <x14:colorAxis rgb="FF000000"/>
          <x14:colorMarkers rgb="FFD00000"/>
          <x14:colorFirst rgb="FFD00000"/>
          <x14:colorLast rgb="FFD00000"/>
          <x14:colorHigh rgb="FFD00000"/>
          <x14:colorLow rgb="FFD00000"/>
          <x14:sparklines>
            <x14:sparkline>
              <xm:f>Dashboard!F96:Q96</xm:f>
              <xm:sqref>S96</xm:sqref>
            </x14:sparkline>
          </x14:sparklines>
        </x14:sparklineGroup>
        <x14:sparklineGroup displayEmptyCellsAs="gap" xr2:uid="{00000000-0003-0000-0100-000002000000}">
          <x14:colorSeries rgb="FF376092"/>
          <x14:colorNegative rgb="FFD00000"/>
          <x14:colorAxis rgb="FF000000"/>
          <x14:colorMarkers rgb="FFD00000"/>
          <x14:colorFirst rgb="FFD00000"/>
          <x14:colorLast rgb="FFD00000"/>
          <x14:colorHigh rgb="FFD00000"/>
          <x14:colorLow rgb="FFD00000"/>
          <x14:sparklines>
            <x14:sparkline>
              <xm:f>Dashboard!F99:Q99</xm:f>
              <xm:sqref>S99</xm:sqref>
            </x14:sparkline>
            <x14:sparkline>
              <xm:f>Dashboard!F100:Q100</xm:f>
              <xm:sqref>S100</xm:sqref>
            </x14:sparkline>
            <x14:sparkline>
              <xm:f>Dashboard!F101:Q101</xm:f>
              <xm:sqref>S101</xm:sqref>
            </x14:sparkline>
            <x14:sparkline>
              <xm:f>Dashboard!F102:Q102</xm:f>
              <xm:sqref>S102</xm:sqref>
            </x14:sparkline>
            <x14:sparkline>
              <xm:f>Dashboard!F103:Q103</xm:f>
              <xm:sqref>S103</xm:sqref>
            </x14:sparkline>
            <x14:sparkline>
              <xm:f>Dashboard!F104:Q104</xm:f>
              <xm:sqref>S104</xm:sqref>
            </x14:sparkline>
            <x14:sparkline>
              <xm:f>Dashboard!F105:Q105</xm:f>
              <xm:sqref>S105</xm:sqref>
            </x14:sparkline>
            <x14:sparkline>
              <xm:f>Dashboard!F106:Q106</xm:f>
              <xm:sqref>S106</xm:sqref>
            </x14:sparkline>
            <x14:sparkline>
              <xm:f>Dashboard!F107:Q107</xm:f>
              <xm:sqref>S107</xm:sqref>
            </x14:sparkline>
            <x14:sparkline>
              <xm:f>Dashboard!F108:Q108</xm:f>
              <xm:sqref>S108</xm:sqref>
            </x14:sparkline>
            <x14:sparkline>
              <xm:f>Dashboard!F109:Q109</xm:f>
              <xm:sqref>S109</xm:sqref>
            </x14:sparkline>
          </x14:sparklines>
        </x14:sparklineGroup>
        <x14:sparklineGroup displayEmptyCellsAs="gap" xr2:uid="{00000000-0003-0000-0100-000001000000}">
          <x14:colorSeries rgb="FF376092"/>
          <x14:colorNegative rgb="FFD00000"/>
          <x14:colorAxis rgb="FF000000"/>
          <x14:colorMarkers rgb="FFD00000"/>
          <x14:colorFirst rgb="FFD00000"/>
          <x14:colorLast rgb="FFD00000"/>
          <x14:colorHigh rgb="FFD00000"/>
          <x14:colorLow rgb="FFD00000"/>
          <x14:sparklines>
            <x14:sparkline>
              <xm:f>Dashboard!F76:Q76</xm:f>
              <xm:sqref>S76</xm:sqref>
            </x14:sparkline>
            <x14:sparkline>
              <xm:f>Dashboard!F77:Q77</xm:f>
              <xm:sqref>S77</xm:sqref>
            </x14:sparkline>
            <x14:sparkline>
              <xm:f>Dashboard!F78:Q78</xm:f>
              <xm:sqref>S78</xm:sqref>
            </x14:sparkline>
            <x14:sparkline>
              <xm:f>Dashboard!F79:Q79</xm:f>
              <xm:sqref>S79</xm:sqref>
            </x14:sparkline>
            <x14:sparkline>
              <xm:f>Dashboard!F80:Q80</xm:f>
              <xm:sqref>S80</xm:sqref>
            </x14:sparkline>
            <x14:sparkline>
              <xm:f>Dashboard!F81:Q81</xm:f>
              <xm:sqref>S81</xm:sqref>
            </x14:sparkline>
            <x14:sparkline>
              <xm:f>Dashboard!F82:Q82</xm:f>
              <xm:sqref>S82</xm:sqref>
            </x14:sparkline>
            <x14:sparkline>
              <xm:f>Dashboard!F83:Q83</xm:f>
              <xm:sqref>S83</xm:sqref>
            </x14:sparkline>
            <x14:sparkline>
              <xm:f>Dashboard!F84:Q84</xm:f>
              <xm:sqref>S84</xm:sqref>
            </x14:sparkline>
            <x14:sparkline>
              <xm:f>Dashboard!F85:Q85</xm:f>
              <xm:sqref>S85</xm:sqref>
            </x14:sparkline>
            <x14:sparkline>
              <xm:f>Dashboard!F86:Q86</xm:f>
              <xm:sqref>S86</xm:sqref>
            </x14:sparkline>
            <x14:sparkline>
              <xm:f>Dashboard!F87:Q87</xm:f>
              <xm:sqref>S87</xm:sqref>
            </x14:sparkline>
            <x14:sparkline>
              <xm:f>Dashboard!F88:Q88</xm:f>
              <xm:sqref>S88</xm:sqref>
            </x14:sparkline>
            <x14:sparkline>
              <xm:f>Dashboard!F89:Q89</xm:f>
              <xm:sqref>S89</xm:sqref>
            </x14:sparkline>
            <x14:sparkline>
              <xm:f>Dashboard!F90:Q90</xm:f>
              <xm:sqref>S90</xm:sqref>
            </x14:sparkline>
            <x14:sparkline>
              <xm:f>Dashboard!F91:Q91</xm:f>
              <xm:sqref>S91</xm:sqref>
            </x14:sparkline>
            <x14:sparkline>
              <xm:f>Dashboard!F92:Q92</xm:f>
              <xm:sqref>S92</xm:sqref>
            </x14:sparkline>
            <x14:sparkline>
              <xm:f>Dashboard!F93:Q93</xm:f>
              <xm:sqref>S93</xm:sqref>
            </x14:sparkline>
          </x14:sparklines>
        </x14:sparklineGroup>
        <x14:sparklineGroup displayEmptyCellsAs="gap" xr2:uid="{00000000-0003-0000-0100-000000000000}">
          <x14:colorSeries rgb="FF376092"/>
          <x14:colorNegative rgb="FFD00000"/>
          <x14:colorAxis rgb="FF000000"/>
          <x14:colorMarkers rgb="FFD00000"/>
          <x14:colorFirst rgb="FFD00000"/>
          <x14:colorLast rgb="FFD00000"/>
          <x14:colorHigh rgb="FFD00000"/>
          <x14:colorLow rgb="FFD00000"/>
          <x14:sparklines>
            <x14:sparkline>
              <xm:f>Dashboard!F65:Q65</xm:f>
              <xm:sqref>S65</xm:sqref>
            </x14:sparkline>
            <x14:sparkline>
              <xm:f>Dashboard!F66:Q66</xm:f>
              <xm:sqref>S66</xm:sqref>
            </x14:sparkline>
            <x14:sparkline>
              <xm:f>Dashboard!F67:Q67</xm:f>
              <xm:sqref>S67</xm:sqref>
            </x14:sparkline>
            <x14:sparkline>
              <xm:f>Dashboard!F68:Q68</xm:f>
              <xm:sqref>S68</xm:sqref>
            </x14:sparkline>
            <x14:sparkline>
              <xm:f>Dashboard!F69:Q69</xm:f>
              <xm:sqref>S69</xm:sqref>
            </x14:sparkline>
            <x14:sparkline>
              <xm:f>Dashboard!F70:Q70</xm:f>
              <xm:sqref>S70</xm:sqref>
            </x14:sparkline>
            <x14:sparkline>
              <xm:f>Dashboard!F71:Q71</xm:f>
              <xm:sqref>S71</xm:sqref>
            </x14:sparkline>
            <x14:sparkline>
              <xm:f>Dashboard!F72:Q72</xm:f>
              <xm:sqref>S72</xm:sqref>
            </x14:sparkline>
            <x14:sparkline>
              <xm:f>Dashboard!F73:Q73</xm:f>
              <xm:sqref>S73</xm:sqref>
            </x14:sparkline>
          </x14:sparklines>
        </x14:sparklineGroup>
      </x14:sparklineGroups>
    </ext>
    <ext xmlns:x15="http://schemas.microsoft.com/office/spreadsheetml/2010/11/main" uri="{3A4CF648-6AED-40f4-86FF-DC5316D8AED3}">
      <x14:slicerList xmlns:x14="http://schemas.microsoft.com/office/spreadsheetml/2009/9/main">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W71"/>
  <sheetViews>
    <sheetView showGridLines="0" zoomScaleNormal="100" workbookViewId="0">
      <pane xSplit="4" ySplit="4" topLeftCell="H24" activePane="bottomRight" state="frozen"/>
      <selection pane="topRight" activeCell="E1" sqref="E1"/>
      <selection pane="bottomLeft" activeCell="A5" sqref="A5"/>
      <selection pane="bottomRight" activeCell="I22" sqref="I22"/>
    </sheetView>
  </sheetViews>
  <sheetFormatPr defaultColWidth="0" defaultRowHeight="14.25" zeroHeight="1" x14ac:dyDescent="0.45"/>
  <cols>
    <col min="1" max="3" width="9.19921875" style="1" customWidth="1"/>
    <col min="4" max="6" width="9.19921875" style="4" customWidth="1"/>
    <col min="7" max="7" width="12.19921875" style="4" customWidth="1"/>
    <col min="8" max="8" width="13.53125" style="4" customWidth="1"/>
    <col min="9" max="10" width="7.19921875" style="4" customWidth="1"/>
    <col min="11" max="22" width="9.19921875" style="4" customWidth="1"/>
    <col min="23" max="23" width="19.19921875" style="4" hidden="1" customWidth="1"/>
    <col min="24" max="16384" width="9.19921875" style="4" hidden="1"/>
  </cols>
  <sheetData>
    <row r="1" spans="1:21" s="2" customFormat="1" ht="15" customHeight="1" x14ac:dyDescent="0.45">
      <c r="A1" s="1"/>
      <c r="B1" s="1"/>
      <c r="C1" s="1"/>
      <c r="E1" s="353" t="s">
        <v>103</v>
      </c>
      <c r="F1" s="353"/>
      <c r="G1" s="353"/>
      <c r="H1" s="353"/>
      <c r="I1" s="353"/>
      <c r="J1" s="353"/>
      <c r="K1" s="353"/>
      <c r="L1" s="353"/>
      <c r="M1" s="353"/>
      <c r="N1" s="353"/>
      <c r="O1" s="353"/>
      <c r="P1" s="353"/>
      <c r="Q1" s="353"/>
      <c r="R1" s="353"/>
      <c r="S1" s="57"/>
      <c r="T1" s="57"/>
      <c r="U1" s="57"/>
    </row>
    <row r="2" spans="1:21" s="2" customFormat="1" ht="15" customHeight="1" x14ac:dyDescent="0.45">
      <c r="A2" s="1"/>
      <c r="B2" s="1"/>
      <c r="C2" s="1"/>
      <c r="E2" s="353"/>
      <c r="F2" s="353"/>
      <c r="G2" s="353"/>
      <c r="H2" s="353"/>
      <c r="I2" s="353"/>
      <c r="J2" s="353"/>
      <c r="K2" s="353"/>
      <c r="L2" s="353"/>
      <c r="M2" s="353"/>
      <c r="N2" s="353"/>
      <c r="O2" s="353"/>
      <c r="P2" s="353"/>
      <c r="Q2" s="353"/>
      <c r="R2" s="353"/>
      <c r="S2" s="57"/>
      <c r="T2" s="57"/>
      <c r="U2" s="57"/>
    </row>
    <row r="3" spans="1:21" s="2" customFormat="1" ht="15" customHeight="1" x14ac:dyDescent="0.45">
      <c r="A3" s="1"/>
      <c r="B3" s="1"/>
      <c r="C3" s="1"/>
      <c r="E3" s="353"/>
      <c r="F3" s="353"/>
      <c r="G3" s="353"/>
      <c r="H3" s="353"/>
      <c r="I3" s="353"/>
      <c r="J3" s="353"/>
      <c r="K3" s="353"/>
      <c r="L3" s="353"/>
      <c r="M3" s="353"/>
      <c r="N3" s="353"/>
      <c r="O3" s="353"/>
      <c r="P3" s="353"/>
      <c r="Q3" s="353"/>
      <c r="R3" s="353"/>
      <c r="S3" s="57"/>
      <c r="T3" s="57"/>
      <c r="U3" s="57"/>
    </row>
    <row r="4" spans="1:21" x14ac:dyDescent="0.45">
      <c r="P4" s="167" t="s">
        <v>45</v>
      </c>
    </row>
    <row r="5" spans="1:21" ht="15" customHeight="1" thickBot="1" x14ac:dyDescent="0.5">
      <c r="E5" s="428"/>
      <c r="F5" s="429"/>
      <c r="G5" s="429"/>
      <c r="H5" s="429"/>
      <c r="I5" s="425" t="s">
        <v>47</v>
      </c>
      <c r="J5" s="425"/>
      <c r="K5" s="425" t="s">
        <v>48</v>
      </c>
      <c r="L5" s="425"/>
      <c r="M5" s="425"/>
      <c r="N5" s="425"/>
      <c r="O5" s="425"/>
      <c r="P5" s="425"/>
      <c r="Q5" s="425"/>
      <c r="R5" s="425"/>
      <c r="S5" s="425"/>
      <c r="T5" s="370"/>
    </row>
    <row r="6" spans="1:21" ht="15" customHeight="1" x14ac:dyDescent="0.45">
      <c r="E6" s="405" t="s">
        <v>46</v>
      </c>
      <c r="F6" s="406"/>
      <c r="G6" s="406"/>
      <c r="H6" s="406"/>
      <c r="I6" s="430">
        <v>50</v>
      </c>
      <c r="J6" s="430"/>
      <c r="K6" s="426" t="s">
        <v>413</v>
      </c>
      <c r="L6" s="426"/>
      <c r="M6" s="426"/>
      <c r="N6" s="426"/>
      <c r="O6" s="426"/>
      <c r="P6" s="426"/>
      <c r="Q6" s="426"/>
      <c r="R6" s="426"/>
      <c r="S6" s="426"/>
      <c r="T6" s="427"/>
    </row>
    <row r="7" spans="1:21" x14ac:dyDescent="0.45">
      <c r="E7" s="161"/>
      <c r="F7" s="161"/>
      <c r="G7" s="161"/>
      <c r="H7" s="161"/>
      <c r="I7" s="6"/>
      <c r="J7" s="6"/>
      <c r="K7" s="6"/>
      <c r="L7" s="6"/>
      <c r="M7" s="6"/>
      <c r="N7" s="6"/>
      <c r="O7" s="6"/>
      <c r="P7" s="6"/>
      <c r="Q7" s="6"/>
      <c r="R7" s="6"/>
      <c r="S7" s="6"/>
      <c r="T7" s="6"/>
    </row>
    <row r="8" spans="1:21" ht="14.65" thickBot="1" x14ac:dyDescent="0.5">
      <c r="E8" s="413"/>
      <c r="F8" s="414"/>
      <c r="G8" s="414"/>
      <c r="H8" s="414"/>
      <c r="I8" s="374" t="s">
        <v>427</v>
      </c>
      <c r="J8" s="374"/>
      <c r="K8" s="375" t="s">
        <v>128</v>
      </c>
      <c r="L8" s="376"/>
      <c r="M8" s="375" t="s">
        <v>48</v>
      </c>
      <c r="N8" s="377"/>
      <c r="O8" s="377"/>
      <c r="P8" s="377"/>
      <c r="Q8" s="377"/>
      <c r="R8" s="377"/>
      <c r="S8" s="375" t="s">
        <v>49</v>
      </c>
      <c r="T8" s="377"/>
    </row>
    <row r="9" spans="1:21" ht="14.65" thickBot="1" x14ac:dyDescent="0.5">
      <c r="E9" s="167" t="s">
        <v>425</v>
      </c>
      <c r="F9" s="167"/>
      <c r="G9" s="167"/>
      <c r="H9"/>
      <c r="I9" s="418">
        <v>1</v>
      </c>
      <c r="J9" s="418"/>
      <c r="K9" s="421">
        <v>35</v>
      </c>
      <c r="L9" s="422"/>
      <c r="M9" s="423" t="s">
        <v>436</v>
      </c>
      <c r="N9" s="424"/>
      <c r="O9" s="424"/>
      <c r="P9" s="424"/>
      <c r="Q9" s="424"/>
      <c r="R9" s="424"/>
      <c r="S9" s="378">
        <v>500</v>
      </c>
      <c r="T9" s="379"/>
      <c r="U9" s="82"/>
    </row>
    <row r="10" spans="1:21" ht="14.65" thickBot="1" x14ac:dyDescent="0.5">
      <c r="E10" s="298"/>
      <c r="F10" s="299"/>
      <c r="G10" s="299"/>
      <c r="H10"/>
      <c r="I10" s="382">
        <v>2</v>
      </c>
      <c r="J10" s="382"/>
      <c r="K10" s="383"/>
      <c r="L10" s="384"/>
      <c r="M10" s="385"/>
      <c r="N10" s="386"/>
      <c r="O10" s="386"/>
      <c r="P10" s="386"/>
      <c r="Q10" s="386"/>
      <c r="R10" s="386"/>
      <c r="S10" s="368"/>
      <c r="T10" s="369"/>
      <c r="U10" s="82"/>
    </row>
    <row r="11" spans="1:21" ht="15.75" customHeight="1" thickBot="1" x14ac:dyDescent="0.5">
      <c r="E11" s="298"/>
      <c r="F11" s="299"/>
      <c r="G11" s="299"/>
      <c r="H11"/>
      <c r="I11" s="417">
        <v>3</v>
      </c>
      <c r="J11" s="417"/>
      <c r="K11" s="383"/>
      <c r="L11" s="384"/>
      <c r="M11" s="385"/>
      <c r="N11" s="386"/>
      <c r="O11" s="386"/>
      <c r="P11" s="386"/>
      <c r="Q11" s="386"/>
      <c r="R11" s="412"/>
      <c r="S11" s="410"/>
      <c r="T11" s="411"/>
      <c r="U11" s="82"/>
    </row>
    <row r="12" spans="1:21" ht="15.75" customHeight="1" thickBot="1" x14ac:dyDescent="0.5">
      <c r="E12" s="298"/>
      <c r="F12" s="299"/>
      <c r="G12" s="299"/>
      <c r="U12" s="82"/>
    </row>
    <row r="13" spans="1:21" ht="14.65" thickBot="1" x14ac:dyDescent="0.5">
      <c r="E13" s="335"/>
      <c r="F13" s="336"/>
      <c r="G13" s="336"/>
      <c r="H13" s="337"/>
      <c r="I13" s="374" t="s">
        <v>428</v>
      </c>
      <c r="J13" s="374"/>
      <c r="K13" s="375" t="s">
        <v>128</v>
      </c>
      <c r="L13" s="376"/>
      <c r="M13" s="375" t="s">
        <v>48</v>
      </c>
      <c r="N13" s="377"/>
      <c r="O13" s="377"/>
      <c r="P13" s="377"/>
      <c r="Q13" s="377"/>
      <c r="R13" s="377"/>
      <c r="S13" s="375" t="s">
        <v>49</v>
      </c>
      <c r="T13" s="377"/>
      <c r="U13" s="82"/>
    </row>
    <row r="14" spans="1:21" ht="14.65" thickBot="1" x14ac:dyDescent="0.5">
      <c r="E14" s="415" t="s">
        <v>343</v>
      </c>
      <c r="F14" s="415"/>
      <c r="G14" s="416"/>
      <c r="H14"/>
      <c r="I14" s="419">
        <v>4</v>
      </c>
      <c r="J14" s="420"/>
      <c r="K14" s="421">
        <v>25</v>
      </c>
      <c r="L14" s="422"/>
      <c r="M14" s="423" t="s">
        <v>433</v>
      </c>
      <c r="N14" s="424"/>
      <c r="O14" s="424"/>
      <c r="P14" s="424"/>
      <c r="Q14" s="424"/>
      <c r="R14" s="431"/>
      <c r="S14" s="378">
        <v>50</v>
      </c>
      <c r="T14" s="379"/>
      <c r="U14" s="82"/>
    </row>
    <row r="15" spans="1:21" ht="14.65" thickBot="1" x14ac:dyDescent="0.5">
      <c r="E15" s="292"/>
      <c r="F15" s="293"/>
      <c r="G15" s="293"/>
      <c r="H15"/>
      <c r="I15" s="380">
        <v>5</v>
      </c>
      <c r="J15" s="381"/>
      <c r="K15" s="383">
        <v>26</v>
      </c>
      <c r="L15" s="384"/>
      <c r="M15" s="385" t="s">
        <v>50</v>
      </c>
      <c r="N15" s="386"/>
      <c r="O15" s="386"/>
      <c r="P15" s="386"/>
      <c r="Q15" s="386"/>
      <c r="R15" s="412"/>
      <c r="S15" s="368">
        <v>100</v>
      </c>
      <c r="T15" s="369"/>
      <c r="U15" s="82"/>
    </row>
    <row r="16" spans="1:21" ht="14.65" thickBot="1" x14ac:dyDescent="0.5">
      <c r="E16" s="292"/>
      <c r="F16" s="293"/>
      <c r="G16" s="293"/>
      <c r="H16"/>
      <c r="I16" s="380">
        <v>6</v>
      </c>
      <c r="J16" s="381"/>
      <c r="K16" s="383">
        <v>28</v>
      </c>
      <c r="L16" s="384"/>
      <c r="M16" s="385" t="s">
        <v>367</v>
      </c>
      <c r="N16" s="386"/>
      <c r="O16" s="386"/>
      <c r="P16" s="386"/>
      <c r="Q16" s="386"/>
      <c r="R16" s="386"/>
      <c r="S16" s="368">
        <v>200</v>
      </c>
      <c r="T16" s="369"/>
      <c r="U16" s="82"/>
    </row>
    <row r="17" spans="5:21" ht="14.65" thickBot="1" x14ac:dyDescent="0.5">
      <c r="E17" s="292"/>
      <c r="F17" s="293"/>
      <c r="G17" s="293"/>
      <c r="H17"/>
      <c r="I17" s="380">
        <v>7</v>
      </c>
      <c r="J17" s="381"/>
      <c r="K17" s="383">
        <v>30</v>
      </c>
      <c r="L17" s="384"/>
      <c r="M17" s="385" t="s">
        <v>442</v>
      </c>
      <c r="N17" s="386"/>
      <c r="O17" s="386"/>
      <c r="P17" s="386"/>
      <c r="Q17" s="386"/>
      <c r="R17" s="386"/>
      <c r="S17" s="368">
        <v>500</v>
      </c>
      <c r="T17" s="369"/>
      <c r="U17" s="82"/>
    </row>
    <row r="18" spans="5:21" ht="14.65" thickBot="1" x14ac:dyDescent="0.5">
      <c r="E18" s="32"/>
      <c r="F18" s="33"/>
      <c r="G18" s="33"/>
      <c r="H18"/>
      <c r="I18" s="380">
        <v>8</v>
      </c>
      <c r="J18" s="381"/>
      <c r="K18" s="383">
        <v>38</v>
      </c>
      <c r="L18" s="384"/>
      <c r="M18" s="385" t="s">
        <v>435</v>
      </c>
      <c r="N18" s="386"/>
      <c r="O18" s="386"/>
      <c r="P18" s="386"/>
      <c r="Q18" s="386"/>
      <c r="R18" s="386"/>
      <c r="S18" s="368">
        <v>1500</v>
      </c>
      <c r="T18" s="369"/>
      <c r="U18" s="82"/>
    </row>
    <row r="19" spans="5:21" ht="14.65" thickBot="1" x14ac:dyDescent="0.5">
      <c r="E19" s="161"/>
      <c r="F19" s="161"/>
      <c r="G19" s="161"/>
      <c r="H19"/>
      <c r="I19" s="380">
        <v>9</v>
      </c>
      <c r="J19" s="381"/>
      <c r="K19" s="383">
        <v>46</v>
      </c>
      <c r="L19" s="384"/>
      <c r="M19" s="408" t="s">
        <v>434</v>
      </c>
      <c r="N19" s="409"/>
      <c r="O19" s="409"/>
      <c r="P19" s="409"/>
      <c r="Q19" s="409"/>
      <c r="R19" s="409"/>
      <c r="S19" s="368">
        <v>500</v>
      </c>
      <c r="T19" s="369"/>
    </row>
    <row r="20" spans="5:21" ht="14.65" thickBot="1" x14ac:dyDescent="0.5">
      <c r="E20" s="161"/>
      <c r="F20" s="161"/>
      <c r="G20" s="161"/>
      <c r="H20"/>
      <c r="I20" s="382">
        <v>10</v>
      </c>
      <c r="J20" s="382"/>
      <c r="K20" s="383">
        <v>50</v>
      </c>
      <c r="L20" s="384"/>
      <c r="M20" s="408" t="s">
        <v>441</v>
      </c>
      <c r="N20" s="409"/>
      <c r="O20" s="409"/>
      <c r="P20" s="409"/>
      <c r="Q20" s="409"/>
      <c r="R20" s="409"/>
      <c r="S20" s="368">
        <v>500</v>
      </c>
      <c r="T20" s="369"/>
    </row>
    <row r="21" spans="5:21" x14ac:dyDescent="0.45">
      <c r="H21"/>
    </row>
    <row r="22" spans="5:21" x14ac:dyDescent="0.45"/>
    <row r="23" spans="5:21" ht="14.65" thickBot="1" x14ac:dyDescent="0.5">
      <c r="E23" s="405"/>
      <c r="F23" s="406"/>
      <c r="G23" s="406"/>
      <c r="H23" s="406"/>
      <c r="I23" s="370" t="s">
        <v>49</v>
      </c>
      <c r="J23" s="371"/>
      <c r="K23" s="371"/>
      <c r="L23" s="371"/>
      <c r="M23" s="371"/>
      <c r="N23" s="371"/>
      <c r="O23" s="371"/>
      <c r="P23" s="371"/>
      <c r="Q23" s="371"/>
      <c r="R23" s="371"/>
      <c r="S23" s="371"/>
      <c r="T23" s="371"/>
    </row>
    <row r="24" spans="5:21" ht="14.65" thickBot="1" x14ac:dyDescent="0.5">
      <c r="E24" s="373" t="s">
        <v>51</v>
      </c>
      <c r="F24" s="402"/>
      <c r="G24" s="402"/>
      <c r="H24" s="402"/>
      <c r="I24" s="403">
        <v>0.4</v>
      </c>
      <c r="J24" s="404"/>
      <c r="K24" s="404"/>
      <c r="L24" s="404"/>
      <c r="M24" s="404"/>
      <c r="N24" s="404"/>
      <c r="O24" s="404"/>
      <c r="P24" s="404"/>
      <c r="Q24" s="404"/>
      <c r="R24" s="404"/>
      <c r="S24" s="404"/>
      <c r="T24" s="404"/>
    </row>
    <row r="25" spans="5:21" x14ac:dyDescent="0.45"/>
    <row r="26" spans="5:21" x14ac:dyDescent="0.45"/>
    <row r="27" spans="5:21" ht="14.65" thickBot="1" x14ac:dyDescent="0.5">
      <c r="E27" s="323"/>
      <c r="F27" s="324"/>
      <c r="G27" s="324"/>
      <c r="H27" s="324"/>
      <c r="I27" s="370" t="s">
        <v>48</v>
      </c>
      <c r="J27" s="371"/>
      <c r="K27" s="371"/>
      <c r="L27" s="371"/>
      <c r="M27" s="371"/>
      <c r="N27" s="371"/>
      <c r="O27" s="371"/>
      <c r="P27" s="371"/>
      <c r="Q27" s="371"/>
      <c r="R27" s="371"/>
      <c r="S27" s="371"/>
      <c r="T27" s="371"/>
    </row>
    <row r="28" spans="5:21" ht="14.65" thickBot="1" x14ac:dyDescent="0.5">
      <c r="E28" s="372" t="s">
        <v>52</v>
      </c>
      <c r="F28" s="372"/>
      <c r="G28" s="372"/>
      <c r="H28" s="373"/>
      <c r="I28" s="321" t="s">
        <v>369</v>
      </c>
      <c r="J28" s="322"/>
      <c r="K28" s="322"/>
      <c r="L28" s="322"/>
      <c r="M28" s="322"/>
      <c r="N28" s="322"/>
      <c r="O28" s="322"/>
      <c r="P28" s="322"/>
      <c r="Q28" s="322"/>
      <c r="R28" s="322"/>
      <c r="S28" s="322"/>
      <c r="T28" s="322"/>
    </row>
    <row r="29" spans="5:21" ht="14.65" thickBot="1" x14ac:dyDescent="0.5">
      <c r="E29" s="161"/>
      <c r="F29" s="161"/>
      <c r="G29" s="161"/>
      <c r="H29" s="161"/>
      <c r="I29" s="319" t="s">
        <v>437</v>
      </c>
      <c r="J29" s="320"/>
      <c r="K29" s="320"/>
      <c r="L29" s="320"/>
      <c r="M29" s="320"/>
      <c r="N29" s="320"/>
      <c r="O29" s="320"/>
      <c r="P29" s="320"/>
      <c r="Q29" s="320"/>
      <c r="R29" s="320"/>
      <c r="S29" s="320"/>
      <c r="T29" s="320"/>
    </row>
    <row r="30" spans="5:21" ht="14.65" thickBot="1" x14ac:dyDescent="0.5">
      <c r="E30" s="161"/>
      <c r="F30" s="161"/>
      <c r="G30" s="161"/>
      <c r="H30" s="161"/>
      <c r="I30" s="387"/>
      <c r="J30" s="388"/>
      <c r="K30" s="388"/>
      <c r="L30" s="388"/>
      <c r="M30" s="388"/>
      <c r="N30" s="388"/>
      <c r="O30" s="388"/>
      <c r="P30" s="388"/>
      <c r="Q30" s="388"/>
      <c r="R30" s="388"/>
      <c r="S30" s="388"/>
      <c r="T30" s="388"/>
    </row>
    <row r="31" spans="5:21" ht="14.65" thickBot="1" x14ac:dyDescent="0.5">
      <c r="E31" s="161"/>
      <c r="F31" s="161"/>
      <c r="G31" s="161"/>
      <c r="H31" s="161"/>
      <c r="I31" s="387"/>
      <c r="J31" s="388"/>
      <c r="K31" s="388"/>
      <c r="L31" s="388"/>
      <c r="M31" s="388"/>
      <c r="N31" s="388"/>
      <c r="O31" s="388"/>
      <c r="P31" s="388"/>
      <c r="Q31" s="388"/>
      <c r="R31" s="388"/>
      <c r="S31" s="388"/>
      <c r="T31" s="388"/>
    </row>
    <row r="32" spans="5:21" ht="14.65" thickBot="1" x14ac:dyDescent="0.5">
      <c r="E32" s="161"/>
      <c r="F32" s="161"/>
      <c r="G32" s="161"/>
      <c r="H32" s="161"/>
      <c r="I32" s="387"/>
      <c r="J32" s="388"/>
      <c r="K32" s="388"/>
      <c r="L32" s="388"/>
      <c r="M32" s="388"/>
      <c r="N32" s="388"/>
      <c r="O32" s="388"/>
      <c r="P32" s="388"/>
      <c r="Q32" s="388"/>
      <c r="R32" s="388"/>
      <c r="S32" s="388"/>
      <c r="T32" s="388"/>
    </row>
    <row r="33" spans="5:20" x14ac:dyDescent="0.45"/>
    <row r="34" spans="5:20" ht="14.65" thickBot="1" x14ac:dyDescent="0.5">
      <c r="E34" s="400"/>
      <c r="F34" s="401"/>
      <c r="G34" s="401"/>
      <c r="H34" s="401"/>
      <c r="I34" s="370" t="s">
        <v>48</v>
      </c>
      <c r="J34" s="371"/>
      <c r="K34" s="371"/>
      <c r="L34" s="371"/>
      <c r="M34" s="371"/>
      <c r="N34" s="371"/>
      <c r="O34" s="371"/>
      <c r="P34" s="371"/>
      <c r="Q34" s="371"/>
      <c r="R34" s="371"/>
      <c r="S34" s="371"/>
      <c r="T34" s="371"/>
    </row>
    <row r="35" spans="5:20" ht="14.65" thickBot="1" x14ac:dyDescent="0.5">
      <c r="E35" s="407" t="s">
        <v>53</v>
      </c>
      <c r="F35" s="407"/>
      <c r="G35" s="407"/>
      <c r="H35" s="407"/>
      <c r="I35" s="387" t="s">
        <v>440</v>
      </c>
      <c r="J35" s="388"/>
      <c r="K35" s="388"/>
      <c r="L35" s="388"/>
      <c r="M35" s="388"/>
      <c r="N35" s="388"/>
      <c r="O35" s="388"/>
      <c r="P35" s="388"/>
      <c r="Q35" s="388"/>
      <c r="R35" s="388"/>
      <c r="S35" s="388"/>
      <c r="T35" s="388"/>
    </row>
    <row r="36" spans="5:20" ht="14.65" thickBot="1" x14ac:dyDescent="0.5">
      <c r="E36" s="161"/>
      <c r="F36" s="161"/>
      <c r="G36" s="161"/>
      <c r="H36" s="161"/>
      <c r="I36" s="387"/>
      <c r="J36" s="388"/>
      <c r="K36" s="388"/>
      <c r="L36" s="388"/>
      <c r="M36" s="388"/>
      <c r="N36" s="388"/>
      <c r="O36" s="388"/>
      <c r="P36" s="388"/>
      <c r="Q36" s="388"/>
      <c r="R36" s="388"/>
      <c r="S36" s="388"/>
      <c r="T36" s="388"/>
    </row>
    <row r="37" spans="5:20" ht="14.65" thickBot="1" x14ac:dyDescent="0.45">
      <c r="I37" s="387"/>
      <c r="J37" s="388"/>
      <c r="K37" s="388"/>
      <c r="L37" s="388"/>
      <c r="M37" s="388"/>
      <c r="N37" s="388"/>
      <c r="O37" s="388"/>
      <c r="P37" s="388"/>
      <c r="Q37" s="388"/>
      <c r="R37" s="388"/>
      <c r="S37" s="388"/>
      <c r="T37" s="388"/>
    </row>
    <row r="38" spans="5:20" ht="14.65" thickBot="1" x14ac:dyDescent="0.45">
      <c r="I38" s="387"/>
      <c r="J38" s="388"/>
      <c r="K38" s="388"/>
      <c r="L38" s="388"/>
      <c r="M38" s="388"/>
      <c r="N38" s="388"/>
      <c r="O38" s="388"/>
      <c r="P38" s="388"/>
      <c r="Q38" s="388"/>
      <c r="R38" s="388"/>
      <c r="S38" s="388"/>
      <c r="T38" s="388"/>
    </row>
    <row r="39" spans="5:20" ht="14.65" thickBot="1" x14ac:dyDescent="0.45">
      <c r="I39" s="387"/>
      <c r="J39" s="388"/>
      <c r="K39" s="388"/>
      <c r="L39" s="388"/>
      <c r="M39" s="388"/>
      <c r="N39" s="388"/>
      <c r="O39" s="388"/>
      <c r="P39" s="388"/>
      <c r="Q39" s="388"/>
      <c r="R39" s="388"/>
      <c r="S39" s="388"/>
      <c r="T39" s="388"/>
    </row>
    <row r="40" spans="5:20" x14ac:dyDescent="0.45">
      <c r="E40" s="161"/>
      <c r="F40" s="161"/>
      <c r="G40" s="161"/>
      <c r="H40" s="161"/>
    </row>
    <row r="41" spans="5:20" ht="14.65" thickBot="1" x14ac:dyDescent="0.5">
      <c r="E41" s="400"/>
      <c r="F41" s="401"/>
      <c r="G41" s="401"/>
      <c r="H41" s="401"/>
      <c r="I41" s="370" t="s">
        <v>48</v>
      </c>
      <c r="J41" s="371"/>
      <c r="K41" s="371"/>
      <c r="L41" s="371"/>
      <c r="M41" s="371"/>
      <c r="N41" s="371"/>
      <c r="O41" s="371"/>
      <c r="P41" s="371"/>
      <c r="Q41" s="371"/>
      <c r="R41" s="371"/>
      <c r="S41" s="371"/>
      <c r="T41" s="371"/>
    </row>
    <row r="42" spans="5:20" ht="14.65" thickBot="1" x14ac:dyDescent="0.45">
      <c r="E42" s="389" t="s">
        <v>54</v>
      </c>
      <c r="F42" s="389"/>
      <c r="G42" s="389"/>
      <c r="H42" s="389"/>
      <c r="I42" s="387" t="s">
        <v>438</v>
      </c>
      <c r="J42" s="388"/>
      <c r="K42" s="388"/>
      <c r="L42" s="388"/>
      <c r="M42" s="388"/>
      <c r="N42" s="388"/>
      <c r="O42" s="388"/>
      <c r="P42" s="388"/>
      <c r="Q42" s="388"/>
      <c r="R42" s="388"/>
      <c r="S42" s="388"/>
      <c r="T42" s="388"/>
    </row>
    <row r="43" spans="5:20" ht="14.65" thickBot="1" x14ac:dyDescent="0.45">
      <c r="E43" s="162"/>
      <c r="F43" s="162"/>
      <c r="G43" s="162"/>
      <c r="H43" s="162"/>
      <c r="I43" s="387" t="s">
        <v>368</v>
      </c>
      <c r="J43" s="388"/>
      <c r="K43" s="388"/>
      <c r="L43" s="388"/>
      <c r="M43" s="388"/>
      <c r="N43" s="388"/>
      <c r="O43" s="388"/>
      <c r="P43" s="388"/>
      <c r="Q43" s="388"/>
      <c r="R43" s="388"/>
      <c r="S43" s="388"/>
      <c r="T43" s="388"/>
    </row>
    <row r="44" spans="5:20" ht="14.65" thickBot="1" x14ac:dyDescent="0.45">
      <c r="E44" s="162"/>
      <c r="F44" s="162"/>
      <c r="G44" s="162"/>
      <c r="H44" s="162"/>
      <c r="I44" s="387" t="s">
        <v>439</v>
      </c>
      <c r="J44" s="388"/>
      <c r="K44" s="388"/>
      <c r="L44" s="388"/>
      <c r="M44" s="388"/>
      <c r="N44" s="388"/>
      <c r="O44" s="388"/>
      <c r="P44" s="388"/>
      <c r="Q44" s="388"/>
      <c r="R44" s="388"/>
      <c r="S44" s="388"/>
      <c r="T44" s="388"/>
    </row>
    <row r="45" spans="5:20" ht="14.65" thickBot="1" x14ac:dyDescent="0.45">
      <c r="I45" s="387"/>
      <c r="J45" s="388"/>
      <c r="K45" s="388"/>
      <c r="L45" s="388"/>
      <c r="M45" s="388"/>
      <c r="N45" s="388"/>
      <c r="O45" s="388"/>
      <c r="P45" s="388"/>
      <c r="Q45" s="388"/>
      <c r="R45" s="388"/>
      <c r="S45" s="388"/>
      <c r="T45" s="388"/>
    </row>
    <row r="46" spans="5:20" ht="14.65" thickBot="1" x14ac:dyDescent="0.45">
      <c r="I46" s="387"/>
      <c r="J46" s="388"/>
      <c r="K46" s="388"/>
      <c r="L46" s="388"/>
      <c r="M46" s="388"/>
      <c r="N46" s="388"/>
      <c r="O46" s="388"/>
      <c r="P46" s="388"/>
      <c r="Q46" s="388"/>
      <c r="R46" s="388"/>
      <c r="S46" s="388"/>
      <c r="T46" s="388"/>
    </row>
    <row r="47" spans="5:20" x14ac:dyDescent="0.45"/>
    <row r="48" spans="5:20" ht="14.65" thickBot="1" x14ac:dyDescent="0.5">
      <c r="E48" s="400"/>
      <c r="F48" s="401"/>
      <c r="G48" s="401"/>
      <c r="H48" s="401"/>
      <c r="I48" s="370" t="s">
        <v>125</v>
      </c>
      <c r="J48" s="371"/>
      <c r="K48" s="371"/>
      <c r="L48" s="371"/>
      <c r="M48" s="371"/>
      <c r="N48" s="371"/>
      <c r="O48" s="371"/>
      <c r="P48" s="371"/>
      <c r="Q48" s="371"/>
      <c r="R48" s="371"/>
      <c r="S48" s="371"/>
      <c r="T48" s="371"/>
    </row>
    <row r="49" spans="5:20" x14ac:dyDescent="0.45">
      <c r="E49" s="389" t="s">
        <v>55</v>
      </c>
      <c r="F49" s="389"/>
      <c r="G49" s="389"/>
      <c r="H49" s="389"/>
      <c r="I49" s="390" t="s">
        <v>57</v>
      </c>
      <c r="J49" s="391"/>
      <c r="K49" s="394" t="str">
        <f>'Bảng khảo sát'!A59</f>
        <v>Kết quả khảo sát khả năng chịu đựng rủi ro: Bạn là người trung lập với rủi ro, bạn nên duy trì các tài sản rủi ro tại mức trung bình</v>
      </c>
      <c r="L49" s="394"/>
      <c r="M49" s="394"/>
      <c r="N49" s="394"/>
      <c r="O49" s="394"/>
      <c r="P49" s="394"/>
      <c r="Q49" s="394"/>
      <c r="R49" s="394"/>
      <c r="S49" s="394"/>
      <c r="T49" s="394"/>
    </row>
    <row r="50" spans="5:20" x14ac:dyDescent="0.45">
      <c r="I50" s="392"/>
      <c r="J50" s="393"/>
      <c r="K50" s="395"/>
      <c r="L50" s="395"/>
      <c r="M50" s="395"/>
      <c r="N50" s="395"/>
      <c r="O50" s="395"/>
      <c r="P50" s="395"/>
      <c r="Q50" s="395"/>
      <c r="R50" s="395"/>
      <c r="S50" s="395"/>
      <c r="T50" s="395"/>
    </row>
    <row r="51" spans="5:20" ht="14.65" thickBot="1" x14ac:dyDescent="0.5"/>
    <row r="52" spans="5:20" x14ac:dyDescent="0.45">
      <c r="E52" s="389" t="s">
        <v>56</v>
      </c>
      <c r="F52" s="389"/>
      <c r="G52" s="389"/>
      <c r="H52" s="389"/>
      <c r="I52" s="396" t="s">
        <v>57</v>
      </c>
      <c r="J52" s="397"/>
      <c r="K52" s="394" t="str">
        <f>'Bảng khảo sát'!A126</f>
        <v>Kết quả khảo sát hoàn cảnh: Bạn trong điều kiện bình thường để phát triển tài chính của bạn trong dài hạn</v>
      </c>
      <c r="L52" s="394"/>
      <c r="M52" s="394"/>
      <c r="N52" s="394"/>
      <c r="O52" s="394"/>
      <c r="P52" s="394"/>
      <c r="Q52" s="394"/>
      <c r="R52" s="394"/>
      <c r="S52" s="394"/>
      <c r="T52" s="394"/>
    </row>
    <row r="53" spans="5:20" x14ac:dyDescent="0.45">
      <c r="I53" s="398"/>
      <c r="J53" s="399"/>
      <c r="K53" s="395"/>
      <c r="L53" s="395"/>
      <c r="M53" s="395"/>
      <c r="N53" s="395"/>
      <c r="O53" s="395"/>
      <c r="P53" s="395"/>
      <c r="Q53" s="395"/>
      <c r="R53" s="395"/>
      <c r="S53" s="395"/>
      <c r="T53" s="395"/>
    </row>
    <row r="54" spans="5:20" x14ac:dyDescent="0.45"/>
    <row r="55" spans="5:20" x14ac:dyDescent="0.45">
      <c r="K55" s="257"/>
      <c r="L55" s="257"/>
      <c r="M55" s="257"/>
      <c r="N55" s="257"/>
      <c r="O55" s="257"/>
      <c r="P55" s="257"/>
      <c r="Q55" s="257"/>
      <c r="R55" s="257"/>
      <c r="S55" s="257"/>
      <c r="T55" s="257"/>
    </row>
    <row r="56" spans="5:20" x14ac:dyDescent="0.45"/>
    <row r="57" spans="5:20" x14ac:dyDescent="0.45"/>
    <row r="58" spans="5:20" x14ac:dyDescent="0.45"/>
    <row r="59" spans="5:20" x14ac:dyDescent="0.45"/>
    <row r="60" spans="5:20" x14ac:dyDescent="0.45"/>
    <row r="61" spans="5:20" x14ac:dyDescent="0.45"/>
    <row r="62" spans="5:20" x14ac:dyDescent="0.45"/>
    <row r="63" spans="5:20" x14ac:dyDescent="0.45"/>
    <row r="64" spans="5:20" x14ac:dyDescent="0.45"/>
    <row r="65" x14ac:dyDescent="0.45"/>
    <row r="66" x14ac:dyDescent="0.45"/>
    <row r="67" x14ac:dyDescent="0.45"/>
    <row r="68" x14ac:dyDescent="0.45"/>
    <row r="69" x14ac:dyDescent="0.45"/>
    <row r="70" x14ac:dyDescent="0.45"/>
    <row r="71" x14ac:dyDescent="0.45"/>
  </sheetData>
  <sheetProtection formatCells="0" formatColumns="0" formatRows="0" sort="0" autoFilter="0" pivotTables="0"/>
  <mergeCells count="90">
    <mergeCell ref="E1:R3"/>
    <mergeCell ref="K14:L14"/>
    <mergeCell ref="K8:L8"/>
    <mergeCell ref="M8:R8"/>
    <mergeCell ref="K9:L9"/>
    <mergeCell ref="M9:R9"/>
    <mergeCell ref="I5:J5"/>
    <mergeCell ref="K5:T5"/>
    <mergeCell ref="K6:T6"/>
    <mergeCell ref="E5:H5"/>
    <mergeCell ref="S8:T8"/>
    <mergeCell ref="E6:H6"/>
    <mergeCell ref="I6:J6"/>
    <mergeCell ref="M14:R14"/>
    <mergeCell ref="E14:G14"/>
    <mergeCell ref="M16:R16"/>
    <mergeCell ref="M19:R19"/>
    <mergeCell ref="K16:L16"/>
    <mergeCell ref="K19:L19"/>
    <mergeCell ref="M15:R15"/>
    <mergeCell ref="K15:L15"/>
    <mergeCell ref="I14:J14"/>
    <mergeCell ref="I17:J17"/>
    <mergeCell ref="I19:J19"/>
    <mergeCell ref="I16:J16"/>
    <mergeCell ref="S9:T9"/>
    <mergeCell ref="S10:T10"/>
    <mergeCell ref="M10:R10"/>
    <mergeCell ref="K10:L10"/>
    <mergeCell ref="E8:H8"/>
    <mergeCell ref="I8:J8"/>
    <mergeCell ref="I10:J10"/>
    <mergeCell ref="I9:J9"/>
    <mergeCell ref="K20:L20"/>
    <mergeCell ref="S18:T18"/>
    <mergeCell ref="S17:T17"/>
    <mergeCell ref="I37:T37"/>
    <mergeCell ref="S11:T11"/>
    <mergeCell ref="K11:L11"/>
    <mergeCell ref="M11:R11"/>
    <mergeCell ref="I11:J11"/>
    <mergeCell ref="E34:H34"/>
    <mergeCell ref="I34:T34"/>
    <mergeCell ref="I38:T38"/>
    <mergeCell ref="M18:R18"/>
    <mergeCell ref="E24:H24"/>
    <mergeCell ref="I24:T24"/>
    <mergeCell ref="E23:H23"/>
    <mergeCell ref="I23:T23"/>
    <mergeCell ref="I30:T30"/>
    <mergeCell ref="I31:T31"/>
    <mergeCell ref="I32:T32"/>
    <mergeCell ref="E35:H35"/>
    <mergeCell ref="I35:T35"/>
    <mergeCell ref="I36:T36"/>
    <mergeCell ref="S19:T19"/>
    <mergeCell ref="M20:R20"/>
    <mergeCell ref="I39:T39"/>
    <mergeCell ref="E42:H42"/>
    <mergeCell ref="I42:T42"/>
    <mergeCell ref="I43:T43"/>
    <mergeCell ref="I45:T45"/>
    <mergeCell ref="I44:T44"/>
    <mergeCell ref="E41:H41"/>
    <mergeCell ref="I41:T41"/>
    <mergeCell ref="I46:T46"/>
    <mergeCell ref="E49:H49"/>
    <mergeCell ref="E52:H52"/>
    <mergeCell ref="I49:J50"/>
    <mergeCell ref="K49:T50"/>
    <mergeCell ref="I52:J53"/>
    <mergeCell ref="K52:T53"/>
    <mergeCell ref="E48:H48"/>
    <mergeCell ref="I48:T48"/>
    <mergeCell ref="S16:T16"/>
    <mergeCell ref="S15:T15"/>
    <mergeCell ref="I27:T27"/>
    <mergeCell ref="E28:H28"/>
    <mergeCell ref="I13:J13"/>
    <mergeCell ref="K13:L13"/>
    <mergeCell ref="M13:R13"/>
    <mergeCell ref="S13:T13"/>
    <mergeCell ref="S14:T14"/>
    <mergeCell ref="I15:J15"/>
    <mergeCell ref="I20:J20"/>
    <mergeCell ref="S20:T20"/>
    <mergeCell ref="I18:J18"/>
    <mergeCell ref="K17:L17"/>
    <mergeCell ref="K18:L18"/>
    <mergeCell ref="M17:R17"/>
  </mergeCells>
  <dataValidations count="6">
    <dataValidation allowBlank="1" showInputMessage="1" showErrorMessage="1" prompt="Nhập dữ liệu phân tích mô tả về bản thân" sqref="I28:T32 I35:T39 I42:T43 I44:T46" xr:uid="{00000000-0002-0000-0200-000000000000}"/>
    <dataValidation allowBlank="1" showInputMessage="1" showErrorMessage="1" prompt="Nhập dữ liệu" sqref="I24:T24 I6:T6 S9:T11 S14:T19 S20:T20" xr:uid="{00000000-0002-0000-0200-000001000000}"/>
    <dataValidation allowBlank="1" showInputMessage="1" showErrorMessage="1" prompt="Nhấn vào đây để làm khảo sát" sqref="I49:J50 I52:J53" xr:uid="{00000000-0002-0000-0200-000002000000}"/>
    <dataValidation allowBlank="1" showInputMessage="1" showErrorMessage="1" prompt="Nhập mục tiêu tài chính ngắn gọn" sqref="M16:R18 M14:M15 M9:R11" xr:uid="{00000000-0002-0000-0200-000003000000}"/>
    <dataValidation allowBlank="1" showInputMessage="1" showErrorMessage="1" prompt="Nhập dữ liệu, chỉ nhập số" sqref="K9:L11 K14:L19 K20:L20" xr:uid="{00000000-0002-0000-0200-000004000000}"/>
    <dataValidation allowBlank="1" showInputMessage="1" showErrorMessage="1" prompt="Hai mục tiêu này giữ nguyên, không đổi (Điền cột giá trị = 0 nếu không có)" sqref="M19:R19 M20:R20" xr:uid="{00000000-0002-0000-0200-000005000000}"/>
  </dataValidations>
  <hyperlinks>
    <hyperlink ref="I49:J50" location="'Bảng khảo sát'!B2" display="Link khảo sát" xr:uid="{00000000-0004-0000-0200-000000000000}"/>
    <hyperlink ref="I52:J53" location="'Bảng khảo sát'!B61" display="Link khảo sát" xr:uid="{00000000-0004-0000-0200-000001000000}"/>
  </hyperlinks>
  <pageMargins left="0.7" right="0.7" top="0.75" bottom="0.75" header="0.3" footer="0.3"/>
  <pageSetup scale="31"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4"/>
  </sheetPr>
  <dimension ref="A1:OQ264"/>
  <sheetViews>
    <sheetView showGridLines="0" zoomScale="70" zoomScaleNormal="70" workbookViewId="0">
      <pane xSplit="4" ySplit="4" topLeftCell="E78" activePane="bottomRight" state="frozen"/>
      <selection pane="topRight" activeCell="E1" sqref="E1"/>
      <selection pane="bottomLeft" activeCell="A5" sqref="A5"/>
      <selection pane="bottomRight"/>
    </sheetView>
  </sheetViews>
  <sheetFormatPr defaultColWidth="9.19921875" defaultRowHeight="14.25" x14ac:dyDescent="0.45"/>
  <cols>
    <col min="1" max="3" width="9.19921875" style="325" customWidth="1"/>
    <col min="4" max="4" width="9.19921875" style="326" customWidth="1"/>
    <col min="5" max="12" width="11.53125" style="326" customWidth="1"/>
    <col min="13" max="14" width="9.19921875" style="326" customWidth="1"/>
    <col min="15" max="15" width="9.796875" style="326" customWidth="1"/>
    <col min="16" max="21" width="9.19921875" style="326" customWidth="1"/>
    <col min="22" max="22" width="10" style="326" customWidth="1"/>
    <col min="23" max="26" width="9.19921875" style="326" customWidth="1"/>
    <col min="27" max="28" width="12.19921875" style="326" customWidth="1"/>
    <col min="29" max="407" width="9.19921875" style="326" customWidth="1"/>
    <col min="408" max="16384" width="9.19921875" style="326"/>
  </cols>
  <sheetData>
    <row r="1" spans="1:36" s="2" customFormat="1" ht="15" customHeight="1" x14ac:dyDescent="0.45">
      <c r="A1" s="1"/>
      <c r="B1" s="1"/>
      <c r="C1" s="1"/>
      <c r="E1" s="353" t="s">
        <v>104</v>
      </c>
      <c r="F1" s="353"/>
      <c r="G1" s="353"/>
      <c r="H1" s="353"/>
      <c r="I1" s="353"/>
      <c r="J1" s="353"/>
      <c r="K1" s="353"/>
      <c r="L1" s="353"/>
      <c r="M1" s="353"/>
      <c r="N1" s="353"/>
      <c r="O1" s="353"/>
      <c r="P1" s="353"/>
    </row>
    <row r="2" spans="1:36" s="2" customFormat="1" ht="15" customHeight="1" x14ac:dyDescent="0.45">
      <c r="A2" s="1"/>
      <c r="B2" s="1"/>
      <c r="C2" s="1"/>
      <c r="E2" s="353"/>
      <c r="F2" s="353"/>
      <c r="G2" s="353"/>
      <c r="H2" s="353"/>
      <c r="I2" s="353"/>
      <c r="J2" s="353"/>
      <c r="K2" s="353"/>
      <c r="L2" s="353"/>
      <c r="M2" s="353"/>
      <c r="N2" s="353"/>
      <c r="O2" s="353"/>
      <c r="P2" s="353"/>
    </row>
    <row r="3" spans="1:36" s="2" customFormat="1" ht="14.65" thickBot="1" x14ac:dyDescent="0.5">
      <c r="A3" s="1"/>
      <c r="B3" s="1"/>
      <c r="C3" s="1"/>
      <c r="E3" s="353"/>
      <c r="F3" s="353"/>
      <c r="G3" s="353"/>
      <c r="H3" s="353"/>
      <c r="I3" s="353"/>
      <c r="J3" s="353"/>
      <c r="K3" s="353"/>
      <c r="L3" s="353"/>
      <c r="M3" s="353"/>
      <c r="N3" s="353"/>
      <c r="O3" s="353"/>
      <c r="P3" s="353"/>
      <c r="Q3" s="3" t="s">
        <v>45</v>
      </c>
    </row>
    <row r="4" spans="1:36" s="4" customFormat="1" ht="18.399999999999999" thickBot="1" x14ac:dyDescent="0.5">
      <c r="A4" s="1"/>
      <c r="B4" s="1"/>
      <c r="C4" s="1"/>
      <c r="F4" s="525" t="s">
        <v>132</v>
      </c>
      <c r="G4" s="525"/>
      <c r="H4" s="525" t="s">
        <v>133</v>
      </c>
      <c r="I4" s="525"/>
      <c r="J4"/>
      <c r="K4"/>
      <c r="N4" s="34" t="str">
        <f>'Từ khóa'!L5</f>
        <v>Tuổi của bạn năm 2023</v>
      </c>
      <c r="Q4" s="330">
        <f>'Từ khóa'!L7</f>
        <v>21</v>
      </c>
      <c r="AJ4" s="59"/>
    </row>
    <row r="5" spans="1:36" s="4" customFormat="1" ht="15" customHeight="1" x14ac:dyDescent="0.45">
      <c r="A5" s="1"/>
      <c r="B5" s="1"/>
      <c r="C5" s="1"/>
      <c r="E5" s="435" t="s">
        <v>426</v>
      </c>
      <c r="F5" s="435"/>
      <c r="G5" s="435"/>
      <c r="H5" s="435"/>
      <c r="I5" s="435"/>
      <c r="J5" s="435"/>
      <c r="K5" s="435"/>
      <c r="L5" s="435"/>
      <c r="M5" s="5"/>
      <c r="N5" s="5"/>
      <c r="O5" s="5"/>
      <c r="P5" s="5"/>
      <c r="Q5" s="5"/>
      <c r="R5" s="5"/>
      <c r="S5" s="5"/>
      <c r="T5" s="5"/>
      <c r="U5" s="5"/>
      <c r="V5" s="5"/>
      <c r="W5" s="5"/>
      <c r="X5" s="5"/>
      <c r="Y5" s="5"/>
      <c r="Z5" s="6"/>
      <c r="AA5" s="6"/>
      <c r="AB5" s="6"/>
      <c r="AC5" s="6"/>
      <c r="AD5" s="6"/>
      <c r="AE5" s="6"/>
      <c r="AF5" s="6"/>
      <c r="AG5" s="6"/>
      <c r="AH5" s="6"/>
      <c r="AI5" s="6"/>
    </row>
    <row r="6" spans="1:36" s="8" customFormat="1" ht="15" customHeight="1" thickBot="1" x14ac:dyDescent="0.5">
      <c r="A6" s="7"/>
      <c r="B6" s="7"/>
      <c r="C6" s="7"/>
      <c r="E6" s="436"/>
      <c r="F6" s="436"/>
      <c r="G6" s="436"/>
      <c r="H6" s="436"/>
      <c r="I6" s="436"/>
      <c r="J6" s="436"/>
      <c r="K6" s="436"/>
      <c r="L6" s="436"/>
      <c r="M6" s="9"/>
      <c r="N6" s="9"/>
      <c r="O6" s="9"/>
      <c r="P6" s="9"/>
      <c r="Q6" s="9"/>
      <c r="R6" s="9"/>
      <c r="S6" s="9"/>
      <c r="T6" s="9"/>
      <c r="U6" s="9"/>
      <c r="V6" s="9"/>
      <c r="W6" s="9"/>
      <c r="X6" s="9"/>
      <c r="Y6" s="9"/>
      <c r="Z6" s="10"/>
      <c r="AA6" s="10"/>
      <c r="AB6" s="10"/>
      <c r="AC6" s="10"/>
      <c r="AD6" s="10"/>
      <c r="AE6" s="10"/>
      <c r="AF6" s="10"/>
      <c r="AG6" s="10"/>
      <c r="AH6" s="10"/>
      <c r="AI6" s="10"/>
    </row>
    <row r="7" spans="1:36" s="4" customFormat="1" ht="15" customHeight="1" x14ac:dyDescent="0.8">
      <c r="A7" s="1"/>
      <c r="B7" s="1"/>
      <c r="C7" s="1"/>
      <c r="E7" s="317"/>
      <c r="F7" s="317"/>
      <c r="G7" s="317"/>
      <c r="H7" s="317"/>
      <c r="I7" s="317"/>
      <c r="J7" s="317"/>
      <c r="K7" s="317"/>
      <c r="L7" s="317"/>
      <c r="M7" s="5"/>
      <c r="N7" s="5"/>
      <c r="O7" s="5"/>
      <c r="P7" s="5"/>
      <c r="Q7" s="5"/>
      <c r="R7" s="5"/>
      <c r="S7" s="5"/>
      <c r="T7" s="5"/>
      <c r="U7" s="5"/>
      <c r="V7" s="5"/>
      <c r="W7" s="5"/>
      <c r="X7" s="5"/>
      <c r="Y7" s="5"/>
      <c r="Z7" s="6"/>
      <c r="AA7" s="6"/>
      <c r="AB7" s="6"/>
      <c r="AC7" s="6"/>
      <c r="AD7" s="6"/>
      <c r="AE7" s="6"/>
      <c r="AF7" s="6"/>
      <c r="AG7" s="6"/>
      <c r="AH7" s="6"/>
      <c r="AI7" s="6"/>
    </row>
    <row r="8" spans="1:36" s="4" customFormat="1" ht="15" customHeight="1" thickBot="1" x14ac:dyDescent="0.5">
      <c r="A8" s="1"/>
      <c r="B8" s="1"/>
      <c r="C8" s="1"/>
      <c r="E8" s="328" t="s">
        <v>429</v>
      </c>
      <c r="F8" s="329"/>
      <c r="G8" s="329"/>
      <c r="H8" s="329"/>
      <c r="I8" s="329"/>
      <c r="J8" s="6"/>
      <c r="K8" s="6"/>
      <c r="L8" s="6"/>
      <c r="M8" s="6"/>
      <c r="N8" s="6"/>
      <c r="O8" s="6"/>
      <c r="P8" s="6"/>
      <c r="Q8" s="6"/>
      <c r="R8" s="6"/>
      <c r="S8" s="6"/>
      <c r="T8" s="6"/>
      <c r="U8" s="6"/>
      <c r="V8" s="6"/>
      <c r="W8" s="6"/>
      <c r="X8" s="6"/>
      <c r="Y8" s="6"/>
      <c r="Z8" s="6"/>
      <c r="AA8" s="6"/>
      <c r="AB8" s="6"/>
      <c r="AC8" s="6"/>
      <c r="AD8" s="6"/>
      <c r="AE8" s="6"/>
      <c r="AF8" s="6"/>
      <c r="AG8" s="6"/>
      <c r="AH8" s="6"/>
      <c r="AI8" s="6"/>
    </row>
    <row r="9" spans="1:36" s="4" customFormat="1" ht="17.25" thickBot="1" x14ac:dyDescent="0.5">
      <c r="A9" s="1"/>
      <c r="B9" s="1"/>
      <c r="C9" s="1"/>
      <c r="E9" s="443" t="str">
        <f>'Mục tiêu bản thân'!I8&amp;" "&amp;'Mục tiêu bản thân'!I9&amp;": "&amp;'Mục tiêu bản thân'!M9</f>
        <v>Mục tiêu trả nợ 1: Vay mua chung cư</v>
      </c>
      <c r="F9" s="444"/>
      <c r="G9" s="444"/>
      <c r="H9" s="444"/>
      <c r="I9" s="444"/>
      <c r="J9" s="444"/>
      <c r="K9" s="444"/>
      <c r="L9" s="444"/>
      <c r="M9" s="444"/>
      <c r="N9" s="444"/>
      <c r="O9" s="444"/>
      <c r="P9"/>
      <c r="Q9" s="6"/>
      <c r="R9" s="6"/>
      <c r="S9" s="6"/>
      <c r="T9" s="6"/>
      <c r="U9" s="6"/>
      <c r="V9" s="6"/>
      <c r="W9" s="6"/>
      <c r="X9" s="6"/>
    </row>
    <row r="10" spans="1:36" s="4" customFormat="1" x14ac:dyDescent="0.45">
      <c r="A10" s="1"/>
      <c r="B10" s="1"/>
      <c r="C10" s="1"/>
      <c r="E10" s="11"/>
      <c r="F10" s="6"/>
      <c r="G10" s="6"/>
      <c r="H10" s="6"/>
      <c r="I10" s="6"/>
      <c r="J10" s="6"/>
      <c r="K10" s="12"/>
      <c r="L10" s="6"/>
      <c r="M10" s="6"/>
      <c r="N10" s="6"/>
      <c r="O10" s="13"/>
      <c r="P10"/>
      <c r="Q10" s="6"/>
      <c r="R10" s="6"/>
      <c r="S10" s="6"/>
      <c r="T10" s="6"/>
      <c r="U10" s="6"/>
      <c r="V10" s="6"/>
      <c r="W10" s="6"/>
      <c r="X10" s="6"/>
    </row>
    <row r="11" spans="1:36" s="4" customFormat="1" ht="14.65" thickBot="1" x14ac:dyDescent="0.5">
      <c r="A11" s="1"/>
      <c r="B11" s="1"/>
      <c r="C11" s="1"/>
      <c r="E11" s="445" t="s">
        <v>127</v>
      </c>
      <c r="F11" s="407"/>
      <c r="G11" s="407"/>
      <c r="H11" s="407"/>
      <c r="I11" s="465">
        <v>2037</v>
      </c>
      <c r="J11" s="466"/>
      <c r="K11" s="164" t="s">
        <v>61</v>
      </c>
      <c r="L11" s="165"/>
      <c r="M11" s="165"/>
      <c r="N11" s="165"/>
      <c r="O11" s="14"/>
      <c r="P11"/>
      <c r="Q11" s="6"/>
      <c r="R11" s="6"/>
      <c r="S11" s="6"/>
      <c r="T11" s="6"/>
      <c r="U11" s="6"/>
      <c r="V11" s="6"/>
      <c r="W11" s="6"/>
      <c r="X11" s="6"/>
    </row>
    <row r="12" spans="1:36" s="4" customFormat="1" ht="14.65" thickBot="1" x14ac:dyDescent="0.5">
      <c r="A12" s="1"/>
      <c r="B12" s="1"/>
      <c r="C12" s="1"/>
      <c r="E12" s="445" t="s">
        <v>126</v>
      </c>
      <c r="F12" s="407"/>
      <c r="G12" s="407"/>
      <c r="H12" s="407"/>
      <c r="I12" s="459">
        <v>2052</v>
      </c>
      <c r="J12" s="460"/>
      <c r="K12" s="461" t="s">
        <v>4</v>
      </c>
      <c r="L12" s="462"/>
      <c r="M12" s="462"/>
      <c r="N12" s="462"/>
      <c r="O12" s="16" t="s">
        <v>49</v>
      </c>
      <c r="P12"/>
      <c r="Q12" s="6"/>
      <c r="R12" s="6"/>
      <c r="S12" s="6"/>
      <c r="T12" s="6"/>
      <c r="U12" s="6"/>
      <c r="V12" s="6"/>
      <c r="W12" s="6"/>
      <c r="X12" s="6"/>
    </row>
    <row r="13" spans="1:36" s="4" customFormat="1" ht="14.65" thickBot="1" x14ac:dyDescent="0.5">
      <c r="A13" s="1"/>
      <c r="B13" s="1"/>
      <c r="C13" s="1"/>
      <c r="E13" s="445" t="s">
        <v>58</v>
      </c>
      <c r="F13" s="407"/>
      <c r="G13" s="407"/>
      <c r="H13" s="407"/>
      <c r="I13" s="446">
        <f>'Mục tiêu bản thân'!S9</f>
        <v>500</v>
      </c>
      <c r="J13" s="447"/>
      <c r="K13" s="18"/>
      <c r="L13" s="19"/>
      <c r="M13" s="19"/>
      <c r="N13" s="20"/>
      <c r="O13" s="13"/>
      <c r="P13"/>
      <c r="Q13" s="6"/>
      <c r="R13" s="6"/>
      <c r="S13" s="6"/>
      <c r="T13" s="6"/>
      <c r="U13" s="6"/>
      <c r="V13" s="6"/>
      <c r="W13" s="6"/>
      <c r="X13" s="6"/>
    </row>
    <row r="14" spans="1:36" s="4" customFormat="1" ht="14.65" thickBot="1" x14ac:dyDescent="0.5">
      <c r="A14" s="1"/>
      <c r="B14" s="1"/>
      <c r="C14" s="1"/>
      <c r="E14" s="445" t="s">
        <v>69</v>
      </c>
      <c r="F14" s="407"/>
      <c r="G14" s="407"/>
      <c r="H14" s="407"/>
      <c r="I14" s="474">
        <v>0.08</v>
      </c>
      <c r="J14" s="475"/>
      <c r="K14" s="455" t="s">
        <v>71</v>
      </c>
      <c r="L14" s="456"/>
      <c r="M14" s="456"/>
      <c r="N14" s="456"/>
      <c r="O14" s="68">
        <f>IF(I12-I11&gt;-0.1,I12-I11+1,0)</f>
        <v>16</v>
      </c>
      <c r="P14"/>
      <c r="Q14" s="6"/>
      <c r="R14" s="6"/>
      <c r="S14" s="6"/>
      <c r="T14" s="6"/>
      <c r="U14" s="6"/>
      <c r="V14" s="6"/>
      <c r="W14" s="6"/>
      <c r="X14" s="6"/>
    </row>
    <row r="15" spans="1:36" s="4" customFormat="1" x14ac:dyDescent="0.45">
      <c r="A15" s="1"/>
      <c r="B15" s="1"/>
      <c r="C15" s="1"/>
      <c r="E15" s="451" t="s">
        <v>59</v>
      </c>
      <c r="F15" s="452"/>
      <c r="G15" s="452"/>
      <c r="H15" s="452"/>
      <c r="I15" s="453">
        <v>400</v>
      </c>
      <c r="J15" s="454"/>
      <c r="K15" s="455" t="s">
        <v>62</v>
      </c>
      <c r="L15" s="456"/>
      <c r="M15" s="456"/>
      <c r="N15" s="456"/>
      <c r="O15" s="69">
        <f>IF(O14=0,0,-PMT(I14/12,O14*12,I16))</f>
        <v>0.92492502694696199</v>
      </c>
      <c r="P15"/>
      <c r="Q15" s="6"/>
      <c r="R15" s="6"/>
      <c r="S15" s="6"/>
      <c r="T15" s="6"/>
      <c r="U15" s="6"/>
      <c r="V15" s="6"/>
      <c r="W15" s="6"/>
      <c r="X15" s="6"/>
    </row>
    <row r="16" spans="1:36" s="4" customFormat="1" ht="14.65" thickBot="1" x14ac:dyDescent="0.5">
      <c r="A16" s="1"/>
      <c r="B16" s="1"/>
      <c r="C16" s="1"/>
      <c r="E16" s="469" t="s">
        <v>60</v>
      </c>
      <c r="F16" s="470"/>
      <c r="G16" s="470"/>
      <c r="H16" s="470"/>
      <c r="I16" s="476">
        <f>I13-I15</f>
        <v>100</v>
      </c>
      <c r="J16" s="476"/>
      <c r="K16" s="472" t="s">
        <v>63</v>
      </c>
      <c r="L16" s="473"/>
      <c r="M16" s="473"/>
      <c r="N16" s="473"/>
      <c r="O16" s="70">
        <f>O15*12</f>
        <v>11.099100323363544</v>
      </c>
      <c r="P16"/>
      <c r="Q16" s="6"/>
      <c r="R16" s="6"/>
      <c r="S16" s="6"/>
      <c r="T16" s="6"/>
      <c r="U16" s="6"/>
      <c r="V16" s="6"/>
      <c r="W16" s="6"/>
      <c r="X16" s="6"/>
    </row>
    <row r="17" spans="1:35" s="4" customFormat="1" ht="14.65" thickBot="1" x14ac:dyDescent="0.5">
      <c r="A17" s="1"/>
      <c r="B17" s="1"/>
      <c r="C17" s="1"/>
      <c r="E17" s="6"/>
      <c r="F17" s="6"/>
      <c r="G17" s="6"/>
      <c r="H17" s="6"/>
      <c r="I17" s="6"/>
      <c r="J17" s="6"/>
      <c r="K17" s="6"/>
      <c r="L17" s="6"/>
      <c r="M17" s="6"/>
      <c r="N17" s="6"/>
      <c r="O17" s="6"/>
      <c r="P17" s="6"/>
      <c r="Q17" s="6"/>
      <c r="R17" s="6"/>
      <c r="S17" s="6"/>
      <c r="T17" s="6"/>
      <c r="U17" s="6"/>
      <c r="V17" s="6"/>
      <c r="W17" s="6"/>
      <c r="X17" s="6"/>
    </row>
    <row r="18" spans="1:35" s="4" customFormat="1" ht="17.25" thickBot="1" x14ac:dyDescent="0.5">
      <c r="A18" s="1"/>
      <c r="B18" s="1"/>
      <c r="C18" s="1"/>
      <c r="E18" s="443" t="str">
        <f>'Mục tiêu bản thân'!I8&amp;" "&amp;'Mục tiêu bản thân'!I10&amp;": "&amp;'Mục tiêu bản thân'!M10</f>
        <v xml:space="preserve">Mục tiêu trả nợ 2: </v>
      </c>
      <c r="F18" s="444"/>
      <c r="G18" s="444"/>
      <c r="H18" s="444"/>
      <c r="I18" s="444"/>
      <c r="J18" s="444"/>
      <c r="K18" s="444"/>
      <c r="L18" s="444"/>
      <c r="M18" s="444"/>
      <c r="N18" s="444"/>
      <c r="O18" s="444"/>
      <c r="P18"/>
      <c r="Q18" s="6"/>
      <c r="R18" s="6"/>
      <c r="S18" s="6"/>
      <c r="T18" s="6"/>
      <c r="U18" s="6"/>
      <c r="V18" s="6"/>
      <c r="W18" s="6"/>
      <c r="X18" s="6"/>
    </row>
    <row r="19" spans="1:35" s="4" customFormat="1" x14ac:dyDescent="0.45">
      <c r="A19" s="1"/>
      <c r="B19" s="1"/>
      <c r="C19" s="1"/>
      <c r="E19" s="11"/>
      <c r="F19" s="6"/>
      <c r="G19" s="6"/>
      <c r="H19" s="6"/>
      <c r="I19" s="6"/>
      <c r="J19" s="6"/>
      <c r="K19" s="12"/>
      <c r="L19" s="6"/>
      <c r="M19" s="6"/>
      <c r="N19" s="6"/>
      <c r="O19" s="13"/>
      <c r="P19"/>
      <c r="Q19" s="6"/>
      <c r="R19" s="6"/>
      <c r="S19" s="6"/>
      <c r="T19" s="6"/>
      <c r="U19" s="6"/>
      <c r="V19" s="6"/>
      <c r="W19" s="6"/>
      <c r="X19" s="6"/>
    </row>
    <row r="20" spans="1:35" s="4" customFormat="1" ht="14.65" thickBot="1" x14ac:dyDescent="0.5">
      <c r="A20" s="1"/>
      <c r="B20" s="1"/>
      <c r="C20" s="1"/>
      <c r="E20" s="445" t="s">
        <v>127</v>
      </c>
      <c r="F20" s="407"/>
      <c r="G20" s="407"/>
      <c r="H20" s="407"/>
      <c r="I20" s="465"/>
      <c r="J20" s="466"/>
      <c r="K20" s="164" t="s">
        <v>61</v>
      </c>
      <c r="L20" s="165"/>
      <c r="M20" s="165"/>
      <c r="N20" s="165"/>
      <c r="O20" s="14"/>
      <c r="P20"/>
      <c r="Q20" s="6"/>
      <c r="R20" s="6"/>
      <c r="S20" s="6"/>
      <c r="T20" s="6"/>
      <c r="U20" s="6"/>
      <c r="V20" s="6"/>
      <c r="W20" s="6"/>
      <c r="X20" s="6"/>
    </row>
    <row r="21" spans="1:35" s="4" customFormat="1" ht="14.65" thickBot="1" x14ac:dyDescent="0.5">
      <c r="A21" s="1"/>
      <c r="B21" s="1"/>
      <c r="C21" s="1"/>
      <c r="E21" s="445" t="s">
        <v>126</v>
      </c>
      <c r="F21" s="407"/>
      <c r="G21" s="407"/>
      <c r="H21" s="407"/>
      <c r="I21" s="459"/>
      <c r="J21" s="460"/>
      <c r="K21" s="461" t="s">
        <v>4</v>
      </c>
      <c r="L21" s="462"/>
      <c r="M21" s="462"/>
      <c r="N21" s="462"/>
      <c r="O21" s="16" t="s">
        <v>49</v>
      </c>
      <c r="P21"/>
      <c r="Q21" s="6"/>
      <c r="R21" s="6"/>
      <c r="S21" s="6"/>
      <c r="T21" s="6"/>
      <c r="U21" s="6"/>
      <c r="V21" s="6"/>
      <c r="W21" s="6"/>
      <c r="X21" s="6"/>
    </row>
    <row r="22" spans="1:35" s="4" customFormat="1" ht="14.65" thickBot="1" x14ac:dyDescent="0.5">
      <c r="A22" s="1"/>
      <c r="B22" s="1"/>
      <c r="C22" s="1"/>
      <c r="E22" s="445" t="s">
        <v>58</v>
      </c>
      <c r="F22" s="407"/>
      <c r="G22" s="407"/>
      <c r="H22" s="407"/>
      <c r="I22" s="446">
        <f>'Mục tiêu bản thân'!S10</f>
        <v>0</v>
      </c>
      <c r="J22" s="447"/>
      <c r="K22" s="18"/>
      <c r="L22" s="19"/>
      <c r="M22" s="19"/>
      <c r="N22" s="20"/>
      <c r="O22" s="13"/>
      <c r="P22"/>
      <c r="Q22" s="6"/>
      <c r="R22" s="6"/>
      <c r="S22" s="6"/>
      <c r="T22" s="6"/>
      <c r="U22" s="6"/>
      <c r="V22" s="6"/>
      <c r="W22" s="6"/>
      <c r="X22" s="6"/>
    </row>
    <row r="23" spans="1:35" s="4" customFormat="1" ht="14.65" thickBot="1" x14ac:dyDescent="0.5">
      <c r="A23" s="1"/>
      <c r="B23" s="1"/>
      <c r="C23" s="1"/>
      <c r="E23" s="445" t="s">
        <v>69</v>
      </c>
      <c r="F23" s="407"/>
      <c r="G23" s="407"/>
      <c r="H23" s="407"/>
      <c r="I23" s="474"/>
      <c r="J23" s="475"/>
      <c r="K23" s="455" t="s">
        <v>71</v>
      </c>
      <c r="L23" s="456"/>
      <c r="M23" s="456"/>
      <c r="N23" s="456"/>
      <c r="O23" s="68">
        <f>IF(I21-I20&gt;-0.1,I21-I20+1,0)</f>
        <v>1</v>
      </c>
      <c r="P23"/>
      <c r="Q23" s="6"/>
      <c r="R23" s="6"/>
      <c r="S23" s="6"/>
      <c r="T23" s="6"/>
      <c r="U23" s="6"/>
      <c r="V23" s="6"/>
      <c r="W23" s="6"/>
      <c r="X23" s="6"/>
    </row>
    <row r="24" spans="1:35" s="4" customFormat="1" x14ac:dyDescent="0.45">
      <c r="A24" s="1"/>
      <c r="B24" s="1"/>
      <c r="C24" s="1"/>
      <c r="E24" s="451" t="s">
        <v>59</v>
      </c>
      <c r="F24" s="452"/>
      <c r="G24" s="452"/>
      <c r="H24" s="452"/>
      <c r="I24" s="453"/>
      <c r="J24" s="454"/>
      <c r="K24" s="455" t="s">
        <v>62</v>
      </c>
      <c r="L24" s="456"/>
      <c r="M24" s="456"/>
      <c r="N24" s="456"/>
      <c r="O24" s="69">
        <f>IF(O23=0,0,-PMT(I23/12,O23*12,I24,I25))</f>
        <v>0</v>
      </c>
      <c r="P24"/>
      <c r="Q24" s="6"/>
      <c r="R24" s="6"/>
      <c r="S24" s="6"/>
      <c r="T24" s="6"/>
      <c r="U24" s="6"/>
      <c r="V24" s="6"/>
      <c r="W24" s="6"/>
      <c r="X24" s="6"/>
    </row>
    <row r="25" spans="1:35" s="4" customFormat="1" ht="14.65" thickBot="1" x14ac:dyDescent="0.5">
      <c r="A25" s="1"/>
      <c r="B25" s="1"/>
      <c r="C25" s="1"/>
      <c r="E25" s="469" t="s">
        <v>83</v>
      </c>
      <c r="F25" s="470"/>
      <c r="G25" s="470"/>
      <c r="H25" s="470"/>
      <c r="I25" s="476">
        <f>I22-I24</f>
        <v>0</v>
      </c>
      <c r="J25" s="476"/>
      <c r="K25" s="472" t="s">
        <v>63</v>
      </c>
      <c r="L25" s="473"/>
      <c r="M25" s="473"/>
      <c r="N25" s="473"/>
      <c r="O25" s="70">
        <f>O24*12</f>
        <v>0</v>
      </c>
      <c r="P25"/>
      <c r="Q25" s="6"/>
      <c r="R25" s="6"/>
      <c r="S25" s="6"/>
      <c r="T25" s="6"/>
      <c r="U25" s="6"/>
      <c r="V25" s="6"/>
      <c r="W25" s="6"/>
      <c r="X25" s="6"/>
    </row>
    <row r="26" spans="1:35" s="4" customFormat="1" ht="14.65" thickBot="1" x14ac:dyDescent="0.5">
      <c r="A26" s="1"/>
      <c r="B26" s="1"/>
      <c r="C26" s="1"/>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row>
    <row r="27" spans="1:35" s="4" customFormat="1" ht="17.25" thickBot="1" x14ac:dyDescent="0.5">
      <c r="A27" s="1"/>
      <c r="B27" s="1"/>
      <c r="C27" s="1"/>
      <c r="E27" s="443" t="str">
        <f>'Mục tiêu bản thân'!I8&amp;" "&amp;'Mục tiêu bản thân'!I11&amp;": "&amp;'Mục tiêu bản thân'!M11</f>
        <v xml:space="preserve">Mục tiêu trả nợ 3: </v>
      </c>
      <c r="F27" s="444"/>
      <c r="G27" s="444"/>
      <c r="H27" s="444"/>
      <c r="I27" s="444"/>
      <c r="J27" s="444"/>
      <c r="K27" s="444"/>
      <c r="L27" s="444"/>
      <c r="M27" s="444"/>
      <c r="N27" s="444"/>
      <c r="O27" s="444"/>
      <c r="P27"/>
      <c r="Q27" s="6"/>
      <c r="R27" s="6"/>
      <c r="S27" s="6"/>
      <c r="T27" s="6"/>
      <c r="U27" s="6"/>
      <c r="V27" s="6"/>
      <c r="W27" s="6"/>
      <c r="X27" s="6"/>
      <c r="Y27" s="6"/>
      <c r="Z27" s="6"/>
      <c r="AA27" s="6"/>
      <c r="AB27" s="6"/>
      <c r="AC27" s="6"/>
      <c r="AD27" s="6"/>
      <c r="AE27" s="6"/>
      <c r="AF27" s="6"/>
      <c r="AG27" s="6"/>
      <c r="AH27" s="6"/>
      <c r="AI27" s="6"/>
    </row>
    <row r="28" spans="1:35" s="4" customFormat="1" x14ac:dyDescent="0.45">
      <c r="A28" s="1"/>
      <c r="B28" s="1"/>
      <c r="C28" s="1"/>
      <c r="E28" s="11"/>
      <c r="F28" s="6"/>
      <c r="G28" s="6"/>
      <c r="H28" s="6"/>
      <c r="I28" s="6"/>
      <c r="J28" s="6"/>
      <c r="K28" s="12"/>
      <c r="L28" s="6"/>
      <c r="M28" s="6"/>
      <c r="N28" s="6"/>
      <c r="O28" s="13"/>
      <c r="P28"/>
      <c r="Q28" s="6"/>
      <c r="R28" s="6"/>
      <c r="S28" s="6"/>
      <c r="T28" s="6"/>
      <c r="U28" s="6"/>
      <c r="V28" s="6"/>
      <c r="W28" s="6"/>
      <c r="X28" s="6"/>
      <c r="Y28" s="6"/>
      <c r="Z28" s="6"/>
      <c r="AA28" s="6"/>
      <c r="AB28" s="6"/>
      <c r="AC28" s="6"/>
      <c r="AD28" s="6"/>
      <c r="AE28" s="6"/>
      <c r="AF28" s="6"/>
      <c r="AG28" s="6"/>
      <c r="AH28" s="6"/>
      <c r="AI28" s="6"/>
    </row>
    <row r="29" spans="1:35" s="4" customFormat="1" ht="14.65" thickBot="1" x14ac:dyDescent="0.5">
      <c r="A29" s="1"/>
      <c r="B29" s="1"/>
      <c r="C29" s="1"/>
      <c r="E29" s="445" t="s">
        <v>127</v>
      </c>
      <c r="F29" s="407"/>
      <c r="G29" s="407"/>
      <c r="H29" s="407"/>
      <c r="I29" s="465"/>
      <c r="J29" s="466"/>
      <c r="K29" s="164" t="s">
        <v>61</v>
      </c>
      <c r="L29" s="165"/>
      <c r="M29" s="165"/>
      <c r="N29" s="165"/>
      <c r="O29" s="14"/>
      <c r="P29"/>
      <c r="Q29" s="6"/>
      <c r="R29" s="6"/>
      <c r="S29" s="6"/>
      <c r="T29" s="6"/>
      <c r="U29" s="6"/>
      <c r="V29" s="6"/>
      <c r="W29" s="6"/>
      <c r="X29" s="6"/>
      <c r="Y29" s="6"/>
      <c r="Z29" s="6"/>
      <c r="AA29" s="6"/>
      <c r="AB29" s="6"/>
      <c r="AC29" s="6"/>
      <c r="AD29" s="6"/>
      <c r="AE29" s="6"/>
      <c r="AF29" s="6"/>
      <c r="AG29" s="6"/>
      <c r="AH29" s="6"/>
      <c r="AI29" s="6"/>
    </row>
    <row r="30" spans="1:35" s="4" customFormat="1" ht="14.65" thickBot="1" x14ac:dyDescent="0.5">
      <c r="A30" s="1"/>
      <c r="B30" s="1"/>
      <c r="C30" s="1"/>
      <c r="E30" s="445" t="s">
        <v>126</v>
      </c>
      <c r="F30" s="407"/>
      <c r="G30" s="407"/>
      <c r="H30" s="407"/>
      <c r="I30" s="459"/>
      <c r="J30" s="460"/>
      <c r="K30" s="461" t="s">
        <v>4</v>
      </c>
      <c r="L30" s="462"/>
      <c r="M30" s="462"/>
      <c r="N30" s="462"/>
      <c r="O30" s="16" t="s">
        <v>49</v>
      </c>
      <c r="P30"/>
      <c r="Q30" s="6"/>
      <c r="R30" s="6"/>
      <c r="S30" s="6"/>
      <c r="T30" s="6"/>
      <c r="U30" s="6"/>
      <c r="V30" s="6"/>
      <c r="W30" s="6"/>
      <c r="X30" s="6"/>
      <c r="Y30" s="6"/>
      <c r="Z30" s="6"/>
      <c r="AA30" s="6"/>
      <c r="AB30" s="6"/>
      <c r="AC30" s="6"/>
      <c r="AD30" s="6"/>
      <c r="AE30" s="6"/>
      <c r="AF30" s="6"/>
      <c r="AG30" s="6"/>
      <c r="AH30" s="6"/>
      <c r="AI30" s="6"/>
    </row>
    <row r="31" spans="1:35" s="4" customFormat="1" ht="14.65" thickBot="1" x14ac:dyDescent="0.5">
      <c r="A31" s="1"/>
      <c r="B31" s="1"/>
      <c r="C31" s="1"/>
      <c r="E31" s="445" t="s">
        <v>58</v>
      </c>
      <c r="F31" s="407"/>
      <c r="G31" s="407"/>
      <c r="H31" s="407"/>
      <c r="I31" s="446">
        <f>'Mục tiêu bản thân'!S11</f>
        <v>0</v>
      </c>
      <c r="J31" s="447"/>
      <c r="K31" s="18"/>
      <c r="L31" s="19"/>
      <c r="M31" s="19"/>
      <c r="N31" s="20"/>
      <c r="O31" s="13"/>
      <c r="P31"/>
      <c r="Q31" s="6"/>
      <c r="R31" s="6"/>
      <c r="S31" s="6"/>
      <c r="T31" s="6"/>
      <c r="U31" s="6"/>
      <c r="V31" s="6"/>
      <c r="W31" s="6"/>
      <c r="X31" s="6"/>
      <c r="Y31" s="6"/>
      <c r="Z31" s="6"/>
      <c r="AA31" s="6"/>
      <c r="AB31" s="6"/>
      <c r="AC31" s="6"/>
      <c r="AD31" s="6"/>
      <c r="AE31" s="6"/>
      <c r="AF31" s="6"/>
      <c r="AG31" s="6"/>
      <c r="AH31" s="6"/>
      <c r="AI31" s="6"/>
    </row>
    <row r="32" spans="1:35" s="4" customFormat="1" ht="14.65" thickBot="1" x14ac:dyDescent="0.5">
      <c r="A32" s="1"/>
      <c r="B32" s="1"/>
      <c r="C32" s="1"/>
      <c r="E32" s="445" t="s">
        <v>69</v>
      </c>
      <c r="F32" s="407"/>
      <c r="G32" s="407"/>
      <c r="H32" s="407"/>
      <c r="I32" s="474"/>
      <c r="J32" s="475"/>
      <c r="K32" s="455" t="s">
        <v>71</v>
      </c>
      <c r="L32" s="456"/>
      <c r="M32" s="456"/>
      <c r="N32" s="456"/>
      <c r="O32" s="68">
        <f>IF(I30-I29&gt;-0.1,I30-I29+1,0)</f>
        <v>1</v>
      </c>
      <c r="P32"/>
      <c r="Q32" s="6"/>
      <c r="R32" s="6"/>
      <c r="S32" s="6"/>
      <c r="T32" s="6"/>
      <c r="U32" s="6"/>
      <c r="V32" s="6"/>
      <c r="W32" s="6"/>
      <c r="X32" s="6"/>
      <c r="Y32" s="6"/>
      <c r="Z32" s="6"/>
      <c r="AA32" s="6"/>
      <c r="AB32" s="6"/>
      <c r="AC32" s="6"/>
      <c r="AD32" s="6"/>
      <c r="AE32" s="6"/>
      <c r="AF32" s="6"/>
      <c r="AG32" s="6"/>
      <c r="AH32" s="6"/>
      <c r="AI32" s="6"/>
    </row>
    <row r="33" spans="1:35" s="4" customFormat="1" x14ac:dyDescent="0.45">
      <c r="A33" s="1"/>
      <c r="B33" s="1"/>
      <c r="C33" s="1"/>
      <c r="E33" s="451" t="s">
        <v>59</v>
      </c>
      <c r="F33" s="452"/>
      <c r="G33" s="452"/>
      <c r="H33" s="452"/>
      <c r="I33" s="453"/>
      <c r="J33" s="454"/>
      <c r="K33" s="455" t="s">
        <v>62</v>
      </c>
      <c r="L33" s="456"/>
      <c r="M33" s="456"/>
      <c r="N33" s="456"/>
      <c r="O33" s="69">
        <f>IF(O32=0,0,-PMT(I32/12,O32*12,I33,I34))</f>
        <v>0</v>
      </c>
      <c r="P33"/>
      <c r="Q33" s="6"/>
      <c r="R33" s="6"/>
      <c r="S33" s="6"/>
      <c r="T33" s="6"/>
      <c r="U33" s="6"/>
      <c r="V33" s="6"/>
      <c r="W33" s="6"/>
      <c r="X33" s="6"/>
      <c r="Y33" s="6"/>
      <c r="Z33" s="6"/>
      <c r="AA33" s="6"/>
      <c r="AB33" s="6"/>
      <c r="AC33" s="6"/>
      <c r="AD33" s="6"/>
      <c r="AE33" s="6"/>
      <c r="AF33" s="6"/>
      <c r="AG33" s="6"/>
      <c r="AH33" s="6"/>
      <c r="AI33" s="6"/>
    </row>
    <row r="34" spans="1:35" s="4" customFormat="1" ht="14.65" thickBot="1" x14ac:dyDescent="0.5">
      <c r="A34" s="1"/>
      <c r="B34" s="1"/>
      <c r="C34" s="1"/>
      <c r="E34" s="469" t="s">
        <v>83</v>
      </c>
      <c r="F34" s="470"/>
      <c r="G34" s="470"/>
      <c r="H34" s="470"/>
      <c r="I34" s="476">
        <f>I31-I33</f>
        <v>0</v>
      </c>
      <c r="J34" s="476"/>
      <c r="K34" s="472" t="s">
        <v>63</v>
      </c>
      <c r="L34" s="473"/>
      <c r="M34" s="473"/>
      <c r="N34" s="473"/>
      <c r="O34" s="70">
        <f>O33*12</f>
        <v>0</v>
      </c>
      <c r="P34"/>
      <c r="Q34" s="6"/>
      <c r="R34" s="6"/>
      <c r="S34" s="6"/>
      <c r="T34" s="6"/>
      <c r="U34" s="6"/>
      <c r="V34" s="6"/>
      <c r="W34" s="6"/>
      <c r="X34" s="6"/>
      <c r="Y34" s="6"/>
      <c r="Z34" s="6"/>
      <c r="AA34" s="6"/>
      <c r="AB34" s="6"/>
      <c r="AC34" s="6"/>
      <c r="AD34" s="6"/>
      <c r="AE34" s="6"/>
      <c r="AF34" s="6"/>
      <c r="AG34" s="6"/>
      <c r="AH34" s="6"/>
      <c r="AI34" s="6"/>
    </row>
    <row r="35" spans="1:35" s="4" customFormat="1" x14ac:dyDescent="0.45">
      <c r="A35" s="1"/>
      <c r="B35" s="1"/>
      <c r="C35" s="1"/>
      <c r="E35"/>
      <c r="F35"/>
      <c r="G35"/>
      <c r="H35"/>
      <c r="I35"/>
      <c r="J35"/>
      <c r="K35"/>
      <c r="L35"/>
      <c r="M35"/>
      <c r="N35"/>
      <c r="O35"/>
      <c r="P35"/>
      <c r="Q35"/>
      <c r="R35"/>
      <c r="S35" s="6"/>
      <c r="T35" s="6"/>
      <c r="U35" s="6"/>
      <c r="V35" s="6"/>
      <c r="W35" s="6"/>
      <c r="X35" s="6"/>
      <c r="Y35" s="6"/>
      <c r="Z35" s="6"/>
      <c r="AA35" s="6"/>
      <c r="AB35" s="6"/>
      <c r="AC35" s="6"/>
      <c r="AD35" s="6"/>
      <c r="AE35" s="6"/>
      <c r="AF35" s="6"/>
      <c r="AG35" s="6"/>
      <c r="AH35" s="6"/>
      <c r="AI35" s="6"/>
    </row>
    <row r="36" spans="1:35" s="4" customFormat="1" ht="14.65" thickBot="1" x14ac:dyDescent="0.5">
      <c r="A36" s="1"/>
      <c r="B36" s="1"/>
      <c r="C36" s="1"/>
      <c r="E36" s="328" t="s">
        <v>430</v>
      </c>
      <c r="F36" s="329"/>
      <c r="G36" s="329"/>
      <c r="H36" s="329"/>
      <c r="I36" s="329"/>
      <c r="J36" s="6"/>
      <c r="K36" s="6"/>
      <c r="L36" s="6"/>
      <c r="M36" s="6"/>
      <c r="N36" s="6"/>
      <c r="O36" s="6"/>
      <c r="P36" s="6"/>
      <c r="Q36" s="6"/>
      <c r="R36" s="6"/>
      <c r="S36" s="6"/>
      <c r="T36" s="6"/>
      <c r="U36" s="6"/>
      <c r="V36" s="6"/>
      <c r="W36" s="6"/>
      <c r="X36" s="6"/>
      <c r="Y36" s="6"/>
      <c r="Z36" s="6"/>
      <c r="AA36" s="6"/>
      <c r="AB36" s="6"/>
      <c r="AC36" s="6"/>
      <c r="AD36" s="6"/>
      <c r="AE36" s="6"/>
      <c r="AF36" s="6"/>
      <c r="AG36" s="6"/>
    </row>
    <row r="37" spans="1:35" s="4" customFormat="1" ht="17.25" thickBot="1" x14ac:dyDescent="0.5">
      <c r="A37" s="1"/>
      <c r="B37" s="1"/>
      <c r="C37" s="1"/>
      <c r="E37" s="443" t="str">
        <f>'Mục tiêu bản thân'!I13&amp;" "&amp;'Mục tiêu bản thân'!I14&amp;": "&amp;'Mục tiêu bản thân'!M14</f>
        <v>Mục tiêu đầu tư 4: Du lịch xuyên Thái Lan</v>
      </c>
      <c r="F37" s="444"/>
      <c r="G37" s="444"/>
      <c r="H37" s="444"/>
      <c r="I37" s="444"/>
      <c r="J37" s="444"/>
      <c r="K37" s="444"/>
      <c r="L37" s="444"/>
      <c r="M37" s="444"/>
      <c r="N37" s="444"/>
      <c r="O37" s="444"/>
      <c r="P37" s="444"/>
      <c r="Q37" s="444"/>
      <c r="R37" s="444"/>
      <c r="S37" s="444"/>
      <c r="T37" s="444"/>
      <c r="U37" s="444"/>
      <c r="V37" s="444"/>
      <c r="W37" s="464"/>
      <c r="X37" s="6"/>
      <c r="Y37" s="6"/>
      <c r="Z37" s="6"/>
      <c r="AA37" s="6"/>
      <c r="AB37" s="6"/>
    </row>
    <row r="38" spans="1:35" s="4" customFormat="1" x14ac:dyDescent="0.45">
      <c r="A38" s="1"/>
      <c r="B38" s="1"/>
      <c r="C38" s="1"/>
      <c r="E38" s="11"/>
      <c r="F38" s="6"/>
      <c r="G38" s="6"/>
      <c r="H38" s="6"/>
      <c r="I38" s="6"/>
      <c r="J38" s="6"/>
      <c r="K38" s="12"/>
      <c r="L38" s="6"/>
      <c r="M38" s="6"/>
      <c r="N38" s="6"/>
      <c r="O38" s="13"/>
      <c r="P38" s="6"/>
      <c r="Q38" s="6"/>
      <c r="R38" s="6"/>
      <c r="S38" s="6"/>
      <c r="T38" s="6"/>
      <c r="U38" s="6"/>
      <c r="V38" s="6"/>
      <c r="W38" s="13"/>
      <c r="X38" s="6"/>
      <c r="Y38" s="6"/>
      <c r="Z38" s="6"/>
      <c r="AA38" s="6"/>
      <c r="AB38" s="6"/>
    </row>
    <row r="39" spans="1:35" s="4" customFormat="1" ht="14.65" thickBot="1" x14ac:dyDescent="0.5">
      <c r="A39" s="1"/>
      <c r="B39" s="1"/>
      <c r="C39" s="1"/>
      <c r="E39" s="445" t="s">
        <v>127</v>
      </c>
      <c r="F39" s="407"/>
      <c r="G39" s="407"/>
      <c r="H39" s="407"/>
      <c r="I39" s="465">
        <v>2023</v>
      </c>
      <c r="J39" s="466"/>
      <c r="K39" s="164" t="s">
        <v>61</v>
      </c>
      <c r="L39" s="165"/>
      <c r="M39" s="165"/>
      <c r="N39" s="165"/>
      <c r="O39" s="14"/>
      <c r="P39" s="15" t="s">
        <v>64</v>
      </c>
      <c r="Q39" s="10"/>
      <c r="R39" s="10"/>
      <c r="S39" s="10"/>
      <c r="T39" s="10"/>
      <c r="U39" s="10"/>
      <c r="V39" s="10"/>
      <c r="W39" s="14"/>
      <c r="X39" s="6"/>
      <c r="Y39" s="6"/>
      <c r="Z39" s="6"/>
      <c r="AA39" s="6"/>
      <c r="AB39" s="6"/>
    </row>
    <row r="40" spans="1:35" s="4" customFormat="1" ht="14.65" thickBot="1" x14ac:dyDescent="0.5">
      <c r="A40" s="1"/>
      <c r="B40" s="1"/>
      <c r="C40" s="1"/>
      <c r="E40" s="445" t="s">
        <v>126</v>
      </c>
      <c r="F40" s="407"/>
      <c r="G40" s="407"/>
      <c r="H40" s="407"/>
      <c r="I40" s="459">
        <v>2026</v>
      </c>
      <c r="J40" s="460"/>
      <c r="K40" s="461" t="s">
        <v>4</v>
      </c>
      <c r="L40" s="462"/>
      <c r="M40" s="462"/>
      <c r="N40" s="462"/>
      <c r="O40" s="16" t="s">
        <v>49</v>
      </c>
      <c r="P40" s="463"/>
      <c r="Q40" s="463"/>
      <c r="R40" s="463" t="s">
        <v>66</v>
      </c>
      <c r="S40" s="463"/>
      <c r="T40" s="463"/>
      <c r="U40" s="166" t="s">
        <v>67</v>
      </c>
      <c r="V40" s="166" t="s">
        <v>68</v>
      </c>
      <c r="W40" s="17" t="s">
        <v>27</v>
      </c>
      <c r="X40" s="6"/>
      <c r="Y40" s="6"/>
      <c r="Z40" s="6"/>
      <c r="AA40" s="6"/>
      <c r="AB40" s="6"/>
    </row>
    <row r="41" spans="1:35" s="4" customFormat="1" ht="14.65" thickBot="1" x14ac:dyDescent="0.5">
      <c r="A41" s="1"/>
      <c r="B41" s="1"/>
      <c r="C41" s="1"/>
      <c r="E41" s="445" t="s">
        <v>49</v>
      </c>
      <c r="F41" s="407"/>
      <c r="G41" s="407"/>
      <c r="H41" s="407"/>
      <c r="I41" s="446">
        <f>'Mục tiêu bản thân'!S14</f>
        <v>50</v>
      </c>
      <c r="J41" s="447"/>
      <c r="K41" s="18"/>
      <c r="L41" s="19"/>
      <c r="M41" s="19"/>
      <c r="N41" s="20"/>
      <c r="O41" s="13"/>
      <c r="P41" s="448" t="s">
        <v>38</v>
      </c>
      <c r="Q41" s="448"/>
      <c r="R41" s="449" t="s">
        <v>37</v>
      </c>
      <c r="S41" s="450"/>
      <c r="T41" s="450"/>
      <c r="U41" s="21">
        <v>0.5</v>
      </c>
      <c r="V41" s="71">
        <f>SUMIF('Từ khóa'!$W$12:$Y$26,R41,'Từ khóa'!$Z$12:$AB$26)</f>
        <v>0.05</v>
      </c>
      <c r="W41" s="72">
        <f ca="1">SUMIF('Từ khóa'!$W$12:$Y$26,R41,'Từ khóa'!$AC$12:$AC$26)</f>
        <v>0.02</v>
      </c>
      <c r="X41" s="6"/>
      <c r="Y41" s="6"/>
      <c r="Z41" s="6"/>
      <c r="AA41" s="6"/>
      <c r="AB41" s="6"/>
    </row>
    <row r="42" spans="1:35" s="4" customFormat="1" ht="14.65" thickBot="1" x14ac:dyDescent="0.5">
      <c r="A42" s="1"/>
      <c r="B42" s="1"/>
      <c r="C42" s="1"/>
      <c r="E42" s="445" t="s">
        <v>77</v>
      </c>
      <c r="F42" s="407"/>
      <c r="G42" s="407"/>
      <c r="H42" s="407"/>
      <c r="I42" s="480">
        <f>U44</f>
        <v>8.6499999999999994E-2</v>
      </c>
      <c r="J42" s="481"/>
      <c r="K42" s="455" t="s">
        <v>72</v>
      </c>
      <c r="L42" s="456"/>
      <c r="M42" s="456"/>
      <c r="N42" s="456"/>
      <c r="O42" s="68">
        <f>IF(I40-I39&gt;-0.1,I40-I39+1,0)</f>
        <v>4</v>
      </c>
      <c r="P42" s="448" t="s">
        <v>39</v>
      </c>
      <c r="Q42" s="448"/>
      <c r="R42" s="482" t="s">
        <v>29</v>
      </c>
      <c r="S42" s="483"/>
      <c r="T42" s="483"/>
      <c r="U42" s="22">
        <v>0.2</v>
      </c>
      <c r="V42" s="73">
        <f>SUMIF('Từ khóa'!$W$12:$Y$26,R42,'Từ khóa'!$Z$12:$AB$26)</f>
        <v>0.15</v>
      </c>
      <c r="W42" s="74">
        <f ca="1">SUMIF('Từ khóa'!$W$12:$Y$26,R42,'Từ khóa'!$AC$12:$AC$26)</f>
        <v>0.2</v>
      </c>
      <c r="X42" s="6"/>
      <c r="Y42" s="6"/>
      <c r="Z42" s="6"/>
      <c r="AA42" s="6"/>
      <c r="AB42" s="6"/>
    </row>
    <row r="43" spans="1:35" s="4" customFormat="1" x14ac:dyDescent="0.45">
      <c r="A43" s="1"/>
      <c r="B43" s="1"/>
      <c r="C43" s="1"/>
      <c r="E43" s="451" t="s">
        <v>70</v>
      </c>
      <c r="F43" s="452"/>
      <c r="G43" s="452"/>
      <c r="H43" s="452"/>
      <c r="I43" s="453">
        <v>0</v>
      </c>
      <c r="J43" s="454"/>
      <c r="K43" s="455" t="s">
        <v>62</v>
      </c>
      <c r="L43" s="456"/>
      <c r="M43" s="456"/>
      <c r="N43" s="456"/>
      <c r="O43" s="69">
        <f>IF(O42=0,0,-PMT(I42/12,O42*12,I43,I44))</f>
        <v>0.87554246309553085</v>
      </c>
      <c r="P43" s="457" t="s">
        <v>40</v>
      </c>
      <c r="Q43" s="458"/>
      <c r="R43" s="467" t="s">
        <v>33</v>
      </c>
      <c r="S43" s="468"/>
      <c r="T43" s="468"/>
      <c r="U43" s="23">
        <v>0.3</v>
      </c>
      <c r="V43" s="75">
        <f>SUMIF('Từ khóa'!$W$12:$Y$26,R43,'Từ khóa'!$Z$12:$AB$26)</f>
        <v>0.105</v>
      </c>
      <c r="W43" s="76">
        <f ca="1">SUMIF('Từ khóa'!$W$12:$Y$26,R43,'Từ khóa'!$AC$12:$AC$26)</f>
        <v>0.06</v>
      </c>
      <c r="X43" s="6"/>
      <c r="Y43" s="6"/>
      <c r="Z43" s="6"/>
      <c r="AA43" s="6"/>
      <c r="AB43" s="6"/>
    </row>
    <row r="44" spans="1:35" s="4" customFormat="1" ht="14.65" thickBot="1" x14ac:dyDescent="0.5">
      <c r="A44" s="1"/>
      <c r="B44" s="1"/>
      <c r="C44" s="1"/>
      <c r="E44" s="469" t="s">
        <v>83</v>
      </c>
      <c r="F44" s="470"/>
      <c r="G44" s="470"/>
      <c r="H44" s="470"/>
      <c r="I44" s="471">
        <f>I41-I43</f>
        <v>50</v>
      </c>
      <c r="J44" s="471"/>
      <c r="K44" s="472" t="s">
        <v>63</v>
      </c>
      <c r="L44" s="473"/>
      <c r="M44" s="473"/>
      <c r="N44" s="473"/>
      <c r="O44" s="70">
        <f>O43*12</f>
        <v>10.506509557146369</v>
      </c>
      <c r="P44" s="477" t="s">
        <v>65</v>
      </c>
      <c r="Q44" s="477"/>
      <c r="R44" s="477"/>
      <c r="S44" s="477"/>
      <c r="T44" s="477"/>
      <c r="U44" s="478">
        <f>IFERROR(SUMPRODUCT(U41:U43,V41:V43),IFERROR(SUMPRODUCT(U41:U42,V41:V42),V41))</f>
        <v>8.6499999999999994E-2</v>
      </c>
      <c r="V44" s="478"/>
      <c r="W44" s="479"/>
      <c r="X44" s="6"/>
      <c r="Y44" s="6"/>
      <c r="Z44" s="6"/>
      <c r="AA44" s="6"/>
      <c r="AB44" s="6"/>
    </row>
    <row r="45" spans="1:35" s="4" customFormat="1" ht="14.65" thickBot="1" x14ac:dyDescent="0.5">
      <c r="A45" s="1"/>
      <c r="B45" s="1"/>
      <c r="C45" s="1"/>
      <c r="E45" s="6"/>
      <c r="F45" s="6"/>
      <c r="G45" s="6"/>
      <c r="H45" s="6"/>
      <c r="I45" s="6"/>
      <c r="J45" s="6"/>
      <c r="K45" s="6"/>
      <c r="L45" s="6"/>
      <c r="M45" s="6"/>
      <c r="N45" s="6"/>
      <c r="O45" s="6"/>
      <c r="P45" s="6"/>
      <c r="Q45" s="6"/>
      <c r="R45" s="6"/>
      <c r="S45" s="6"/>
      <c r="T45" s="6"/>
      <c r="U45" s="6"/>
      <c r="V45" s="6"/>
      <c r="W45" s="6"/>
      <c r="X45" s="6"/>
      <c r="Y45" s="6"/>
      <c r="Z45" s="6"/>
      <c r="AA45" s="6"/>
      <c r="AB45" s="6"/>
    </row>
    <row r="46" spans="1:35" s="4" customFormat="1" ht="17.25" thickBot="1" x14ac:dyDescent="0.5">
      <c r="A46" s="1"/>
      <c r="B46" s="1"/>
      <c r="C46" s="1"/>
      <c r="E46" s="443" t="str">
        <f>'Mục tiêu bản thân'!I13&amp;" "&amp;'Mục tiêu bản thân'!I15&amp;": "&amp;'Mục tiêu bản thân'!M15</f>
        <v>Mục tiêu đầu tư 5: Quỹ dự phòng tài chính</v>
      </c>
      <c r="F46" s="444"/>
      <c r="G46" s="444"/>
      <c r="H46" s="444"/>
      <c r="I46" s="444"/>
      <c r="J46" s="444"/>
      <c r="K46" s="444"/>
      <c r="L46" s="444"/>
      <c r="M46" s="444"/>
      <c r="N46" s="444"/>
      <c r="O46" s="444"/>
      <c r="P46" s="444"/>
      <c r="Q46" s="444"/>
      <c r="R46" s="444"/>
      <c r="S46" s="444"/>
      <c r="T46" s="444"/>
      <c r="U46" s="444"/>
      <c r="V46" s="444"/>
      <c r="W46" s="464"/>
      <c r="X46" s="6"/>
      <c r="Y46" s="6"/>
      <c r="Z46" s="6"/>
      <c r="AA46" s="6"/>
      <c r="AB46" s="6"/>
    </row>
    <row r="47" spans="1:35" s="4" customFormat="1" x14ac:dyDescent="0.45">
      <c r="A47" s="1"/>
      <c r="B47" s="1"/>
      <c r="C47" s="1"/>
      <c r="E47" s="11"/>
      <c r="F47" s="6"/>
      <c r="G47" s="6"/>
      <c r="H47" s="6"/>
      <c r="I47" s="6"/>
      <c r="J47" s="6"/>
      <c r="K47" s="12"/>
      <c r="L47" s="6"/>
      <c r="M47" s="6"/>
      <c r="N47" s="6"/>
      <c r="O47" s="13"/>
      <c r="P47" s="6"/>
      <c r="Q47" s="6"/>
      <c r="R47" s="6"/>
      <c r="S47" s="6"/>
      <c r="T47" s="6"/>
      <c r="U47" s="6"/>
      <c r="V47" s="6"/>
      <c r="W47" s="13"/>
      <c r="X47" s="6"/>
      <c r="Y47" s="6"/>
      <c r="Z47" s="6"/>
      <c r="AA47" s="6"/>
      <c r="AB47" s="6"/>
    </row>
    <row r="48" spans="1:35" s="4" customFormat="1" ht="14.65" thickBot="1" x14ac:dyDescent="0.5">
      <c r="A48" s="1"/>
      <c r="B48" s="1"/>
      <c r="C48" s="1"/>
      <c r="E48" s="445" t="s">
        <v>127</v>
      </c>
      <c r="F48" s="407"/>
      <c r="G48" s="407"/>
      <c r="H48" s="407"/>
      <c r="I48" s="465">
        <v>2023</v>
      </c>
      <c r="J48" s="466"/>
      <c r="K48" s="164" t="s">
        <v>61</v>
      </c>
      <c r="L48" s="165"/>
      <c r="M48" s="165"/>
      <c r="N48" s="165"/>
      <c r="O48" s="14"/>
      <c r="P48" s="15" t="s">
        <v>64</v>
      </c>
      <c r="Q48" s="10"/>
      <c r="R48" s="10"/>
      <c r="S48" s="10"/>
      <c r="T48" s="10"/>
      <c r="U48" s="10"/>
      <c r="V48" s="10"/>
      <c r="W48" s="14"/>
      <c r="X48" s="6"/>
      <c r="Y48" s="6"/>
      <c r="Z48" s="6"/>
      <c r="AA48" s="6"/>
      <c r="AB48" s="6"/>
    </row>
    <row r="49" spans="1:28" s="4" customFormat="1" ht="14.65" thickBot="1" x14ac:dyDescent="0.5">
      <c r="A49" s="1"/>
      <c r="B49" s="1"/>
      <c r="C49" s="1"/>
      <c r="E49" s="445" t="s">
        <v>126</v>
      </c>
      <c r="F49" s="407"/>
      <c r="G49" s="407"/>
      <c r="H49" s="407"/>
      <c r="I49" s="459">
        <v>2026</v>
      </c>
      <c r="J49" s="460"/>
      <c r="K49" s="461" t="s">
        <v>4</v>
      </c>
      <c r="L49" s="462"/>
      <c r="M49" s="462"/>
      <c r="N49" s="462"/>
      <c r="O49" s="16" t="s">
        <v>49</v>
      </c>
      <c r="P49" s="463"/>
      <c r="Q49" s="463"/>
      <c r="R49" s="463" t="s">
        <v>66</v>
      </c>
      <c r="S49" s="463"/>
      <c r="T49" s="463"/>
      <c r="U49" s="166" t="s">
        <v>67</v>
      </c>
      <c r="V49" s="166" t="s">
        <v>68</v>
      </c>
      <c r="W49" s="17" t="s">
        <v>27</v>
      </c>
      <c r="X49" s="6"/>
      <c r="Y49" s="6"/>
      <c r="Z49" s="6"/>
      <c r="AA49" s="6"/>
      <c r="AB49" s="6"/>
    </row>
    <row r="50" spans="1:28" s="4" customFormat="1" ht="14.65" thickBot="1" x14ac:dyDescent="0.5">
      <c r="A50" s="1"/>
      <c r="B50" s="1"/>
      <c r="C50" s="1"/>
      <c r="E50" s="445" t="s">
        <v>49</v>
      </c>
      <c r="F50" s="407"/>
      <c r="G50" s="407"/>
      <c r="H50" s="407"/>
      <c r="I50" s="446">
        <f>'Mục tiêu bản thân'!S15</f>
        <v>100</v>
      </c>
      <c r="J50" s="447"/>
      <c r="K50" s="18"/>
      <c r="L50" s="19"/>
      <c r="M50" s="19"/>
      <c r="N50" s="20"/>
      <c r="O50" s="13"/>
      <c r="P50" s="448" t="s">
        <v>38</v>
      </c>
      <c r="Q50" s="448"/>
      <c r="R50" s="449" t="s">
        <v>33</v>
      </c>
      <c r="S50" s="450"/>
      <c r="T50" s="450"/>
      <c r="U50" s="21">
        <v>1</v>
      </c>
      <c r="V50" s="71">
        <f>SUMIF('Từ khóa'!$W$12:$Y$26,R50,'Từ khóa'!$Z$12:$AB$26)</f>
        <v>0.105</v>
      </c>
      <c r="W50" s="72">
        <f ca="1">SUMIF('Từ khóa'!$W$12:$Y$26,R50,'Từ khóa'!$AC$12:$AC$26)</f>
        <v>0.06</v>
      </c>
      <c r="X50" s="6"/>
      <c r="Y50" s="6"/>
      <c r="Z50" s="6"/>
      <c r="AA50" s="6"/>
      <c r="AB50" s="6"/>
    </row>
    <row r="51" spans="1:28" s="4" customFormat="1" ht="14.65" thickBot="1" x14ac:dyDescent="0.5">
      <c r="A51" s="1"/>
      <c r="B51" s="1"/>
      <c r="C51" s="1"/>
      <c r="E51" s="445" t="s">
        <v>77</v>
      </c>
      <c r="F51" s="407"/>
      <c r="G51" s="407"/>
      <c r="H51" s="407"/>
      <c r="I51" s="480">
        <f>U53</f>
        <v>0.105</v>
      </c>
      <c r="J51" s="481"/>
      <c r="K51" s="455" t="s">
        <v>72</v>
      </c>
      <c r="L51" s="456"/>
      <c r="M51" s="456"/>
      <c r="N51" s="456"/>
      <c r="O51" s="68">
        <f>IF(I49-I48&gt;-0.1,I49-I48+1,0)</f>
        <v>4</v>
      </c>
      <c r="P51" s="448" t="s">
        <v>39</v>
      </c>
      <c r="Q51" s="448"/>
      <c r="R51" s="482"/>
      <c r="S51" s="483"/>
      <c r="T51" s="483"/>
      <c r="U51" s="22">
        <v>0</v>
      </c>
      <c r="V51" s="73">
        <f>SUMIF('Từ khóa'!$W$12:$Y$26,R51,'Từ khóa'!$Z$12:$AB$26)</f>
        <v>0</v>
      </c>
      <c r="W51" s="74">
        <f ca="1">SUMIF('Từ khóa'!$W$12:$Y$26,R51,'Từ khóa'!$AC$12:$AC$26)</f>
        <v>0</v>
      </c>
      <c r="X51" s="6"/>
      <c r="Y51" s="6"/>
      <c r="Z51" s="6"/>
      <c r="AA51" s="6"/>
      <c r="AB51" s="6"/>
    </row>
    <row r="52" spans="1:28" s="4" customFormat="1" x14ac:dyDescent="0.45">
      <c r="A52" s="1"/>
      <c r="B52" s="1"/>
      <c r="C52" s="1"/>
      <c r="E52" s="451" t="s">
        <v>70</v>
      </c>
      <c r="F52" s="452"/>
      <c r="G52" s="452"/>
      <c r="H52" s="452"/>
      <c r="I52" s="453">
        <v>0</v>
      </c>
      <c r="J52" s="454"/>
      <c r="K52" s="455" t="s">
        <v>62</v>
      </c>
      <c r="L52" s="456"/>
      <c r="M52" s="456"/>
      <c r="N52" s="456"/>
      <c r="O52" s="69">
        <f>IF(O51=0,0,-PMT(I51/12,O51*12,I52,I53))</f>
        <v>1.6853379751904034</v>
      </c>
      <c r="P52" s="457" t="s">
        <v>40</v>
      </c>
      <c r="Q52" s="458"/>
      <c r="R52" s="467"/>
      <c r="S52" s="468"/>
      <c r="T52" s="468"/>
      <c r="U52" s="23">
        <v>0</v>
      </c>
      <c r="V52" s="75">
        <f>SUMIF('Từ khóa'!$W$12:$Y$26,R52,'Từ khóa'!$Z$12:$AB$26)</f>
        <v>0</v>
      </c>
      <c r="W52" s="76">
        <f ca="1">SUMIF('Từ khóa'!$W$12:$Y$26,R52,'Từ khóa'!$AC$12:$AC$26)</f>
        <v>0</v>
      </c>
      <c r="X52" s="6"/>
      <c r="Y52" s="6"/>
      <c r="Z52" s="6"/>
      <c r="AA52" s="6"/>
      <c r="AB52" s="6"/>
    </row>
    <row r="53" spans="1:28" s="4" customFormat="1" ht="14.65" thickBot="1" x14ac:dyDescent="0.5">
      <c r="A53" s="1"/>
      <c r="B53" s="1"/>
      <c r="C53" s="1"/>
      <c r="E53" s="469" t="s">
        <v>83</v>
      </c>
      <c r="F53" s="470"/>
      <c r="G53" s="470"/>
      <c r="H53" s="470"/>
      <c r="I53" s="471">
        <f>I50-I52</f>
        <v>100</v>
      </c>
      <c r="J53" s="471"/>
      <c r="K53" s="472" t="s">
        <v>63</v>
      </c>
      <c r="L53" s="473"/>
      <c r="M53" s="473"/>
      <c r="N53" s="473"/>
      <c r="O53" s="70">
        <f>O52*12</f>
        <v>20.22405570228484</v>
      </c>
      <c r="P53" s="477" t="s">
        <v>65</v>
      </c>
      <c r="Q53" s="477"/>
      <c r="R53" s="477"/>
      <c r="S53" s="477"/>
      <c r="T53" s="477"/>
      <c r="U53" s="478">
        <f>IFERROR(SUMPRODUCT(U50:U52,V50:V52),IFERROR(SUMPRODUCT(U50:U51,V50:V51),V50))</f>
        <v>0.105</v>
      </c>
      <c r="V53" s="478"/>
      <c r="W53" s="479"/>
      <c r="X53" s="6"/>
      <c r="Y53" s="6"/>
      <c r="Z53" s="6"/>
      <c r="AA53" s="6"/>
      <c r="AB53" s="6"/>
    </row>
    <row r="54" spans="1:28" s="4" customFormat="1" ht="14.65" thickBot="1" x14ac:dyDescent="0.5">
      <c r="A54" s="1"/>
      <c r="B54" s="1"/>
      <c r="C54" s="1"/>
      <c r="X54" s="6"/>
      <c r="Y54" s="6"/>
      <c r="Z54" s="6"/>
      <c r="AA54" s="6"/>
      <c r="AB54" s="6"/>
    </row>
    <row r="55" spans="1:28" s="4" customFormat="1" ht="17.25" thickBot="1" x14ac:dyDescent="0.5">
      <c r="A55" s="1"/>
      <c r="B55" s="1"/>
      <c r="C55" s="1"/>
      <c r="E55" s="443" t="str">
        <f>'Mục tiêu bản thân'!I13&amp;" "&amp;'Mục tiêu bản thân'!I16&amp;": "&amp;'Mục tiêu bản thân'!M16</f>
        <v>Mục tiêu đầu tư 6: Đám cưới</v>
      </c>
      <c r="F55" s="444"/>
      <c r="G55" s="444"/>
      <c r="H55" s="444"/>
      <c r="I55" s="444"/>
      <c r="J55" s="444"/>
      <c r="K55" s="444"/>
      <c r="L55" s="444"/>
      <c r="M55" s="444"/>
      <c r="N55" s="444"/>
      <c r="O55" s="444"/>
      <c r="P55" s="444"/>
      <c r="Q55" s="444"/>
      <c r="R55" s="444"/>
      <c r="S55" s="444"/>
      <c r="T55" s="444"/>
      <c r="U55" s="444"/>
      <c r="V55" s="444"/>
      <c r="W55" s="464"/>
    </row>
    <row r="56" spans="1:28" s="4" customFormat="1" x14ac:dyDescent="0.45">
      <c r="A56" s="1"/>
      <c r="B56" s="1"/>
      <c r="C56" s="1"/>
      <c r="E56" s="11"/>
      <c r="F56" s="6"/>
      <c r="G56" s="6"/>
      <c r="H56" s="6"/>
      <c r="I56" s="6"/>
      <c r="J56" s="6"/>
      <c r="K56" s="12"/>
      <c r="L56" s="6"/>
      <c r="M56" s="6"/>
      <c r="N56" s="6"/>
      <c r="O56" s="13"/>
      <c r="P56" s="6"/>
      <c r="Q56" s="6"/>
      <c r="R56" s="6"/>
      <c r="S56" s="6"/>
      <c r="T56" s="6"/>
      <c r="U56" s="6"/>
      <c r="V56" s="6"/>
      <c r="W56" s="13"/>
    </row>
    <row r="57" spans="1:28" s="4" customFormat="1" ht="14.65" thickBot="1" x14ac:dyDescent="0.5">
      <c r="A57" s="1"/>
      <c r="B57" s="1"/>
      <c r="C57" s="1"/>
      <c r="E57" s="445" t="s">
        <v>127</v>
      </c>
      <c r="F57" s="407"/>
      <c r="G57" s="407"/>
      <c r="H57" s="407"/>
      <c r="I57" s="465">
        <v>2024</v>
      </c>
      <c r="J57" s="466"/>
      <c r="K57" s="164" t="s">
        <v>61</v>
      </c>
      <c r="L57" s="165"/>
      <c r="M57" s="165"/>
      <c r="N57" s="165"/>
      <c r="O57" s="14"/>
      <c r="P57" s="15" t="s">
        <v>64</v>
      </c>
      <c r="Q57" s="10"/>
      <c r="R57" s="10"/>
      <c r="S57" s="10"/>
      <c r="T57" s="10"/>
      <c r="U57" s="10"/>
      <c r="V57" s="10"/>
      <c r="W57" s="14"/>
    </row>
    <row r="58" spans="1:28" s="4" customFormat="1" ht="14.65" thickBot="1" x14ac:dyDescent="0.5">
      <c r="A58" s="1"/>
      <c r="B58" s="1"/>
      <c r="C58" s="1"/>
      <c r="E58" s="445" t="s">
        <v>126</v>
      </c>
      <c r="F58" s="407"/>
      <c r="G58" s="407"/>
      <c r="H58" s="407"/>
      <c r="I58" s="459">
        <v>2030</v>
      </c>
      <c r="J58" s="460"/>
      <c r="K58" s="461" t="s">
        <v>4</v>
      </c>
      <c r="L58" s="462"/>
      <c r="M58" s="462"/>
      <c r="N58" s="462"/>
      <c r="O58" s="16" t="s">
        <v>49</v>
      </c>
      <c r="P58" s="463"/>
      <c r="Q58" s="463"/>
      <c r="R58" s="463" t="s">
        <v>66</v>
      </c>
      <c r="S58" s="463"/>
      <c r="T58" s="463"/>
      <c r="U58" s="166" t="s">
        <v>67</v>
      </c>
      <c r="V58" s="166" t="s">
        <v>68</v>
      </c>
      <c r="W58" s="17" t="s">
        <v>27</v>
      </c>
    </row>
    <row r="59" spans="1:28" s="4" customFormat="1" ht="14.65" thickBot="1" x14ac:dyDescent="0.5">
      <c r="A59" s="1"/>
      <c r="B59" s="1"/>
      <c r="C59" s="1"/>
      <c r="E59" s="445" t="s">
        <v>49</v>
      </c>
      <c r="F59" s="407"/>
      <c r="G59" s="407"/>
      <c r="H59" s="407"/>
      <c r="I59" s="446">
        <f>'Mục tiêu bản thân'!S16</f>
        <v>200</v>
      </c>
      <c r="J59" s="447"/>
      <c r="K59" s="18"/>
      <c r="L59" s="19"/>
      <c r="M59" s="19"/>
      <c r="N59" s="20"/>
      <c r="O59" s="13"/>
      <c r="P59" s="448" t="s">
        <v>38</v>
      </c>
      <c r="Q59" s="448"/>
      <c r="R59" s="449" t="s">
        <v>29</v>
      </c>
      <c r="S59" s="450"/>
      <c r="T59" s="450"/>
      <c r="U59" s="21">
        <v>0.3</v>
      </c>
      <c r="V59" s="71">
        <f>SUMIF('Từ khóa'!$W$12:$Y$26,R59,'Từ khóa'!$Z$12:$AB$26)</f>
        <v>0.15</v>
      </c>
      <c r="W59" s="72">
        <f ca="1">SUMIF('Từ khóa'!$W$12:$Y$26,R59,'Từ khóa'!$AC$12:$AC$26)</f>
        <v>0.2</v>
      </c>
    </row>
    <row r="60" spans="1:28" s="4" customFormat="1" ht="14.65" thickBot="1" x14ac:dyDescent="0.5">
      <c r="A60" s="1"/>
      <c r="B60" s="1"/>
      <c r="C60" s="1"/>
      <c r="E60" s="445" t="s">
        <v>77</v>
      </c>
      <c r="F60" s="407"/>
      <c r="G60" s="407"/>
      <c r="H60" s="407"/>
      <c r="I60" s="480">
        <f>U62</f>
        <v>0.10750000000000001</v>
      </c>
      <c r="J60" s="481"/>
      <c r="K60" s="455" t="s">
        <v>72</v>
      </c>
      <c r="L60" s="456"/>
      <c r="M60" s="456"/>
      <c r="N60" s="456"/>
      <c r="O60" s="68">
        <f>IF(I58-I57&gt;-0.1,I58-I57+1,0)</f>
        <v>7</v>
      </c>
      <c r="P60" s="448" t="s">
        <v>39</v>
      </c>
      <c r="Q60" s="448"/>
      <c r="R60" s="482" t="s">
        <v>33</v>
      </c>
      <c r="S60" s="483"/>
      <c r="T60" s="483"/>
      <c r="U60" s="22">
        <v>0.5</v>
      </c>
      <c r="V60" s="73">
        <f>SUMIF('Từ khóa'!$W$12:$Y$26,R60,'Từ khóa'!$Z$12:$AB$26)</f>
        <v>0.105</v>
      </c>
      <c r="W60" s="74">
        <f ca="1">SUMIF('Từ khóa'!$W$12:$Y$26,R60,'Từ khóa'!$AC$12:$AC$26)</f>
        <v>0.06</v>
      </c>
    </row>
    <row r="61" spans="1:28" s="4" customFormat="1" x14ac:dyDescent="0.45">
      <c r="A61" s="1"/>
      <c r="B61" s="1"/>
      <c r="C61" s="1"/>
      <c r="E61" s="451" t="s">
        <v>70</v>
      </c>
      <c r="F61" s="452"/>
      <c r="G61" s="452"/>
      <c r="H61" s="452"/>
      <c r="I61" s="453">
        <v>0</v>
      </c>
      <c r="J61" s="454"/>
      <c r="K61" s="455" t="s">
        <v>62</v>
      </c>
      <c r="L61" s="456"/>
      <c r="M61" s="456"/>
      <c r="N61" s="456"/>
      <c r="O61" s="69">
        <f>IF(O60=0,0,-PMT(I60/12,O60*12,I61,I62))</f>
        <v>1.6065875988014868</v>
      </c>
      <c r="P61" s="457" t="s">
        <v>40</v>
      </c>
      <c r="Q61" s="458"/>
      <c r="R61" s="467" t="s">
        <v>37</v>
      </c>
      <c r="S61" s="468"/>
      <c r="T61" s="468"/>
      <c r="U61" s="23">
        <v>0.2</v>
      </c>
      <c r="V61" s="75">
        <f>SUMIF('Từ khóa'!$W$12:$Y$26,R61,'Từ khóa'!$Z$12:$AB$26)</f>
        <v>0.05</v>
      </c>
      <c r="W61" s="76">
        <f ca="1">SUMIF('Từ khóa'!$W$12:$Y$26,R61,'Từ khóa'!$AC$12:$AC$26)</f>
        <v>0.02</v>
      </c>
    </row>
    <row r="62" spans="1:28" s="4" customFormat="1" ht="14.65" thickBot="1" x14ac:dyDescent="0.5">
      <c r="A62" s="1"/>
      <c r="B62" s="1"/>
      <c r="C62" s="1"/>
      <c r="E62" s="469" t="s">
        <v>83</v>
      </c>
      <c r="F62" s="470"/>
      <c r="G62" s="470"/>
      <c r="H62" s="470"/>
      <c r="I62" s="471">
        <f>I59-I61</f>
        <v>200</v>
      </c>
      <c r="J62" s="471"/>
      <c r="K62" s="472" t="s">
        <v>63</v>
      </c>
      <c r="L62" s="473"/>
      <c r="M62" s="473"/>
      <c r="N62" s="473"/>
      <c r="O62" s="70">
        <f>O61*12</f>
        <v>19.279051185617842</v>
      </c>
      <c r="P62" s="477" t="s">
        <v>65</v>
      </c>
      <c r="Q62" s="477"/>
      <c r="R62" s="477"/>
      <c r="S62" s="477"/>
      <c r="T62" s="477"/>
      <c r="U62" s="478">
        <f>IFERROR(SUMPRODUCT(U59:U61,V59:V61),IFERROR(SUMPRODUCT(U59:U60,V59:V60),V59))</f>
        <v>0.10750000000000001</v>
      </c>
      <c r="V62" s="478"/>
      <c r="W62" s="479"/>
    </row>
    <row r="63" spans="1:28" s="4" customFormat="1" ht="14.65" thickBot="1" x14ac:dyDescent="0.5">
      <c r="A63" s="1"/>
      <c r="B63" s="1"/>
      <c r="C63" s="1"/>
    </row>
    <row r="64" spans="1:28" s="4" customFormat="1" ht="17.25" thickBot="1" x14ac:dyDescent="0.5">
      <c r="A64" s="1"/>
      <c r="B64" s="1"/>
      <c r="C64" s="1"/>
      <c r="E64" s="443" t="str">
        <f>'Mục tiêu bản thân'!I13&amp;" "&amp;'Mục tiêu bản thân'!I17&amp;": "&amp;'Mục tiêu bản thân'!M17</f>
        <v>Mục tiêu đầu tư 7: Khởi nghiệp</v>
      </c>
      <c r="F64" s="444"/>
      <c r="G64" s="444"/>
      <c r="H64" s="444"/>
      <c r="I64" s="444"/>
      <c r="J64" s="444"/>
      <c r="K64" s="444"/>
      <c r="L64" s="444"/>
      <c r="M64" s="444"/>
      <c r="N64" s="444"/>
      <c r="O64" s="444"/>
      <c r="P64" s="444"/>
      <c r="Q64" s="444"/>
      <c r="R64" s="444"/>
      <c r="S64" s="444"/>
      <c r="T64" s="444"/>
      <c r="U64" s="444"/>
      <c r="V64" s="444"/>
      <c r="W64" s="464"/>
    </row>
    <row r="65" spans="1:23" s="4" customFormat="1" x14ac:dyDescent="0.45">
      <c r="A65" s="1"/>
      <c r="B65" s="1"/>
      <c r="C65" s="1"/>
      <c r="E65" s="11"/>
      <c r="F65" s="6"/>
      <c r="G65" s="6"/>
      <c r="H65" s="6"/>
      <c r="I65" s="6"/>
      <c r="J65" s="6"/>
      <c r="K65" s="12"/>
      <c r="L65" s="6"/>
      <c r="M65" s="6"/>
      <c r="N65" s="6"/>
      <c r="O65" s="13"/>
      <c r="P65" s="6"/>
      <c r="Q65" s="6"/>
      <c r="R65" s="6"/>
      <c r="S65" s="6"/>
      <c r="T65" s="6"/>
      <c r="U65" s="6"/>
      <c r="V65" s="6"/>
      <c r="W65" s="13"/>
    </row>
    <row r="66" spans="1:23" s="4" customFormat="1" ht="14.65" thickBot="1" x14ac:dyDescent="0.5">
      <c r="A66" s="1"/>
      <c r="B66" s="1"/>
      <c r="C66" s="1"/>
      <c r="E66" s="445" t="s">
        <v>127</v>
      </c>
      <c r="F66" s="407"/>
      <c r="G66" s="407"/>
      <c r="H66" s="407"/>
      <c r="I66" s="465">
        <v>2028</v>
      </c>
      <c r="J66" s="466"/>
      <c r="K66" s="164" t="s">
        <v>61</v>
      </c>
      <c r="L66" s="165"/>
      <c r="M66" s="165"/>
      <c r="N66" s="165"/>
      <c r="O66" s="14"/>
      <c r="P66" s="15" t="s">
        <v>64</v>
      </c>
      <c r="Q66" s="10"/>
      <c r="R66" s="10"/>
      <c r="S66" s="10"/>
      <c r="T66" s="10"/>
      <c r="U66" s="10"/>
      <c r="V66" s="10"/>
      <c r="W66" s="14"/>
    </row>
    <row r="67" spans="1:23" s="4" customFormat="1" ht="14.65" thickBot="1" x14ac:dyDescent="0.5">
      <c r="A67" s="1"/>
      <c r="B67" s="1"/>
      <c r="C67" s="1"/>
      <c r="E67" s="445" t="s">
        <v>126</v>
      </c>
      <c r="F67" s="407"/>
      <c r="G67" s="407"/>
      <c r="H67" s="407"/>
      <c r="I67" s="459">
        <v>2032</v>
      </c>
      <c r="J67" s="460"/>
      <c r="K67" s="461" t="s">
        <v>4</v>
      </c>
      <c r="L67" s="462"/>
      <c r="M67" s="462"/>
      <c r="N67" s="462"/>
      <c r="O67" s="16" t="s">
        <v>49</v>
      </c>
      <c r="P67" s="463"/>
      <c r="Q67" s="463"/>
      <c r="R67" s="463" t="s">
        <v>66</v>
      </c>
      <c r="S67" s="463"/>
      <c r="T67" s="463"/>
      <c r="U67" s="166" t="s">
        <v>67</v>
      </c>
      <c r="V67" s="166" t="s">
        <v>68</v>
      </c>
      <c r="W67" s="17" t="s">
        <v>27</v>
      </c>
    </row>
    <row r="68" spans="1:23" s="4" customFormat="1" ht="14.65" thickBot="1" x14ac:dyDescent="0.5">
      <c r="A68" s="1"/>
      <c r="B68" s="1"/>
      <c r="C68" s="1"/>
      <c r="E68" s="445" t="s">
        <v>82</v>
      </c>
      <c r="F68" s="407"/>
      <c r="G68" s="407"/>
      <c r="H68" s="407"/>
      <c r="I68" s="446">
        <f>'Mục tiêu bản thân'!S17</f>
        <v>500</v>
      </c>
      <c r="J68" s="447"/>
      <c r="K68" s="18"/>
      <c r="L68" s="19"/>
      <c r="M68" s="19"/>
      <c r="N68" s="20"/>
      <c r="O68" s="13"/>
      <c r="P68" s="448" t="s">
        <v>38</v>
      </c>
      <c r="Q68" s="448"/>
      <c r="R68" s="501" t="s">
        <v>37</v>
      </c>
      <c r="S68" s="501"/>
      <c r="T68" s="449"/>
      <c r="U68" s="21">
        <v>0.5</v>
      </c>
      <c r="V68" s="71">
        <f>SUMIF('Từ khóa'!$W$12:$Y$26,R68,'Từ khóa'!$Z$12:$AB$26)</f>
        <v>0.05</v>
      </c>
      <c r="W68" s="72">
        <f ca="1">SUMIF('Từ khóa'!$W$12:$Y$26,R68,'Từ khóa'!$AC$12:$AC$26)</f>
        <v>0.02</v>
      </c>
    </row>
    <row r="69" spans="1:23" s="4" customFormat="1" ht="14.65" thickBot="1" x14ac:dyDescent="0.5">
      <c r="A69" s="1"/>
      <c r="B69" s="1"/>
      <c r="C69" s="1"/>
      <c r="E69" s="445" t="s">
        <v>77</v>
      </c>
      <c r="F69" s="407"/>
      <c r="G69" s="407"/>
      <c r="H69" s="407"/>
      <c r="I69" s="480">
        <f>U71</f>
        <v>7.5000000000000011E-2</v>
      </c>
      <c r="J69" s="481"/>
      <c r="K69" s="455" t="s">
        <v>72</v>
      </c>
      <c r="L69" s="456"/>
      <c r="M69" s="456"/>
      <c r="N69" s="456"/>
      <c r="O69" s="68">
        <f>IF(I67-I66&gt;-0.1,I67-I66+1,0)</f>
        <v>5</v>
      </c>
      <c r="P69" s="448" t="s">
        <v>39</v>
      </c>
      <c r="Q69" s="448"/>
      <c r="R69" s="508" t="s">
        <v>34</v>
      </c>
      <c r="S69" s="508"/>
      <c r="T69" s="482"/>
      <c r="U69" s="22">
        <v>0.5</v>
      </c>
      <c r="V69" s="73">
        <f>SUMIF('Từ khóa'!$W$12:$Y$26,R69,'Từ khóa'!$Z$12:$AB$26)</f>
        <v>0.1</v>
      </c>
      <c r="W69" s="74">
        <f ca="1">SUMIF('Từ khóa'!$W$12:$Y$26,R69,'Từ khóa'!$AC$12:$AC$26)</f>
        <v>0.08</v>
      </c>
    </row>
    <row r="70" spans="1:23" s="4" customFormat="1" x14ac:dyDescent="0.45">
      <c r="A70" s="1"/>
      <c r="B70" s="1"/>
      <c r="C70" s="1"/>
      <c r="E70" s="451" t="s">
        <v>70</v>
      </c>
      <c r="F70" s="452"/>
      <c r="G70" s="452"/>
      <c r="H70" s="452"/>
      <c r="I70" s="453"/>
      <c r="J70" s="454"/>
      <c r="K70" s="455" t="s">
        <v>62</v>
      </c>
      <c r="L70" s="456"/>
      <c r="M70" s="456"/>
      <c r="N70" s="456"/>
      <c r="O70" s="69">
        <f>IF(O69=0,0,-PMT(I69/12,O69*12,I70,I71))</f>
        <v>6.8939742978118819</v>
      </c>
      <c r="P70" s="457" t="s">
        <v>40</v>
      </c>
      <c r="Q70" s="458"/>
      <c r="R70" s="467"/>
      <c r="S70" s="468"/>
      <c r="T70" s="468"/>
      <c r="U70" s="23">
        <v>0</v>
      </c>
      <c r="V70" s="75">
        <f>SUMIF('Từ khóa'!$W$12:$Y$26,R70,'Từ khóa'!$Z$12:$AB$26)</f>
        <v>0</v>
      </c>
      <c r="W70" s="76">
        <f ca="1">SUMIF('Từ khóa'!$W$12:$Y$26,R70,'Từ khóa'!$AC$12:$AC$26)</f>
        <v>0</v>
      </c>
    </row>
    <row r="71" spans="1:23" s="4" customFormat="1" ht="14.65" thickBot="1" x14ac:dyDescent="0.5">
      <c r="A71" s="1"/>
      <c r="B71" s="1"/>
      <c r="C71" s="1"/>
      <c r="E71" s="469" t="s">
        <v>83</v>
      </c>
      <c r="F71" s="470"/>
      <c r="G71" s="470"/>
      <c r="H71" s="470"/>
      <c r="I71" s="471">
        <f>I68-I70</f>
        <v>500</v>
      </c>
      <c r="J71" s="471"/>
      <c r="K71" s="472" t="s">
        <v>63</v>
      </c>
      <c r="L71" s="473"/>
      <c r="M71" s="473"/>
      <c r="N71" s="473"/>
      <c r="O71" s="70">
        <f>O70*12</f>
        <v>82.72769157374259</v>
      </c>
      <c r="P71" s="477" t="s">
        <v>65</v>
      </c>
      <c r="Q71" s="477"/>
      <c r="R71" s="477"/>
      <c r="S71" s="477"/>
      <c r="T71" s="477"/>
      <c r="U71" s="478">
        <f>IFERROR(SUMPRODUCT(U68:U70,V68:V70),IFERROR(SUMPRODUCT(U68:U69,V68:V69),V68))</f>
        <v>7.5000000000000011E-2</v>
      </c>
      <c r="V71" s="478"/>
      <c r="W71" s="479"/>
    </row>
    <row r="72" spans="1:23" s="4" customFormat="1" ht="14.65" thickBot="1" x14ac:dyDescent="0.5">
      <c r="A72" s="1"/>
      <c r="B72" s="1"/>
      <c r="C72" s="1"/>
    </row>
    <row r="73" spans="1:23" s="4" customFormat="1" ht="17.25" thickBot="1" x14ac:dyDescent="0.5">
      <c r="A73" s="1"/>
      <c r="B73" s="1"/>
      <c r="C73" s="1"/>
      <c r="E73" s="443" t="str">
        <f>'Mục tiêu bản thân'!I13&amp;" "&amp;'Mục tiêu bản thân'!I18&amp;": "&amp;'Mục tiêu bản thân'!M18</f>
        <v xml:space="preserve">Mục tiêu đầu tư 8: Mua chung cư </v>
      </c>
      <c r="F73" s="444"/>
      <c r="G73" s="444"/>
      <c r="H73" s="444"/>
      <c r="I73" s="444"/>
      <c r="J73" s="444"/>
      <c r="K73" s="444"/>
      <c r="L73" s="444"/>
      <c r="M73" s="444"/>
      <c r="N73" s="444"/>
      <c r="O73" s="444"/>
      <c r="P73" s="444"/>
      <c r="Q73" s="444"/>
      <c r="R73" s="444"/>
      <c r="S73" s="444"/>
      <c r="T73" s="444"/>
      <c r="U73" s="444"/>
      <c r="V73" s="444"/>
      <c r="W73" s="464"/>
    </row>
    <row r="74" spans="1:23" s="4" customFormat="1" x14ac:dyDescent="0.45">
      <c r="A74" s="1"/>
      <c r="B74" s="1"/>
      <c r="C74" s="1"/>
      <c r="E74" s="11"/>
      <c r="F74" s="6"/>
      <c r="G74" s="6"/>
      <c r="H74" s="6"/>
      <c r="I74" s="6"/>
      <c r="J74" s="6"/>
      <c r="K74" s="12"/>
      <c r="L74" s="6"/>
      <c r="M74" s="6"/>
      <c r="N74" s="6"/>
      <c r="O74" s="13"/>
      <c r="P74" s="6"/>
      <c r="Q74" s="6"/>
      <c r="R74" s="6"/>
      <c r="S74" s="6"/>
      <c r="T74" s="6"/>
      <c r="U74" s="6"/>
      <c r="V74" s="6"/>
      <c r="W74" s="13"/>
    </row>
    <row r="75" spans="1:23" s="4" customFormat="1" ht="14.65" thickBot="1" x14ac:dyDescent="0.5">
      <c r="A75" s="1"/>
      <c r="B75" s="1"/>
      <c r="C75" s="1"/>
      <c r="E75" s="445" t="s">
        <v>127</v>
      </c>
      <c r="F75" s="407"/>
      <c r="G75" s="407"/>
      <c r="H75" s="407"/>
      <c r="I75" s="465">
        <v>2025</v>
      </c>
      <c r="J75" s="466"/>
      <c r="K75" s="164" t="s">
        <v>61</v>
      </c>
      <c r="L75" s="165"/>
      <c r="M75" s="165"/>
      <c r="N75" s="165"/>
      <c r="O75" s="14"/>
      <c r="P75" s="15" t="s">
        <v>64</v>
      </c>
      <c r="Q75" s="10"/>
      <c r="R75" s="10"/>
      <c r="S75" s="10"/>
      <c r="T75" s="10"/>
      <c r="U75" s="10"/>
      <c r="V75" s="10"/>
      <c r="W75" s="14"/>
    </row>
    <row r="76" spans="1:23" s="4" customFormat="1" ht="14.65" thickBot="1" x14ac:dyDescent="0.5">
      <c r="A76" s="1"/>
      <c r="B76" s="1"/>
      <c r="C76" s="1"/>
      <c r="E76" s="445" t="s">
        <v>126</v>
      </c>
      <c r="F76" s="407"/>
      <c r="G76" s="407"/>
      <c r="H76" s="407"/>
      <c r="I76" s="459">
        <v>2037</v>
      </c>
      <c r="J76" s="460"/>
      <c r="K76" s="461" t="s">
        <v>4</v>
      </c>
      <c r="L76" s="462"/>
      <c r="M76" s="462"/>
      <c r="N76" s="462"/>
      <c r="O76" s="16" t="s">
        <v>49</v>
      </c>
      <c r="P76" s="463"/>
      <c r="Q76" s="463"/>
      <c r="R76" s="463" t="s">
        <v>66</v>
      </c>
      <c r="S76" s="463"/>
      <c r="T76" s="463"/>
      <c r="U76" s="166" t="s">
        <v>67</v>
      </c>
      <c r="V76" s="166" t="s">
        <v>68</v>
      </c>
      <c r="W76" s="17" t="s">
        <v>27</v>
      </c>
    </row>
    <row r="77" spans="1:23" s="4" customFormat="1" ht="14.65" thickBot="1" x14ac:dyDescent="0.5">
      <c r="A77" s="1"/>
      <c r="B77" s="1"/>
      <c r="C77" s="1"/>
      <c r="E77" s="445" t="s">
        <v>82</v>
      </c>
      <c r="F77" s="407"/>
      <c r="G77" s="407"/>
      <c r="H77" s="407"/>
      <c r="I77" s="446">
        <f>'Mục tiêu bản thân'!S18</f>
        <v>1500</v>
      </c>
      <c r="J77" s="447"/>
      <c r="K77" s="18"/>
      <c r="L77" s="19"/>
      <c r="M77" s="19"/>
      <c r="N77" s="20"/>
      <c r="O77" s="13"/>
      <c r="P77" s="448" t="s">
        <v>38</v>
      </c>
      <c r="Q77" s="448"/>
      <c r="R77" s="501" t="s">
        <v>30</v>
      </c>
      <c r="S77" s="501"/>
      <c r="T77" s="449"/>
      <c r="U77" s="21">
        <v>1</v>
      </c>
      <c r="V77" s="71">
        <f>SUMIF('Từ khóa'!$W$12:$Y$26,R77,'Từ khóa'!$Z$12:$AB$26)</f>
        <v>0.16</v>
      </c>
      <c r="W77" s="72">
        <f ca="1">SUMIF('Từ khóa'!$W$12:$Y$26,R77,'Từ khóa'!$AC$12:$AC$26)</f>
        <v>0.2</v>
      </c>
    </row>
    <row r="78" spans="1:23" s="4" customFormat="1" ht="14.65" thickBot="1" x14ac:dyDescent="0.5">
      <c r="A78" s="1"/>
      <c r="B78" s="1"/>
      <c r="C78" s="1"/>
      <c r="E78" s="445" t="s">
        <v>77</v>
      </c>
      <c r="F78" s="407"/>
      <c r="G78" s="407"/>
      <c r="H78" s="407"/>
      <c r="I78" s="480">
        <f>U80</f>
        <v>0.16</v>
      </c>
      <c r="J78" s="481"/>
      <c r="K78" s="455" t="s">
        <v>72</v>
      </c>
      <c r="L78" s="456"/>
      <c r="M78" s="456"/>
      <c r="N78" s="456"/>
      <c r="O78" s="68">
        <f>IF(I76-I75&gt;-0.1,I76-I75+1,0)</f>
        <v>13</v>
      </c>
      <c r="P78" s="448" t="s">
        <v>39</v>
      </c>
      <c r="Q78" s="448"/>
      <c r="R78" s="508"/>
      <c r="S78" s="508"/>
      <c r="T78" s="482"/>
      <c r="U78" s="22">
        <v>0</v>
      </c>
      <c r="V78" s="73">
        <f>SUMIF('Từ khóa'!$W$12:$Y$26,R78,'Từ khóa'!$Z$12:$AB$26)</f>
        <v>0</v>
      </c>
      <c r="W78" s="74">
        <f ca="1">SUMIF('Từ khóa'!$W$12:$Y$26,R78,'Từ khóa'!$AC$12:$AC$26)</f>
        <v>0</v>
      </c>
    </row>
    <row r="79" spans="1:23" s="4" customFormat="1" x14ac:dyDescent="0.45">
      <c r="A79" s="1"/>
      <c r="B79" s="1"/>
      <c r="C79" s="1"/>
      <c r="E79" s="451" t="s">
        <v>70</v>
      </c>
      <c r="F79" s="452"/>
      <c r="G79" s="452"/>
      <c r="H79" s="452"/>
      <c r="I79" s="453"/>
      <c r="J79" s="454"/>
      <c r="K79" s="455" t="s">
        <v>62</v>
      </c>
      <c r="L79" s="456"/>
      <c r="M79" s="456"/>
      <c r="N79" s="456"/>
      <c r="O79" s="69">
        <f>IF(O78=0,0,-PMT(I78/12,O78*12,I79,I80))</f>
        <v>2.900567205760193</v>
      </c>
      <c r="P79" s="457" t="s">
        <v>40</v>
      </c>
      <c r="Q79" s="458"/>
      <c r="R79" s="467"/>
      <c r="S79" s="468"/>
      <c r="T79" s="468"/>
      <c r="U79" s="23">
        <v>0</v>
      </c>
      <c r="V79" s="75">
        <f>SUMIF('Từ khóa'!$W$12:$Y$26,R79,'Từ khóa'!$Z$12:$AB$26)</f>
        <v>0</v>
      </c>
      <c r="W79" s="76">
        <f ca="1">SUMIF('Từ khóa'!$W$12:$Y$26,R79,'Từ khóa'!$AC$12:$AC$26)</f>
        <v>0</v>
      </c>
    </row>
    <row r="80" spans="1:23" s="4" customFormat="1" ht="14.65" thickBot="1" x14ac:dyDescent="0.5">
      <c r="A80" s="1"/>
      <c r="B80" s="1"/>
      <c r="C80" s="1"/>
      <c r="E80" s="469" t="s">
        <v>83</v>
      </c>
      <c r="F80" s="470"/>
      <c r="G80" s="470"/>
      <c r="H80" s="470"/>
      <c r="I80" s="471">
        <f>I77-I79</f>
        <v>1500</v>
      </c>
      <c r="J80" s="471"/>
      <c r="K80" s="472" t="s">
        <v>63</v>
      </c>
      <c r="L80" s="473"/>
      <c r="M80" s="473"/>
      <c r="N80" s="473"/>
      <c r="O80" s="70">
        <f>O79*12</f>
        <v>34.806806469122314</v>
      </c>
      <c r="P80" s="477" t="s">
        <v>65</v>
      </c>
      <c r="Q80" s="477"/>
      <c r="R80" s="477"/>
      <c r="S80" s="477"/>
      <c r="T80" s="477"/>
      <c r="U80" s="478">
        <f>IFERROR(SUMPRODUCT(U77:U79,V77:V79),IFERROR(SUMPRODUCT(U77:U78,V77:V78),V77))</f>
        <v>0.16</v>
      </c>
      <c r="V80" s="478"/>
      <c r="W80" s="479"/>
    </row>
    <row r="81" spans="1:23" s="4" customFormat="1" ht="14.65" thickBot="1" x14ac:dyDescent="0.5">
      <c r="A81" s="1"/>
      <c r="B81" s="1"/>
      <c r="C81" s="1"/>
    </row>
    <row r="82" spans="1:23" s="4" customFormat="1" ht="17.25" thickBot="1" x14ac:dyDescent="0.5">
      <c r="A82" s="1"/>
      <c r="B82" s="1"/>
      <c r="C82" s="1"/>
      <c r="E82" s="443" t="str">
        <f>'Mục tiêu bản thân'!I13&amp;" "&amp;'Mục tiêu bản thân'!I19&amp;": "&amp;'Mục tiêu bản thân'!M19</f>
        <v>Mục tiêu đầu tư 9: Cho con đi học đại học</v>
      </c>
      <c r="F82" s="444"/>
      <c r="G82" s="444"/>
      <c r="H82" s="444"/>
      <c r="I82" s="444"/>
      <c r="J82" s="444"/>
      <c r="K82" s="444"/>
      <c r="L82" s="444"/>
      <c r="M82" s="444"/>
      <c r="N82" s="444"/>
      <c r="O82" s="444"/>
      <c r="P82" s="444"/>
      <c r="Q82" s="444"/>
      <c r="R82" s="444"/>
      <c r="S82" s="444"/>
      <c r="T82" s="444"/>
      <c r="U82" s="444"/>
      <c r="V82" s="444"/>
      <c r="W82" s="464"/>
    </row>
    <row r="83" spans="1:23" s="4" customFormat="1" x14ac:dyDescent="0.45">
      <c r="A83" s="1"/>
      <c r="B83" s="1"/>
      <c r="C83" s="1"/>
      <c r="E83" s="11"/>
      <c r="F83" s="6"/>
      <c r="G83" s="6"/>
      <c r="H83" s="6"/>
      <c r="I83" s="6"/>
      <c r="J83" s="6"/>
      <c r="K83" s="24"/>
      <c r="L83" s="25"/>
      <c r="M83" s="25"/>
      <c r="N83" s="25"/>
      <c r="O83" s="26"/>
      <c r="P83" s="24"/>
      <c r="Q83" s="25"/>
      <c r="R83" s="25"/>
      <c r="S83" s="25"/>
      <c r="T83" s="25"/>
      <c r="U83" s="25"/>
      <c r="V83" s="25"/>
      <c r="W83" s="26"/>
    </row>
    <row r="84" spans="1:23" s="4" customFormat="1" ht="14.65" thickBot="1" x14ac:dyDescent="0.5">
      <c r="A84" s="1"/>
      <c r="B84" s="1"/>
      <c r="C84" s="1"/>
      <c r="E84" s="445" t="s">
        <v>127</v>
      </c>
      <c r="F84" s="407"/>
      <c r="G84" s="407"/>
      <c r="H84" s="407"/>
      <c r="I84" s="465">
        <v>2030</v>
      </c>
      <c r="J84" s="466"/>
      <c r="K84" s="11"/>
      <c r="O84" s="27"/>
      <c r="P84" s="11"/>
      <c r="W84" s="27"/>
    </row>
    <row r="85" spans="1:23" s="4" customFormat="1" ht="14.65" thickBot="1" x14ac:dyDescent="0.5">
      <c r="A85" s="1"/>
      <c r="B85" s="1"/>
      <c r="C85" s="1"/>
      <c r="E85" s="445" t="s">
        <v>126</v>
      </c>
      <c r="F85" s="407"/>
      <c r="G85" s="407"/>
      <c r="H85" s="407"/>
      <c r="I85" s="459">
        <v>2048</v>
      </c>
      <c r="J85" s="460"/>
      <c r="K85" s="164" t="s">
        <v>61</v>
      </c>
      <c r="L85" s="165"/>
      <c r="M85" s="165"/>
      <c r="N85" s="165"/>
      <c r="O85" s="14"/>
      <c r="P85" s="28" t="s">
        <v>64</v>
      </c>
      <c r="Q85" s="10"/>
      <c r="R85" s="10"/>
      <c r="S85" s="10"/>
      <c r="T85" s="10"/>
      <c r="U85" s="10"/>
      <c r="V85" s="10"/>
      <c r="W85" s="14"/>
    </row>
    <row r="86" spans="1:23" s="4" customFormat="1" ht="14.65" thickBot="1" x14ac:dyDescent="0.5">
      <c r="A86" s="1"/>
      <c r="B86" s="1"/>
      <c r="C86" s="1"/>
      <c r="E86" s="445" t="s">
        <v>73</v>
      </c>
      <c r="F86" s="407"/>
      <c r="G86" s="407"/>
      <c r="H86" s="407"/>
      <c r="I86" s="453">
        <v>30</v>
      </c>
      <c r="J86" s="454"/>
      <c r="K86" s="461" t="s">
        <v>4</v>
      </c>
      <c r="L86" s="462"/>
      <c r="M86" s="462"/>
      <c r="N86" s="462"/>
      <c r="O86" s="16" t="s">
        <v>49</v>
      </c>
      <c r="P86" s="487"/>
      <c r="Q86" s="463"/>
      <c r="R86" s="463" t="s">
        <v>66</v>
      </c>
      <c r="S86" s="463"/>
      <c r="T86" s="463"/>
      <c r="U86" s="166" t="s">
        <v>67</v>
      </c>
      <c r="V86" s="166" t="s">
        <v>68</v>
      </c>
      <c r="W86" s="17" t="s">
        <v>27</v>
      </c>
    </row>
    <row r="87" spans="1:23" s="4" customFormat="1" ht="14.65" thickBot="1" x14ac:dyDescent="0.5">
      <c r="A87" s="1"/>
      <c r="B87" s="1"/>
      <c r="C87" s="1"/>
      <c r="E87" s="445" t="s">
        <v>74</v>
      </c>
      <c r="F87" s="407"/>
      <c r="G87" s="407"/>
      <c r="H87" s="407"/>
      <c r="I87" s="453">
        <v>15</v>
      </c>
      <c r="J87" s="454"/>
      <c r="K87" s="490" t="s">
        <v>76</v>
      </c>
      <c r="L87" s="491"/>
      <c r="M87" s="491"/>
      <c r="N87" s="491"/>
      <c r="O87" s="77">
        <f>-PV(I89/12,I86,I87,I88)</f>
        <v>724.30582410044906</v>
      </c>
      <c r="P87" s="484" t="s">
        <v>38</v>
      </c>
      <c r="Q87" s="448"/>
      <c r="R87" s="449" t="s">
        <v>28</v>
      </c>
      <c r="S87" s="450"/>
      <c r="T87" s="450"/>
      <c r="U87" s="21">
        <v>0.5</v>
      </c>
      <c r="V87" s="71">
        <f>SUMIF('Từ khóa'!$W$12:$Y$26,R87,'Từ khóa'!$Z$12:$AB$26)</f>
        <v>0.13</v>
      </c>
      <c r="W87" s="72">
        <f ca="1">SUMIF('Từ khóa'!$W$12:$Y$26,R87,'Từ khóa'!$AC$12:$AC$26)</f>
        <v>0.18</v>
      </c>
    </row>
    <row r="88" spans="1:23" s="4" customFormat="1" ht="14.65" thickBot="1" x14ac:dyDescent="0.5">
      <c r="A88" s="1"/>
      <c r="B88" s="1"/>
      <c r="C88" s="1"/>
      <c r="E88" s="445" t="s">
        <v>75</v>
      </c>
      <c r="F88" s="407"/>
      <c r="G88" s="407"/>
      <c r="H88" s="407"/>
      <c r="I88" s="488">
        <f>'Mục tiêu bản thân'!S19</f>
        <v>500</v>
      </c>
      <c r="J88" s="489"/>
      <c r="K88" s="455" t="s">
        <v>72</v>
      </c>
      <c r="L88" s="456"/>
      <c r="M88" s="456"/>
      <c r="N88" s="456"/>
      <c r="O88" s="68">
        <f>IF(I85-I84&gt;-0.1,I85-I84+1,0)</f>
        <v>19</v>
      </c>
      <c r="P88" s="484" t="s">
        <v>39</v>
      </c>
      <c r="Q88" s="448"/>
      <c r="R88" s="482" t="s">
        <v>30</v>
      </c>
      <c r="S88" s="483"/>
      <c r="T88" s="483"/>
      <c r="U88" s="22">
        <v>0.5</v>
      </c>
      <c r="V88" s="73">
        <f>SUMIF('Từ khóa'!$W$12:$Y$26,R88,'Từ khóa'!$Z$12:$AB$26)</f>
        <v>0.16</v>
      </c>
      <c r="W88" s="74">
        <f ca="1">SUMIF('Từ khóa'!$W$12:$Y$26,R88,'Từ khóa'!$AC$12:$AC$26)</f>
        <v>0.2</v>
      </c>
    </row>
    <row r="89" spans="1:23" s="4" customFormat="1" ht="14.65" thickBot="1" x14ac:dyDescent="0.5">
      <c r="A89" s="1"/>
      <c r="B89" s="1"/>
      <c r="C89" s="1"/>
      <c r="E89" s="445" t="s">
        <v>77</v>
      </c>
      <c r="F89" s="407"/>
      <c r="G89" s="407"/>
      <c r="H89" s="407"/>
      <c r="I89" s="485">
        <f>U90</f>
        <v>0.14500000000000002</v>
      </c>
      <c r="J89" s="486"/>
      <c r="K89" s="455" t="s">
        <v>62</v>
      </c>
      <c r="L89" s="456"/>
      <c r="M89" s="456"/>
      <c r="N89" s="456"/>
      <c r="O89" s="69">
        <f>IF(O88=0,0,-PMT(I89/12,O88*12,I90,O87))</f>
        <v>0.60510772376746558</v>
      </c>
      <c r="P89" s="457" t="s">
        <v>40</v>
      </c>
      <c r="Q89" s="458"/>
      <c r="R89" s="467"/>
      <c r="S89" s="468"/>
      <c r="T89" s="468"/>
      <c r="U89" s="23">
        <v>0</v>
      </c>
      <c r="V89" s="75">
        <f>SUMIF('Từ khóa'!$W$12:$Y$26,R89,'Từ khóa'!$Z$12:$AB$26)</f>
        <v>0</v>
      </c>
      <c r="W89" s="76">
        <f ca="1">SUMIF('Từ khóa'!$W$12:$Y$26,R89,'Từ khóa'!$AC$12:$AC$26)</f>
        <v>0</v>
      </c>
    </row>
    <row r="90" spans="1:23" s="4" customFormat="1" ht="14.65" thickBot="1" x14ac:dyDescent="0.5">
      <c r="A90" s="1"/>
      <c r="B90" s="1"/>
      <c r="C90" s="1"/>
      <c r="E90" s="492" t="s">
        <v>70</v>
      </c>
      <c r="F90" s="493"/>
      <c r="G90" s="493"/>
      <c r="H90" s="493"/>
      <c r="I90" s="494">
        <v>0</v>
      </c>
      <c r="J90" s="495"/>
      <c r="K90" s="472" t="s">
        <v>63</v>
      </c>
      <c r="L90" s="473"/>
      <c r="M90" s="473"/>
      <c r="N90" s="473"/>
      <c r="O90" s="70">
        <f>O89*12</f>
        <v>7.2612926852095869</v>
      </c>
      <c r="P90" s="496" t="s">
        <v>65</v>
      </c>
      <c r="Q90" s="477"/>
      <c r="R90" s="477"/>
      <c r="S90" s="477"/>
      <c r="T90" s="477"/>
      <c r="U90" s="478">
        <f>IFERROR(SUMPRODUCT(U87:U89,V87:V89),IFERROR(SUMPRODUCT(U87:U88,V87:V88),V87))</f>
        <v>0.14500000000000002</v>
      </c>
      <c r="V90" s="478"/>
      <c r="W90" s="479"/>
    </row>
    <row r="91" spans="1:23" s="4" customFormat="1" ht="14.65" thickBot="1" x14ac:dyDescent="0.5">
      <c r="A91" s="1"/>
      <c r="B91" s="1"/>
      <c r="C91" s="1"/>
    </row>
    <row r="92" spans="1:23" s="4" customFormat="1" ht="17.25" thickBot="1" x14ac:dyDescent="0.5">
      <c r="A92" s="1"/>
      <c r="B92" s="1"/>
      <c r="C92" s="1"/>
      <c r="E92" s="443" t="str">
        <f>'Mục tiêu bản thân'!I13&amp;" "&amp;'Mục tiêu bản thân'!I20&amp;": "&amp;'Mục tiêu bản thân'!M20</f>
        <v>Mục tiêu đầu tư 10: Hưu trí</v>
      </c>
      <c r="F92" s="444"/>
      <c r="G92" s="444"/>
      <c r="H92" s="444"/>
      <c r="I92" s="444"/>
      <c r="J92" s="444"/>
      <c r="K92" s="444"/>
      <c r="L92" s="444"/>
      <c r="M92" s="444"/>
      <c r="N92" s="444"/>
      <c r="O92" s="444"/>
      <c r="P92" s="444"/>
      <c r="Q92" s="444"/>
      <c r="R92" s="444"/>
      <c r="S92" s="444"/>
      <c r="T92" s="444"/>
      <c r="U92" s="444"/>
      <c r="V92" s="444"/>
      <c r="W92" s="464"/>
    </row>
    <row r="93" spans="1:23" s="4" customFormat="1" x14ac:dyDescent="0.45">
      <c r="A93" s="1"/>
      <c r="B93" s="1"/>
      <c r="C93" s="1"/>
      <c r="E93" s="11"/>
      <c r="F93" s="6"/>
      <c r="G93" s="6"/>
      <c r="H93" s="6"/>
      <c r="I93" s="6"/>
      <c r="J93" s="6"/>
      <c r="K93" s="24"/>
      <c r="L93" s="25"/>
      <c r="M93" s="25"/>
      <c r="N93" s="25"/>
      <c r="O93" s="26"/>
      <c r="P93" s="24"/>
      <c r="Q93" s="25"/>
      <c r="R93" s="25"/>
      <c r="S93" s="25"/>
      <c r="T93" s="25"/>
      <c r="U93" s="25"/>
      <c r="V93" s="25"/>
      <c r="W93" s="26"/>
    </row>
    <row r="94" spans="1:23" s="4" customFormat="1" ht="14.65" thickBot="1" x14ac:dyDescent="0.5">
      <c r="A94" s="1"/>
      <c r="B94" s="1"/>
      <c r="C94" s="1"/>
      <c r="E94" s="445" t="s">
        <v>127</v>
      </c>
      <c r="F94" s="407"/>
      <c r="G94" s="407"/>
      <c r="H94" s="407"/>
      <c r="I94" s="465">
        <v>2031</v>
      </c>
      <c r="J94" s="466"/>
      <c r="K94" s="11"/>
      <c r="O94" s="27"/>
      <c r="P94" s="11"/>
      <c r="W94" s="27"/>
    </row>
    <row r="95" spans="1:23" s="4" customFormat="1" ht="14.65" thickBot="1" x14ac:dyDescent="0.5">
      <c r="A95" s="1"/>
      <c r="B95" s="1"/>
      <c r="C95" s="1"/>
      <c r="E95" s="445" t="s">
        <v>126</v>
      </c>
      <c r="F95" s="407"/>
      <c r="G95" s="407"/>
      <c r="H95" s="407"/>
      <c r="I95" s="459">
        <v>2040</v>
      </c>
      <c r="J95" s="460"/>
      <c r="K95" s="164" t="s">
        <v>61</v>
      </c>
      <c r="L95" s="165"/>
      <c r="M95" s="165"/>
      <c r="N95" s="165"/>
      <c r="O95" s="14"/>
      <c r="P95" s="28" t="s">
        <v>64</v>
      </c>
      <c r="Q95" s="10"/>
      <c r="R95" s="10"/>
      <c r="S95" s="10"/>
      <c r="T95" s="10"/>
      <c r="U95" s="10"/>
      <c r="V95" s="10"/>
      <c r="W95" s="14"/>
    </row>
    <row r="96" spans="1:23" s="4" customFormat="1" ht="14.65" thickBot="1" x14ac:dyDescent="0.5">
      <c r="A96" s="1"/>
      <c r="B96" s="1"/>
      <c r="C96" s="1"/>
      <c r="E96" s="497" t="s">
        <v>80</v>
      </c>
      <c r="F96" s="498"/>
      <c r="G96" s="498"/>
      <c r="H96" s="498"/>
      <c r="I96" s="499">
        <v>10</v>
      </c>
      <c r="J96" s="500"/>
      <c r="K96" s="461" t="s">
        <v>4</v>
      </c>
      <c r="L96" s="462"/>
      <c r="M96" s="462"/>
      <c r="N96" s="462"/>
      <c r="O96" s="16" t="s">
        <v>49</v>
      </c>
      <c r="P96" s="487"/>
      <c r="Q96" s="463"/>
      <c r="R96" s="463" t="s">
        <v>66</v>
      </c>
      <c r="S96" s="463"/>
      <c r="T96" s="463"/>
      <c r="U96" s="166" t="s">
        <v>67</v>
      </c>
      <c r="V96" s="166" t="s">
        <v>68</v>
      </c>
      <c r="W96" s="17" t="s">
        <v>27</v>
      </c>
    </row>
    <row r="97" spans="1:407" s="4" customFormat="1" ht="14.65" thickBot="1" x14ac:dyDescent="0.5">
      <c r="A97" s="1"/>
      <c r="B97" s="1"/>
      <c r="C97" s="1"/>
      <c r="E97" s="445" t="s">
        <v>81</v>
      </c>
      <c r="F97" s="407"/>
      <c r="G97" s="407"/>
      <c r="H97" s="407"/>
      <c r="I97" s="446">
        <f>'Mục tiêu bản thân'!S20</f>
        <v>500</v>
      </c>
      <c r="J97" s="447"/>
      <c r="K97" s="490" t="s">
        <v>79</v>
      </c>
      <c r="L97" s="491"/>
      <c r="M97" s="491"/>
      <c r="N97" s="491"/>
      <c r="O97" s="78">
        <f>I97/I96</f>
        <v>50</v>
      </c>
      <c r="P97" s="484" t="s">
        <v>38</v>
      </c>
      <c r="Q97" s="448"/>
      <c r="R97" s="449" t="s">
        <v>37</v>
      </c>
      <c r="S97" s="450"/>
      <c r="T97" s="450"/>
      <c r="U97" s="21">
        <v>0.5</v>
      </c>
      <c r="V97" s="71">
        <f>SUMIF('Từ khóa'!$W$12:$Y$26,R97,'Từ khóa'!$Z$12:$AB$26)</f>
        <v>0.05</v>
      </c>
      <c r="W97" s="72">
        <f ca="1">SUMIF('Từ khóa'!$W$12:$Y$26,R97,'Từ khóa'!$AC$12:$AC$26)</f>
        <v>0.02</v>
      </c>
    </row>
    <row r="98" spans="1:407" s="4" customFormat="1" ht="14.65" thickBot="1" x14ac:dyDescent="0.5">
      <c r="A98" s="1"/>
      <c r="B98" s="1"/>
      <c r="C98" s="1"/>
      <c r="E98" s="445" t="s">
        <v>77</v>
      </c>
      <c r="F98" s="407"/>
      <c r="G98" s="407"/>
      <c r="H98" s="407"/>
      <c r="I98" s="480">
        <f>U100</f>
        <v>8.4999999999999992E-2</v>
      </c>
      <c r="J98" s="481"/>
      <c r="K98" s="455" t="s">
        <v>72</v>
      </c>
      <c r="L98" s="456"/>
      <c r="M98" s="456"/>
      <c r="N98" s="456"/>
      <c r="O98" s="68">
        <f>IF(I95-I94&gt;-0.1,I95-I94+1,0)</f>
        <v>10</v>
      </c>
      <c r="P98" s="484" t="s">
        <v>39</v>
      </c>
      <c r="Q98" s="448"/>
      <c r="R98" s="482" t="s">
        <v>88</v>
      </c>
      <c r="S98" s="483"/>
      <c r="T98" s="483"/>
      <c r="U98" s="22">
        <v>0.5</v>
      </c>
      <c r="V98" s="73">
        <f>SUMIF('Từ khóa'!$W$12:$Y$26,R98,'Từ khóa'!$Z$12:$AB$26)</f>
        <v>0.12</v>
      </c>
      <c r="W98" s="74">
        <f ca="1">SUMIF('Từ khóa'!$W$12:$Y$26,R98,'Từ khóa'!$AC$12:$AC$26)</f>
        <v>0.05</v>
      </c>
    </row>
    <row r="99" spans="1:407" s="4" customFormat="1" x14ac:dyDescent="0.45">
      <c r="A99" s="1"/>
      <c r="B99" s="1"/>
      <c r="C99" s="1"/>
      <c r="E99" s="451" t="s">
        <v>78</v>
      </c>
      <c r="F99" s="452"/>
      <c r="G99" s="452"/>
      <c r="H99" s="452"/>
      <c r="I99" s="453">
        <v>0</v>
      </c>
      <c r="J99" s="454"/>
      <c r="K99" s="455" t="s">
        <v>62</v>
      </c>
      <c r="L99" s="456"/>
      <c r="M99" s="456"/>
      <c r="N99" s="456"/>
      <c r="O99" s="69">
        <f>IF(O98=0,0,-PMT(I98/12,O98*12,I99,I100))</f>
        <v>2.6576177770588902</v>
      </c>
      <c r="P99" s="457" t="s">
        <v>40</v>
      </c>
      <c r="Q99" s="458"/>
      <c r="R99" s="467"/>
      <c r="S99" s="468"/>
      <c r="T99" s="468"/>
      <c r="U99" s="23">
        <v>0</v>
      </c>
      <c r="V99" s="75">
        <f>SUMIF('Từ khóa'!$W$12:$Y$26,R99,'Từ khóa'!$Z$12:$AB$26)</f>
        <v>0</v>
      </c>
      <c r="W99" s="76">
        <f ca="1">SUMIF('Từ khóa'!$W$12:$Y$26,R99,'Từ khóa'!$AC$12:$AC$26)</f>
        <v>0</v>
      </c>
    </row>
    <row r="100" spans="1:407" s="4" customFormat="1" ht="15" customHeight="1" thickBot="1" x14ac:dyDescent="0.5">
      <c r="A100" s="1"/>
      <c r="B100" s="1"/>
      <c r="C100" s="1"/>
      <c r="E100" s="469" t="s">
        <v>83</v>
      </c>
      <c r="F100" s="470"/>
      <c r="G100" s="470"/>
      <c r="H100" s="470"/>
      <c r="I100" s="471">
        <f>I97-I99</f>
        <v>500</v>
      </c>
      <c r="J100" s="471"/>
      <c r="K100" s="472" t="s">
        <v>63</v>
      </c>
      <c r="L100" s="473"/>
      <c r="M100" s="473"/>
      <c r="N100" s="473"/>
      <c r="O100" s="70">
        <f>O99*12</f>
        <v>31.891413324706683</v>
      </c>
      <c r="P100" s="496" t="s">
        <v>65</v>
      </c>
      <c r="Q100" s="477"/>
      <c r="R100" s="477"/>
      <c r="S100" s="477"/>
      <c r="T100" s="477"/>
      <c r="U100" s="478">
        <f>IFERROR(SUMPRODUCT(U97:U99,V97:V99),IFERROR(SUMPRODUCT(U97:U98,V97:V98),V97))</f>
        <v>8.4999999999999992E-2</v>
      </c>
      <c r="V100" s="478"/>
      <c r="W100" s="479"/>
    </row>
    <row r="101" spans="1:407" s="8" customFormat="1" ht="15" customHeight="1" thickBot="1" x14ac:dyDescent="0.5">
      <c r="A101" s="7"/>
      <c r="B101" s="7"/>
      <c r="C101" s="7"/>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OQ101" s="4"/>
    </row>
    <row r="102" spans="1:407" s="4" customFormat="1" ht="14.65" thickBot="1" x14ac:dyDescent="0.5">
      <c r="A102" s="1"/>
      <c r="B102" s="1"/>
      <c r="C102" s="1"/>
      <c r="E102" s="435" t="s">
        <v>359</v>
      </c>
      <c r="F102" s="435"/>
      <c r="G102" s="435"/>
      <c r="H102" s="435"/>
      <c r="I102" s="435"/>
      <c r="J102" s="435"/>
      <c r="K102" s="435"/>
      <c r="L102" s="435"/>
      <c r="M102" s="435"/>
      <c r="N102" s="435"/>
      <c r="O102" s="435"/>
      <c r="P102" s="5"/>
      <c r="Q102" s="5"/>
      <c r="R102" s="5"/>
      <c r="S102" s="5"/>
      <c r="T102" s="5"/>
      <c r="U102" s="5"/>
      <c r="V102" s="5"/>
      <c r="W102" s="5"/>
      <c r="X102" s="5"/>
      <c r="Y102" s="5"/>
      <c r="Z102" s="6"/>
      <c r="AA102" s="6"/>
      <c r="AB102" s="6"/>
      <c r="AC102" s="6"/>
      <c r="AD102" s="6"/>
      <c r="AE102" s="6"/>
      <c r="AF102" s="6"/>
      <c r="AG102" s="6"/>
      <c r="AH102" s="6"/>
      <c r="AI102" s="6"/>
      <c r="BM102" s="8"/>
      <c r="BN102" s="8"/>
      <c r="BO102" s="8"/>
      <c r="BP102" s="8"/>
      <c r="BQ102" s="8"/>
      <c r="BR102" s="8"/>
    </row>
    <row r="103" spans="1:407" s="4" customFormat="1" ht="14.65" thickBot="1" x14ac:dyDescent="0.5">
      <c r="A103" s="1"/>
      <c r="B103" s="1"/>
      <c r="C103" s="1"/>
      <c r="D103" s="8"/>
      <c r="E103" s="436"/>
      <c r="F103" s="436"/>
      <c r="G103" s="436"/>
      <c r="H103" s="436"/>
      <c r="I103" s="436"/>
      <c r="J103" s="436"/>
      <c r="K103" s="436"/>
      <c r="L103" s="436"/>
      <c r="M103" s="436"/>
      <c r="N103" s="436"/>
      <c r="O103" s="436"/>
      <c r="P103" s="9"/>
      <c r="Q103" s="9"/>
      <c r="R103" s="9"/>
      <c r="S103" s="9"/>
      <c r="T103" s="9"/>
      <c r="U103" s="9"/>
      <c r="V103" s="9"/>
      <c r="W103" s="9"/>
      <c r="X103" s="9"/>
      <c r="Y103" s="9"/>
      <c r="Z103" s="10"/>
      <c r="AA103" s="10"/>
      <c r="AB103" s="10"/>
      <c r="AC103" s="10"/>
      <c r="AD103" s="10"/>
      <c r="AE103" s="10"/>
      <c r="AF103" s="10"/>
      <c r="AG103" s="10"/>
      <c r="AH103" s="10"/>
      <c r="AI103" s="10"/>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row>
    <row r="104" spans="1:407" s="4" customFormat="1" ht="14.65" thickBot="1" x14ac:dyDescent="0.5">
      <c r="A104" s="1"/>
      <c r="B104" s="1"/>
      <c r="C104" s="1"/>
    </row>
    <row r="105" spans="1:407" s="4" customFormat="1" x14ac:dyDescent="0.45">
      <c r="A105" s="1"/>
      <c r="B105" s="1"/>
      <c r="C105" s="1"/>
      <c r="E105" s="504" t="s">
        <v>84</v>
      </c>
      <c r="F105" s="506" t="s">
        <v>85</v>
      </c>
      <c r="G105" s="522" t="str">
        <f>E9</f>
        <v>Mục tiêu trả nợ 1: Vay mua chung cư</v>
      </c>
      <c r="H105" s="522"/>
      <c r="I105" s="522" t="str">
        <f>E18</f>
        <v xml:space="preserve">Mục tiêu trả nợ 2: </v>
      </c>
      <c r="J105" s="522"/>
      <c r="K105" s="522" t="str">
        <f>E27</f>
        <v xml:space="preserve">Mục tiêu trả nợ 3: </v>
      </c>
      <c r="L105" s="522"/>
      <c r="M105" s="522" t="str">
        <f>E37</f>
        <v>Mục tiêu đầu tư 4: Du lịch xuyên Thái Lan</v>
      </c>
      <c r="N105" s="522"/>
      <c r="O105" s="522" t="str">
        <f>E46</f>
        <v>Mục tiêu đầu tư 5: Quỹ dự phòng tài chính</v>
      </c>
      <c r="P105" s="522"/>
      <c r="Q105" s="522" t="str">
        <f>E55</f>
        <v>Mục tiêu đầu tư 6: Đám cưới</v>
      </c>
      <c r="R105" s="522"/>
      <c r="S105" s="522" t="str">
        <f>E64</f>
        <v>Mục tiêu đầu tư 7: Khởi nghiệp</v>
      </c>
      <c r="T105" s="522"/>
      <c r="U105" s="522" t="str">
        <f>E73</f>
        <v xml:space="preserve">Mục tiêu đầu tư 8: Mua chung cư </v>
      </c>
      <c r="V105" s="522"/>
      <c r="W105" s="522" t="str">
        <f>E82</f>
        <v>Mục tiêu đầu tư 9: Cho con đi học đại học</v>
      </c>
      <c r="X105" s="522"/>
      <c r="Y105" s="522" t="str">
        <f>E92</f>
        <v>Mục tiêu đầu tư 10: Hưu trí</v>
      </c>
      <c r="Z105" s="522"/>
      <c r="AA105" s="522" t="s">
        <v>86</v>
      </c>
      <c r="AB105" s="522" t="s">
        <v>87</v>
      </c>
      <c r="AC105" s="6"/>
    </row>
    <row r="106" spans="1:407" s="4" customFormat="1" ht="14.65" thickBot="1" x14ac:dyDescent="0.5">
      <c r="A106" s="1"/>
      <c r="B106" s="1"/>
      <c r="C106" s="1"/>
      <c r="E106" s="505"/>
      <c r="F106" s="507"/>
      <c r="G106" s="523"/>
      <c r="H106" s="523"/>
      <c r="I106" s="523"/>
      <c r="J106" s="523"/>
      <c r="K106" s="523"/>
      <c r="L106" s="523"/>
      <c r="M106" s="523"/>
      <c r="N106" s="523"/>
      <c r="O106" s="523"/>
      <c r="P106" s="523"/>
      <c r="Q106" s="523"/>
      <c r="R106" s="523"/>
      <c r="S106" s="523"/>
      <c r="T106" s="523"/>
      <c r="U106" s="523"/>
      <c r="V106" s="523"/>
      <c r="W106" s="523"/>
      <c r="X106" s="523"/>
      <c r="Y106" s="523"/>
      <c r="Z106" s="523"/>
      <c r="AA106" s="523"/>
      <c r="AB106" s="523"/>
      <c r="AC106" s="6"/>
    </row>
    <row r="107" spans="1:407" s="4" customFormat="1" x14ac:dyDescent="0.45">
      <c r="A107" s="1"/>
      <c r="B107" s="1"/>
      <c r="C107" s="1"/>
      <c r="E107" s="58">
        <f>'Từ khóa'!E7</f>
        <v>2023</v>
      </c>
      <c r="F107" s="168">
        <f>'Từ khóa'!L7</f>
        <v>21</v>
      </c>
      <c r="G107" s="502"/>
      <c r="H107" s="503"/>
      <c r="I107" s="513"/>
      <c r="J107" s="514"/>
      <c r="K107" s="513"/>
      <c r="L107" s="514"/>
      <c r="M107" s="502">
        <f>$O$43</f>
        <v>0.87554246309553085</v>
      </c>
      <c r="N107" s="503"/>
      <c r="O107" s="511">
        <f t="shared" ref="O107:O110" si="0">$O$52</f>
        <v>1.6853379751904034</v>
      </c>
      <c r="P107" s="512"/>
      <c r="Q107" s="511"/>
      <c r="R107" s="512"/>
      <c r="S107" s="432"/>
      <c r="T107" s="433"/>
      <c r="U107" s="516"/>
      <c r="V107" s="517"/>
      <c r="W107" s="515"/>
      <c r="X107" s="515"/>
      <c r="Y107" s="518"/>
      <c r="Z107" s="518"/>
      <c r="AA107" s="79">
        <f>SUM(G107:Z107)</f>
        <v>2.5608804382859343</v>
      </c>
      <c r="AB107" s="81">
        <f>AA107/'Mục tiêu bản thân'!$I$24</f>
        <v>6.402201095714835</v>
      </c>
      <c r="AC107" s="6"/>
    </row>
    <row r="108" spans="1:407" s="4" customFormat="1" x14ac:dyDescent="0.45">
      <c r="A108" s="1"/>
      <c r="B108" s="1"/>
      <c r="C108" s="1"/>
      <c r="E108" s="29">
        <f>E107+1</f>
        <v>2024</v>
      </c>
      <c r="F108" s="163">
        <f>F107+1</f>
        <v>22</v>
      </c>
      <c r="G108" s="502"/>
      <c r="H108" s="503"/>
      <c r="I108" s="509"/>
      <c r="J108" s="510"/>
      <c r="K108" s="509"/>
      <c r="L108" s="510"/>
      <c r="M108" s="502">
        <f t="shared" ref="M108:M110" si="1">$O$43</f>
        <v>0.87554246309553085</v>
      </c>
      <c r="N108" s="503"/>
      <c r="O108" s="511">
        <f t="shared" si="0"/>
        <v>1.6853379751904034</v>
      </c>
      <c r="P108" s="512"/>
      <c r="Q108" s="511">
        <f t="shared" ref="Q108:Q114" si="2">$O$61</f>
        <v>1.6065875988014868</v>
      </c>
      <c r="R108" s="512"/>
      <c r="S108" s="432"/>
      <c r="T108" s="433"/>
      <c r="U108" s="432"/>
      <c r="V108" s="433"/>
      <c r="W108" s="515"/>
      <c r="X108" s="515"/>
      <c r="Y108" s="515"/>
      <c r="Z108" s="515"/>
      <c r="AA108" s="79">
        <f t="shared" ref="AA108:AA145" si="3">SUM(G108:Z108)</f>
        <v>4.1674680370874206</v>
      </c>
      <c r="AB108" s="79">
        <f>AA108/'Mục tiêu bản thân'!$I$24</f>
        <v>10.418670092718552</v>
      </c>
      <c r="AC108" s="6"/>
    </row>
    <row r="109" spans="1:407" s="4" customFormat="1" x14ac:dyDescent="0.45">
      <c r="A109" s="1"/>
      <c r="B109" s="1"/>
      <c r="C109" s="1"/>
      <c r="E109" s="29">
        <f t="shared" ref="E109:E145" si="4">E108+1</f>
        <v>2025</v>
      </c>
      <c r="F109" s="163">
        <f t="shared" ref="F109:F145" si="5">F108+1</f>
        <v>23</v>
      </c>
      <c r="G109" s="502"/>
      <c r="H109" s="503"/>
      <c r="I109" s="509"/>
      <c r="J109" s="510"/>
      <c r="K109" s="509"/>
      <c r="L109" s="510"/>
      <c r="M109" s="502">
        <f t="shared" si="1"/>
        <v>0.87554246309553085</v>
      </c>
      <c r="N109" s="503"/>
      <c r="O109" s="511">
        <f t="shared" si="0"/>
        <v>1.6853379751904034</v>
      </c>
      <c r="P109" s="512"/>
      <c r="Q109" s="511">
        <f t="shared" si="2"/>
        <v>1.6065875988014868</v>
      </c>
      <c r="R109" s="512"/>
      <c r="S109" s="432"/>
      <c r="T109" s="433"/>
      <c r="U109" s="432">
        <f t="shared" ref="U109:U121" si="6">$O$79</f>
        <v>2.900567205760193</v>
      </c>
      <c r="V109" s="433"/>
      <c r="W109" s="515"/>
      <c r="X109" s="515"/>
      <c r="Y109" s="515"/>
      <c r="Z109" s="515"/>
      <c r="AA109" s="79">
        <f t="shared" si="3"/>
        <v>7.0680352428476141</v>
      </c>
      <c r="AB109" s="79">
        <f>AA109/'Mục tiêu bản thân'!$I$24</f>
        <v>17.670088107119035</v>
      </c>
      <c r="AC109" s="6"/>
    </row>
    <row r="110" spans="1:407" s="4" customFormat="1" x14ac:dyDescent="0.45">
      <c r="A110" s="1"/>
      <c r="B110" s="1"/>
      <c r="C110" s="1"/>
      <c r="E110" s="29">
        <f t="shared" si="4"/>
        <v>2026</v>
      </c>
      <c r="F110" s="163">
        <f t="shared" si="5"/>
        <v>24</v>
      </c>
      <c r="G110" s="502"/>
      <c r="H110" s="503"/>
      <c r="I110" s="509"/>
      <c r="J110" s="510"/>
      <c r="K110" s="509"/>
      <c r="L110" s="510"/>
      <c r="M110" s="502">
        <f t="shared" si="1"/>
        <v>0.87554246309553085</v>
      </c>
      <c r="N110" s="503"/>
      <c r="O110" s="511">
        <f t="shared" si="0"/>
        <v>1.6853379751904034</v>
      </c>
      <c r="P110" s="512"/>
      <c r="Q110" s="511">
        <f t="shared" si="2"/>
        <v>1.6065875988014868</v>
      </c>
      <c r="R110" s="512"/>
      <c r="S110" s="432"/>
      <c r="T110" s="433"/>
      <c r="U110" s="432">
        <f t="shared" si="6"/>
        <v>2.900567205760193</v>
      </c>
      <c r="V110" s="433"/>
      <c r="W110" s="515"/>
      <c r="X110" s="515"/>
      <c r="Y110" s="515"/>
      <c r="Z110" s="515"/>
      <c r="AA110" s="79">
        <f t="shared" si="3"/>
        <v>7.0680352428476141</v>
      </c>
      <c r="AB110" s="79">
        <f>AA110/'Mục tiêu bản thân'!$I$24</f>
        <v>17.670088107119035</v>
      </c>
      <c r="AC110" s="6"/>
    </row>
    <row r="111" spans="1:407" s="4" customFormat="1" x14ac:dyDescent="0.45">
      <c r="A111" s="1"/>
      <c r="B111" s="1"/>
      <c r="C111" s="1"/>
      <c r="E111" s="29">
        <f t="shared" si="4"/>
        <v>2027</v>
      </c>
      <c r="F111" s="163">
        <f t="shared" si="5"/>
        <v>25</v>
      </c>
      <c r="G111" s="502"/>
      <c r="H111" s="503"/>
      <c r="I111" s="509"/>
      <c r="J111" s="510"/>
      <c r="K111" s="509"/>
      <c r="L111" s="510"/>
      <c r="M111" s="502"/>
      <c r="N111" s="503"/>
      <c r="O111" s="511"/>
      <c r="P111" s="512"/>
      <c r="Q111" s="511">
        <f t="shared" si="2"/>
        <v>1.6065875988014868</v>
      </c>
      <c r="R111" s="512"/>
      <c r="S111" s="432"/>
      <c r="T111" s="433"/>
      <c r="U111" s="432">
        <f t="shared" si="6"/>
        <v>2.900567205760193</v>
      </c>
      <c r="V111" s="433"/>
      <c r="W111" s="515"/>
      <c r="X111" s="515"/>
      <c r="Y111" s="515"/>
      <c r="Z111" s="515"/>
      <c r="AA111" s="79">
        <f t="shared" si="3"/>
        <v>4.5071548045616794</v>
      </c>
      <c r="AB111" s="79">
        <f>AA111/'Mục tiêu bản thân'!$I$24</f>
        <v>11.267887011404198</v>
      </c>
      <c r="AC111" s="6"/>
    </row>
    <row r="112" spans="1:407" s="4" customFormat="1" x14ac:dyDescent="0.45">
      <c r="A112" s="1"/>
      <c r="B112" s="1"/>
      <c r="C112" s="1"/>
      <c r="E112" s="29">
        <f t="shared" si="4"/>
        <v>2028</v>
      </c>
      <c r="F112" s="163">
        <f t="shared" si="5"/>
        <v>26</v>
      </c>
      <c r="G112" s="502"/>
      <c r="H112" s="503"/>
      <c r="I112" s="509"/>
      <c r="J112" s="510"/>
      <c r="K112" s="509"/>
      <c r="L112" s="510"/>
      <c r="M112" s="502"/>
      <c r="N112" s="503"/>
      <c r="O112" s="511"/>
      <c r="P112" s="512"/>
      <c r="Q112" s="511">
        <f t="shared" si="2"/>
        <v>1.6065875988014868</v>
      </c>
      <c r="R112" s="512"/>
      <c r="S112" s="432">
        <f t="shared" ref="S112:S116" si="7">$O$70</f>
        <v>6.8939742978118819</v>
      </c>
      <c r="T112" s="433"/>
      <c r="U112" s="515">
        <f t="shared" si="6"/>
        <v>2.900567205760193</v>
      </c>
      <c r="V112" s="515"/>
      <c r="W112" s="515"/>
      <c r="X112" s="515"/>
      <c r="Y112" s="515"/>
      <c r="Z112" s="515"/>
      <c r="AA112" s="79">
        <f t="shared" si="3"/>
        <v>11.401129102373563</v>
      </c>
      <c r="AB112" s="79">
        <f>AA112/'Mục tiêu bản thân'!$I$24</f>
        <v>28.502822755933906</v>
      </c>
      <c r="AC112" s="6"/>
    </row>
    <row r="113" spans="1:29" s="4" customFormat="1" x14ac:dyDescent="0.45">
      <c r="A113" s="1"/>
      <c r="B113" s="1"/>
      <c r="C113" s="1"/>
      <c r="E113" s="29">
        <f t="shared" si="4"/>
        <v>2029</v>
      </c>
      <c r="F113" s="163">
        <f t="shared" si="5"/>
        <v>27</v>
      </c>
      <c r="G113" s="511"/>
      <c r="H113" s="512"/>
      <c r="I113" s="509"/>
      <c r="J113" s="510"/>
      <c r="K113" s="509"/>
      <c r="L113" s="510"/>
      <c r="M113" s="502"/>
      <c r="N113" s="503"/>
      <c r="O113" s="511"/>
      <c r="P113" s="512"/>
      <c r="Q113" s="511">
        <f t="shared" si="2"/>
        <v>1.6065875988014868</v>
      </c>
      <c r="R113" s="512"/>
      <c r="S113" s="432">
        <f t="shared" si="7"/>
        <v>6.8939742978118819</v>
      </c>
      <c r="T113" s="433"/>
      <c r="U113" s="515">
        <f t="shared" si="6"/>
        <v>2.900567205760193</v>
      </c>
      <c r="V113" s="515"/>
      <c r="W113" s="515"/>
      <c r="X113" s="515"/>
      <c r="Y113" s="515"/>
      <c r="Z113" s="515"/>
      <c r="AA113" s="79">
        <f t="shared" si="3"/>
        <v>11.401129102373563</v>
      </c>
      <c r="AB113" s="79">
        <f>AA113/'Mục tiêu bản thân'!$I$24</f>
        <v>28.502822755933906</v>
      </c>
      <c r="AC113" s="6"/>
    </row>
    <row r="114" spans="1:29" s="4" customFormat="1" x14ac:dyDescent="0.45">
      <c r="A114" s="1"/>
      <c r="B114" s="1"/>
      <c r="C114" s="1"/>
      <c r="E114" s="29">
        <f t="shared" si="4"/>
        <v>2030</v>
      </c>
      <c r="F114" s="163">
        <f t="shared" si="5"/>
        <v>28</v>
      </c>
      <c r="G114" s="502"/>
      <c r="H114" s="503"/>
      <c r="I114" s="509"/>
      <c r="J114" s="510"/>
      <c r="K114" s="509"/>
      <c r="L114" s="510"/>
      <c r="M114" s="511"/>
      <c r="N114" s="512"/>
      <c r="O114" s="511"/>
      <c r="P114" s="512"/>
      <c r="Q114" s="511">
        <f t="shared" si="2"/>
        <v>1.6065875988014868</v>
      </c>
      <c r="R114" s="512"/>
      <c r="S114" s="432">
        <f t="shared" si="7"/>
        <v>6.8939742978118819</v>
      </c>
      <c r="T114" s="433"/>
      <c r="U114" s="515">
        <f t="shared" si="6"/>
        <v>2.900567205760193</v>
      </c>
      <c r="V114" s="515"/>
      <c r="W114" s="515">
        <f t="shared" ref="W114:W119" si="8">$O$89</f>
        <v>0.60510772376746558</v>
      </c>
      <c r="X114" s="515"/>
      <c r="Y114" s="515"/>
      <c r="Z114" s="515"/>
      <c r="AA114" s="79">
        <f>SUM(G114:Z114)</f>
        <v>12.006236826141029</v>
      </c>
      <c r="AB114" s="79">
        <f>AA114/'Mục tiêu bản thân'!$I$24</f>
        <v>30.015592065352571</v>
      </c>
      <c r="AC114" s="6"/>
    </row>
    <row r="115" spans="1:29" s="4" customFormat="1" x14ac:dyDescent="0.45">
      <c r="A115" s="1"/>
      <c r="B115" s="1"/>
      <c r="C115" s="1"/>
      <c r="E115" s="29">
        <f t="shared" si="4"/>
        <v>2031</v>
      </c>
      <c r="F115" s="163">
        <f t="shared" si="5"/>
        <v>29</v>
      </c>
      <c r="G115" s="502"/>
      <c r="H115" s="503"/>
      <c r="I115" s="509"/>
      <c r="J115" s="510"/>
      <c r="K115" s="509"/>
      <c r="L115" s="510"/>
      <c r="M115" s="511"/>
      <c r="N115" s="512"/>
      <c r="O115" s="511"/>
      <c r="P115" s="512"/>
      <c r="Q115" s="511"/>
      <c r="R115" s="512"/>
      <c r="S115" s="432">
        <f t="shared" si="7"/>
        <v>6.8939742978118819</v>
      </c>
      <c r="T115" s="433"/>
      <c r="U115" s="515">
        <f>$O$79</f>
        <v>2.900567205760193</v>
      </c>
      <c r="V115" s="515"/>
      <c r="W115" s="515">
        <f t="shared" si="8"/>
        <v>0.60510772376746558</v>
      </c>
      <c r="X115" s="515"/>
      <c r="Y115" s="515">
        <f t="shared" ref="Y115:Y124" si="9">$O$99</f>
        <v>2.6576177770588902</v>
      </c>
      <c r="Z115" s="515"/>
      <c r="AA115" s="79">
        <f t="shared" si="3"/>
        <v>13.057267004398431</v>
      </c>
      <c r="AB115" s="79">
        <f>AA115/'Mục tiêu bản thân'!$I$24</f>
        <v>32.643167510996079</v>
      </c>
      <c r="AC115" s="6"/>
    </row>
    <row r="116" spans="1:29" s="4" customFormat="1" x14ac:dyDescent="0.45">
      <c r="A116" s="1"/>
      <c r="B116" s="1"/>
      <c r="C116" s="1"/>
      <c r="E116" s="29">
        <f t="shared" si="4"/>
        <v>2032</v>
      </c>
      <c r="F116" s="163">
        <f t="shared" si="5"/>
        <v>30</v>
      </c>
      <c r="G116" s="502"/>
      <c r="H116" s="503"/>
      <c r="I116" s="509"/>
      <c r="J116" s="510"/>
      <c r="K116" s="509"/>
      <c r="L116" s="510"/>
      <c r="M116" s="511"/>
      <c r="N116" s="512"/>
      <c r="O116" s="511"/>
      <c r="P116" s="512"/>
      <c r="Q116" s="511"/>
      <c r="R116" s="512"/>
      <c r="S116" s="432">
        <f t="shared" si="7"/>
        <v>6.8939742978118819</v>
      </c>
      <c r="T116" s="433"/>
      <c r="U116" s="515">
        <f t="shared" si="6"/>
        <v>2.900567205760193</v>
      </c>
      <c r="V116" s="515"/>
      <c r="W116" s="515">
        <f t="shared" si="8"/>
        <v>0.60510772376746558</v>
      </c>
      <c r="X116" s="515"/>
      <c r="Y116" s="515">
        <f t="shared" si="9"/>
        <v>2.6576177770588902</v>
      </c>
      <c r="Z116" s="515"/>
      <c r="AA116" s="79">
        <f t="shared" si="3"/>
        <v>13.057267004398431</v>
      </c>
      <c r="AB116" s="79">
        <f>AA116/'Mục tiêu bản thân'!$I$24</f>
        <v>32.643167510996079</v>
      </c>
      <c r="AC116" s="6"/>
    </row>
    <row r="117" spans="1:29" s="4" customFormat="1" x14ac:dyDescent="0.45">
      <c r="A117" s="1"/>
      <c r="B117" s="1"/>
      <c r="C117" s="1"/>
      <c r="E117" s="29">
        <f t="shared" si="4"/>
        <v>2033</v>
      </c>
      <c r="F117" s="163">
        <f t="shared" si="5"/>
        <v>31</v>
      </c>
      <c r="G117" s="502"/>
      <c r="H117" s="503"/>
      <c r="I117" s="509"/>
      <c r="J117" s="510"/>
      <c r="K117" s="509"/>
      <c r="L117" s="510"/>
      <c r="M117" s="511"/>
      <c r="N117" s="512"/>
      <c r="O117" s="511"/>
      <c r="P117" s="512"/>
      <c r="Q117" s="511"/>
      <c r="R117" s="512"/>
      <c r="S117" s="432"/>
      <c r="T117" s="433"/>
      <c r="U117" s="515">
        <f t="shared" si="6"/>
        <v>2.900567205760193</v>
      </c>
      <c r="V117" s="515"/>
      <c r="W117" s="515">
        <f t="shared" si="8"/>
        <v>0.60510772376746558</v>
      </c>
      <c r="X117" s="515"/>
      <c r="Y117" s="515">
        <f t="shared" si="9"/>
        <v>2.6576177770588902</v>
      </c>
      <c r="Z117" s="515"/>
      <c r="AA117" s="79">
        <f t="shared" si="3"/>
        <v>6.1632927065865486</v>
      </c>
      <c r="AB117" s="79">
        <f>AA117/'Mục tiêu bản thân'!$I$24</f>
        <v>15.40823176646637</v>
      </c>
      <c r="AC117" s="6"/>
    </row>
    <row r="118" spans="1:29" s="4" customFormat="1" x14ac:dyDescent="0.45">
      <c r="A118" s="1"/>
      <c r="B118" s="1"/>
      <c r="C118" s="1"/>
      <c r="E118" s="29">
        <f t="shared" si="4"/>
        <v>2034</v>
      </c>
      <c r="F118" s="163">
        <f t="shared" si="5"/>
        <v>32</v>
      </c>
      <c r="G118" s="502"/>
      <c r="H118" s="503"/>
      <c r="I118" s="509"/>
      <c r="J118" s="510"/>
      <c r="K118" s="509"/>
      <c r="L118" s="510"/>
      <c r="M118" s="511"/>
      <c r="N118" s="512"/>
      <c r="O118" s="511"/>
      <c r="P118" s="512"/>
      <c r="Q118" s="511"/>
      <c r="R118" s="512"/>
      <c r="S118" s="432"/>
      <c r="T118" s="433"/>
      <c r="U118" s="515">
        <f t="shared" si="6"/>
        <v>2.900567205760193</v>
      </c>
      <c r="V118" s="515"/>
      <c r="W118" s="515">
        <f t="shared" si="8"/>
        <v>0.60510772376746558</v>
      </c>
      <c r="X118" s="515"/>
      <c r="Y118" s="515">
        <f t="shared" si="9"/>
        <v>2.6576177770588902</v>
      </c>
      <c r="Z118" s="515"/>
      <c r="AA118" s="79">
        <f t="shared" si="3"/>
        <v>6.1632927065865486</v>
      </c>
      <c r="AB118" s="79">
        <f>AA118/'Mục tiêu bản thân'!$I$24</f>
        <v>15.40823176646637</v>
      </c>
      <c r="AC118" s="6"/>
    </row>
    <row r="119" spans="1:29" s="4" customFormat="1" x14ac:dyDescent="0.45">
      <c r="A119" s="1"/>
      <c r="B119" s="1"/>
      <c r="C119" s="1"/>
      <c r="E119" s="29">
        <f t="shared" si="4"/>
        <v>2035</v>
      </c>
      <c r="F119" s="163">
        <f t="shared" si="5"/>
        <v>33</v>
      </c>
      <c r="G119" s="502"/>
      <c r="H119" s="503"/>
      <c r="I119" s="512"/>
      <c r="J119" s="512"/>
      <c r="K119" s="512"/>
      <c r="L119" s="512"/>
      <c r="M119" s="512"/>
      <c r="N119" s="512"/>
      <c r="O119" s="511"/>
      <c r="P119" s="512"/>
      <c r="Q119" s="511"/>
      <c r="R119" s="512"/>
      <c r="S119" s="432"/>
      <c r="T119" s="433"/>
      <c r="U119" s="515">
        <f t="shared" si="6"/>
        <v>2.900567205760193</v>
      </c>
      <c r="V119" s="515"/>
      <c r="W119" s="515">
        <f t="shared" si="8"/>
        <v>0.60510772376746558</v>
      </c>
      <c r="X119" s="515"/>
      <c r="Y119" s="515">
        <f t="shared" si="9"/>
        <v>2.6576177770588902</v>
      </c>
      <c r="Z119" s="515"/>
      <c r="AA119" s="79">
        <f t="shared" si="3"/>
        <v>6.1632927065865486</v>
      </c>
      <c r="AB119" s="79">
        <f>AA119/'Mục tiêu bản thân'!$I$24</f>
        <v>15.40823176646637</v>
      </c>
      <c r="AC119" s="6"/>
    </row>
    <row r="120" spans="1:29" s="4" customFormat="1" x14ac:dyDescent="0.45">
      <c r="A120" s="1"/>
      <c r="B120" s="1"/>
      <c r="C120" s="1"/>
      <c r="E120" s="29">
        <f t="shared" si="4"/>
        <v>2036</v>
      </c>
      <c r="F120" s="163">
        <f t="shared" si="5"/>
        <v>34</v>
      </c>
      <c r="G120" s="502"/>
      <c r="H120" s="503"/>
      <c r="I120" s="512"/>
      <c r="J120" s="512"/>
      <c r="K120" s="512"/>
      <c r="L120" s="512"/>
      <c r="M120" s="512"/>
      <c r="N120" s="512"/>
      <c r="O120" s="511"/>
      <c r="P120" s="512"/>
      <c r="Q120" s="511"/>
      <c r="R120" s="512"/>
      <c r="S120" s="432"/>
      <c r="T120" s="433"/>
      <c r="U120" s="515">
        <f t="shared" si="6"/>
        <v>2.900567205760193</v>
      </c>
      <c r="V120" s="515"/>
      <c r="W120" s="515">
        <f t="shared" ref="W120:W122" si="10">$O$89</f>
        <v>0.60510772376746558</v>
      </c>
      <c r="X120" s="515"/>
      <c r="Y120" s="515">
        <f t="shared" si="9"/>
        <v>2.6576177770588902</v>
      </c>
      <c r="Z120" s="515"/>
      <c r="AA120" s="79">
        <f t="shared" si="3"/>
        <v>6.1632927065865486</v>
      </c>
      <c r="AB120" s="79">
        <f>AA120/'Mục tiêu bản thân'!$I$24</f>
        <v>15.40823176646637</v>
      </c>
      <c r="AC120" s="6"/>
    </row>
    <row r="121" spans="1:29" s="4" customFormat="1" x14ac:dyDescent="0.45">
      <c r="A121" s="1"/>
      <c r="B121" s="1"/>
      <c r="C121" s="1"/>
      <c r="E121" s="29">
        <f t="shared" si="4"/>
        <v>2037</v>
      </c>
      <c r="F121" s="163">
        <f t="shared" si="5"/>
        <v>35</v>
      </c>
      <c r="G121" s="502">
        <f t="shared" ref="G121:G136" si="11">$O$15</f>
        <v>0.92492502694696199</v>
      </c>
      <c r="H121" s="503"/>
      <c r="I121" s="512"/>
      <c r="J121" s="512"/>
      <c r="K121" s="512"/>
      <c r="L121" s="512"/>
      <c r="M121" s="512"/>
      <c r="N121" s="512"/>
      <c r="O121" s="511"/>
      <c r="P121" s="512"/>
      <c r="Q121" s="511"/>
      <c r="R121" s="512"/>
      <c r="S121" s="432"/>
      <c r="T121" s="433"/>
      <c r="U121" s="515">
        <f t="shared" si="6"/>
        <v>2.900567205760193</v>
      </c>
      <c r="V121" s="515"/>
      <c r="W121" s="515">
        <f t="shared" si="10"/>
        <v>0.60510772376746558</v>
      </c>
      <c r="X121" s="515"/>
      <c r="Y121" s="515">
        <f t="shared" si="9"/>
        <v>2.6576177770588902</v>
      </c>
      <c r="Z121" s="515"/>
      <c r="AA121" s="79">
        <f t="shared" si="3"/>
        <v>7.0882177335335106</v>
      </c>
      <c r="AB121" s="79">
        <f>AA121/'Mục tiêu bản thân'!$I$24</f>
        <v>17.720544333833775</v>
      </c>
      <c r="AC121" s="6"/>
    </row>
    <row r="122" spans="1:29" s="4" customFormat="1" x14ac:dyDescent="0.45">
      <c r="A122" s="1"/>
      <c r="B122" s="1"/>
      <c r="C122" s="1"/>
      <c r="E122" s="29">
        <f t="shared" si="4"/>
        <v>2038</v>
      </c>
      <c r="F122" s="163">
        <f t="shared" si="5"/>
        <v>36</v>
      </c>
      <c r="G122" s="502">
        <f t="shared" si="11"/>
        <v>0.92492502694696199</v>
      </c>
      <c r="H122" s="503"/>
      <c r="I122" s="512"/>
      <c r="J122" s="512"/>
      <c r="K122" s="512"/>
      <c r="L122" s="512"/>
      <c r="M122" s="512"/>
      <c r="N122" s="512"/>
      <c r="O122" s="511"/>
      <c r="P122" s="512"/>
      <c r="Q122" s="511"/>
      <c r="R122" s="512"/>
      <c r="S122" s="432"/>
      <c r="T122" s="433"/>
      <c r="U122" s="432"/>
      <c r="V122" s="433"/>
      <c r="W122" s="515">
        <f t="shared" si="10"/>
        <v>0.60510772376746558</v>
      </c>
      <c r="X122" s="515"/>
      <c r="Y122" s="515">
        <f t="shared" si="9"/>
        <v>2.6576177770588902</v>
      </c>
      <c r="Z122" s="515"/>
      <c r="AA122" s="79">
        <f t="shared" si="3"/>
        <v>4.187650527773318</v>
      </c>
      <c r="AB122" s="79">
        <f>AA122/'Mục tiêu bản thân'!$I$24</f>
        <v>10.469126319433295</v>
      </c>
      <c r="AC122" s="6"/>
    </row>
    <row r="123" spans="1:29" s="4" customFormat="1" x14ac:dyDescent="0.45">
      <c r="A123" s="1"/>
      <c r="B123" s="1"/>
      <c r="C123" s="1"/>
      <c r="E123" s="29">
        <f t="shared" si="4"/>
        <v>2039</v>
      </c>
      <c r="F123" s="163">
        <f t="shared" si="5"/>
        <v>37</v>
      </c>
      <c r="G123" s="502">
        <f t="shared" si="11"/>
        <v>0.92492502694696199</v>
      </c>
      <c r="H123" s="503"/>
      <c r="I123" s="512"/>
      <c r="J123" s="512"/>
      <c r="K123" s="512"/>
      <c r="L123" s="512"/>
      <c r="M123" s="512"/>
      <c r="N123" s="512"/>
      <c r="O123" s="512"/>
      <c r="P123" s="512"/>
      <c r="Q123" s="511"/>
      <c r="R123" s="512"/>
      <c r="S123" s="432"/>
      <c r="T123" s="433"/>
      <c r="U123" s="432"/>
      <c r="V123" s="433"/>
      <c r="W123" s="515">
        <f t="shared" ref="W123:W132" si="12">$O$89</f>
        <v>0.60510772376746558</v>
      </c>
      <c r="X123" s="515"/>
      <c r="Y123" s="515">
        <f t="shared" si="9"/>
        <v>2.6576177770588902</v>
      </c>
      <c r="Z123" s="515"/>
      <c r="AA123" s="79">
        <f t="shared" si="3"/>
        <v>4.187650527773318</v>
      </c>
      <c r="AB123" s="79">
        <f>AA123/'Mục tiêu bản thân'!$I$24</f>
        <v>10.469126319433295</v>
      </c>
      <c r="AC123" s="6"/>
    </row>
    <row r="124" spans="1:29" s="4" customFormat="1" x14ac:dyDescent="0.45">
      <c r="A124" s="1"/>
      <c r="B124" s="1"/>
      <c r="C124" s="1"/>
      <c r="E124" s="29">
        <f t="shared" si="4"/>
        <v>2040</v>
      </c>
      <c r="F124" s="163">
        <f t="shared" si="5"/>
        <v>38</v>
      </c>
      <c r="G124" s="502">
        <f t="shared" si="11"/>
        <v>0.92492502694696199</v>
      </c>
      <c r="H124" s="503"/>
      <c r="I124" s="512"/>
      <c r="J124" s="512"/>
      <c r="K124" s="512"/>
      <c r="L124" s="512"/>
      <c r="M124" s="512"/>
      <c r="N124" s="512"/>
      <c r="O124" s="512"/>
      <c r="P124" s="512"/>
      <c r="Q124" s="511"/>
      <c r="R124" s="512"/>
      <c r="S124" s="432"/>
      <c r="T124" s="433"/>
      <c r="U124" s="432"/>
      <c r="V124" s="433"/>
      <c r="W124" s="515">
        <f t="shared" si="12"/>
        <v>0.60510772376746558</v>
      </c>
      <c r="X124" s="515"/>
      <c r="Y124" s="515">
        <f t="shared" si="9"/>
        <v>2.6576177770588902</v>
      </c>
      <c r="Z124" s="515"/>
      <c r="AA124" s="79">
        <f t="shared" si="3"/>
        <v>4.187650527773318</v>
      </c>
      <c r="AB124" s="79">
        <f>AA124/'Mục tiêu bản thân'!$I$24</f>
        <v>10.469126319433295</v>
      </c>
      <c r="AC124" s="6"/>
    </row>
    <row r="125" spans="1:29" s="4" customFormat="1" x14ac:dyDescent="0.45">
      <c r="A125" s="1"/>
      <c r="B125" s="1"/>
      <c r="C125" s="1"/>
      <c r="E125" s="29">
        <f t="shared" si="4"/>
        <v>2041</v>
      </c>
      <c r="F125" s="163">
        <f t="shared" si="5"/>
        <v>39</v>
      </c>
      <c r="G125" s="502">
        <f t="shared" si="11"/>
        <v>0.92492502694696199</v>
      </c>
      <c r="H125" s="503"/>
      <c r="I125" s="512"/>
      <c r="J125" s="512"/>
      <c r="K125" s="512"/>
      <c r="L125" s="512"/>
      <c r="M125" s="512"/>
      <c r="N125" s="512"/>
      <c r="O125" s="512"/>
      <c r="P125" s="512"/>
      <c r="Q125" s="511"/>
      <c r="R125" s="512"/>
      <c r="S125" s="432"/>
      <c r="T125" s="433"/>
      <c r="U125" s="515"/>
      <c r="V125" s="515"/>
      <c r="W125" s="515">
        <f t="shared" si="12"/>
        <v>0.60510772376746558</v>
      </c>
      <c r="X125" s="515"/>
      <c r="Y125" s="515"/>
      <c r="Z125" s="515"/>
      <c r="AA125" s="79">
        <f t="shared" si="3"/>
        <v>1.5300327507144276</v>
      </c>
      <c r="AB125" s="79">
        <f>AA125/'Mục tiêu bản thân'!$I$24</f>
        <v>3.8250818767860686</v>
      </c>
      <c r="AC125" s="6"/>
    </row>
    <row r="126" spans="1:29" s="4" customFormat="1" x14ac:dyDescent="0.45">
      <c r="A126" s="1"/>
      <c r="B126" s="1"/>
      <c r="C126" s="1"/>
      <c r="E126" s="29">
        <f t="shared" si="4"/>
        <v>2042</v>
      </c>
      <c r="F126" s="163">
        <f t="shared" si="5"/>
        <v>40</v>
      </c>
      <c r="G126" s="502">
        <f t="shared" si="11"/>
        <v>0.92492502694696199</v>
      </c>
      <c r="H126" s="503"/>
      <c r="I126" s="512"/>
      <c r="J126" s="512"/>
      <c r="K126" s="512"/>
      <c r="L126" s="512"/>
      <c r="M126" s="512"/>
      <c r="N126" s="512"/>
      <c r="O126" s="512"/>
      <c r="P126" s="512"/>
      <c r="Q126" s="511"/>
      <c r="R126" s="512"/>
      <c r="S126" s="432"/>
      <c r="T126" s="433"/>
      <c r="U126" s="515"/>
      <c r="V126" s="515"/>
      <c r="W126" s="515">
        <f t="shared" si="12"/>
        <v>0.60510772376746558</v>
      </c>
      <c r="X126" s="515"/>
      <c r="Y126" s="515"/>
      <c r="Z126" s="515"/>
      <c r="AA126" s="79">
        <f t="shared" si="3"/>
        <v>1.5300327507144276</v>
      </c>
      <c r="AB126" s="79">
        <f>AA126/'Mục tiêu bản thân'!$I$24</f>
        <v>3.8250818767860686</v>
      </c>
      <c r="AC126" s="6"/>
    </row>
    <row r="127" spans="1:29" s="4" customFormat="1" x14ac:dyDescent="0.45">
      <c r="A127" s="1"/>
      <c r="B127" s="1"/>
      <c r="C127" s="1"/>
      <c r="E127" s="29">
        <f t="shared" si="4"/>
        <v>2043</v>
      </c>
      <c r="F127" s="163">
        <f t="shared" si="5"/>
        <v>41</v>
      </c>
      <c r="G127" s="502">
        <f t="shared" si="11"/>
        <v>0.92492502694696199</v>
      </c>
      <c r="H127" s="503"/>
      <c r="I127" s="512"/>
      <c r="J127" s="512"/>
      <c r="K127" s="512"/>
      <c r="L127" s="512"/>
      <c r="M127" s="512"/>
      <c r="N127" s="512"/>
      <c r="O127" s="512"/>
      <c r="P127" s="512"/>
      <c r="Q127" s="511"/>
      <c r="R127" s="512"/>
      <c r="S127" s="432"/>
      <c r="T127" s="433"/>
      <c r="U127" s="515"/>
      <c r="V127" s="515"/>
      <c r="W127" s="515">
        <f t="shared" si="12"/>
        <v>0.60510772376746558</v>
      </c>
      <c r="X127" s="515"/>
      <c r="Y127" s="515"/>
      <c r="Z127" s="515"/>
      <c r="AA127" s="79">
        <f t="shared" si="3"/>
        <v>1.5300327507144276</v>
      </c>
      <c r="AB127" s="79">
        <f>AA127/'Mục tiêu bản thân'!$I$24</f>
        <v>3.8250818767860686</v>
      </c>
      <c r="AC127" s="6"/>
    </row>
    <row r="128" spans="1:29" s="4" customFormat="1" x14ac:dyDescent="0.45">
      <c r="A128" s="1"/>
      <c r="B128" s="1"/>
      <c r="C128" s="1"/>
      <c r="E128" s="29">
        <f t="shared" si="4"/>
        <v>2044</v>
      </c>
      <c r="F128" s="163">
        <f t="shared" si="5"/>
        <v>42</v>
      </c>
      <c r="G128" s="502">
        <f t="shared" si="11"/>
        <v>0.92492502694696199</v>
      </c>
      <c r="H128" s="503"/>
      <c r="I128" s="512"/>
      <c r="J128" s="512"/>
      <c r="K128" s="512"/>
      <c r="L128" s="512"/>
      <c r="M128" s="512"/>
      <c r="N128" s="512"/>
      <c r="O128" s="512"/>
      <c r="P128" s="512"/>
      <c r="Q128" s="511"/>
      <c r="R128" s="512"/>
      <c r="S128" s="515"/>
      <c r="T128" s="515"/>
      <c r="U128" s="515"/>
      <c r="V128" s="515"/>
      <c r="W128" s="515">
        <f t="shared" si="12"/>
        <v>0.60510772376746558</v>
      </c>
      <c r="X128" s="515"/>
      <c r="Y128" s="515"/>
      <c r="Z128" s="515"/>
      <c r="AA128" s="79">
        <f t="shared" si="3"/>
        <v>1.5300327507144276</v>
      </c>
      <c r="AB128" s="79">
        <f>AA128/'Mục tiêu bản thân'!$I$24</f>
        <v>3.8250818767860686</v>
      </c>
      <c r="AC128" s="6"/>
    </row>
    <row r="129" spans="1:29" s="4" customFormat="1" x14ac:dyDescent="0.45">
      <c r="A129" s="1"/>
      <c r="B129" s="1"/>
      <c r="C129" s="1"/>
      <c r="E129" s="29">
        <f t="shared" si="4"/>
        <v>2045</v>
      </c>
      <c r="F129" s="163">
        <f t="shared" si="5"/>
        <v>43</v>
      </c>
      <c r="G129" s="502">
        <f t="shared" si="11"/>
        <v>0.92492502694696199</v>
      </c>
      <c r="H129" s="503"/>
      <c r="I129" s="512"/>
      <c r="J129" s="512"/>
      <c r="K129" s="512"/>
      <c r="L129" s="512"/>
      <c r="M129" s="512"/>
      <c r="N129" s="512"/>
      <c r="O129" s="512"/>
      <c r="P129" s="512"/>
      <c r="Q129" s="511"/>
      <c r="R129" s="512"/>
      <c r="S129" s="515"/>
      <c r="T129" s="515"/>
      <c r="U129" s="515"/>
      <c r="V129" s="515"/>
      <c r="W129" s="515">
        <f t="shared" si="12"/>
        <v>0.60510772376746558</v>
      </c>
      <c r="X129" s="515"/>
      <c r="Y129" s="515"/>
      <c r="Z129" s="515"/>
      <c r="AA129" s="79">
        <f t="shared" si="3"/>
        <v>1.5300327507144276</v>
      </c>
      <c r="AB129" s="79">
        <f>AA129/'Mục tiêu bản thân'!$I$24</f>
        <v>3.8250818767860686</v>
      </c>
      <c r="AC129" s="6"/>
    </row>
    <row r="130" spans="1:29" s="4" customFormat="1" x14ac:dyDescent="0.45">
      <c r="A130" s="1"/>
      <c r="B130" s="1"/>
      <c r="C130" s="1"/>
      <c r="E130" s="29">
        <f t="shared" si="4"/>
        <v>2046</v>
      </c>
      <c r="F130" s="163">
        <f t="shared" si="5"/>
        <v>44</v>
      </c>
      <c r="G130" s="502">
        <f t="shared" si="11"/>
        <v>0.92492502694696199</v>
      </c>
      <c r="H130" s="503"/>
      <c r="I130" s="512"/>
      <c r="J130" s="512"/>
      <c r="K130" s="512"/>
      <c r="L130" s="512"/>
      <c r="M130" s="512"/>
      <c r="N130" s="512"/>
      <c r="O130" s="512"/>
      <c r="P130" s="512"/>
      <c r="Q130" s="511"/>
      <c r="R130" s="512"/>
      <c r="S130" s="515"/>
      <c r="T130" s="515"/>
      <c r="U130" s="515"/>
      <c r="V130" s="515"/>
      <c r="W130" s="515">
        <f t="shared" si="12"/>
        <v>0.60510772376746558</v>
      </c>
      <c r="X130" s="515"/>
      <c r="Y130" s="515"/>
      <c r="Z130" s="515"/>
      <c r="AA130" s="79">
        <f t="shared" si="3"/>
        <v>1.5300327507144276</v>
      </c>
      <c r="AB130" s="79">
        <f>AA130/'Mục tiêu bản thân'!$I$24</f>
        <v>3.8250818767860686</v>
      </c>
      <c r="AC130" s="6"/>
    </row>
    <row r="131" spans="1:29" s="4" customFormat="1" x14ac:dyDescent="0.45">
      <c r="A131" s="1"/>
      <c r="B131" s="1"/>
      <c r="C131" s="1"/>
      <c r="E131" s="29">
        <f t="shared" si="4"/>
        <v>2047</v>
      </c>
      <c r="F131" s="163">
        <f t="shared" si="5"/>
        <v>45</v>
      </c>
      <c r="G131" s="502">
        <f t="shared" si="11"/>
        <v>0.92492502694696199</v>
      </c>
      <c r="H131" s="503"/>
      <c r="I131" s="512"/>
      <c r="J131" s="512"/>
      <c r="K131" s="512"/>
      <c r="L131" s="512"/>
      <c r="M131" s="512"/>
      <c r="N131" s="512"/>
      <c r="O131" s="512"/>
      <c r="P131" s="512"/>
      <c r="Q131" s="511"/>
      <c r="R131" s="512"/>
      <c r="S131" s="515"/>
      <c r="T131" s="515"/>
      <c r="U131" s="515"/>
      <c r="V131" s="515"/>
      <c r="W131" s="515">
        <f t="shared" si="12"/>
        <v>0.60510772376746558</v>
      </c>
      <c r="X131" s="515"/>
      <c r="Y131" s="515"/>
      <c r="Z131" s="515"/>
      <c r="AA131" s="79">
        <f t="shared" si="3"/>
        <v>1.5300327507144276</v>
      </c>
      <c r="AB131" s="79">
        <f>AA131/'Mục tiêu bản thân'!$I$24</f>
        <v>3.8250818767860686</v>
      </c>
      <c r="AC131" s="6"/>
    </row>
    <row r="132" spans="1:29" s="4" customFormat="1" x14ac:dyDescent="0.45">
      <c r="A132" s="1"/>
      <c r="B132" s="1"/>
      <c r="C132" s="1"/>
      <c r="E132" s="29">
        <f t="shared" si="4"/>
        <v>2048</v>
      </c>
      <c r="F132" s="163">
        <f t="shared" si="5"/>
        <v>46</v>
      </c>
      <c r="G132" s="502">
        <f t="shared" si="11"/>
        <v>0.92492502694696199</v>
      </c>
      <c r="H132" s="503"/>
      <c r="I132" s="512"/>
      <c r="J132" s="512"/>
      <c r="K132" s="512"/>
      <c r="L132" s="512"/>
      <c r="M132" s="512"/>
      <c r="N132" s="512"/>
      <c r="O132" s="512"/>
      <c r="P132" s="512"/>
      <c r="Q132" s="511"/>
      <c r="R132" s="512"/>
      <c r="S132" s="515"/>
      <c r="T132" s="515"/>
      <c r="U132" s="515"/>
      <c r="V132" s="515"/>
      <c r="W132" s="515">
        <f t="shared" si="12"/>
        <v>0.60510772376746558</v>
      </c>
      <c r="X132" s="515"/>
      <c r="Y132" s="515"/>
      <c r="Z132" s="515"/>
      <c r="AA132" s="79">
        <f t="shared" si="3"/>
        <v>1.5300327507144276</v>
      </c>
      <c r="AB132" s="79">
        <f>AA132/'Mục tiêu bản thân'!$I$24</f>
        <v>3.8250818767860686</v>
      </c>
      <c r="AC132" s="6"/>
    </row>
    <row r="133" spans="1:29" s="4" customFormat="1" x14ac:dyDescent="0.45">
      <c r="A133" s="1"/>
      <c r="B133" s="1"/>
      <c r="C133" s="1"/>
      <c r="E133" s="29">
        <f t="shared" si="4"/>
        <v>2049</v>
      </c>
      <c r="F133" s="163">
        <f t="shared" si="5"/>
        <v>47</v>
      </c>
      <c r="G133" s="502">
        <f t="shared" si="11"/>
        <v>0.92492502694696199</v>
      </c>
      <c r="H133" s="503"/>
      <c r="I133" s="512"/>
      <c r="J133" s="512"/>
      <c r="K133" s="512"/>
      <c r="L133" s="512"/>
      <c r="M133" s="512"/>
      <c r="N133" s="512"/>
      <c r="O133" s="512"/>
      <c r="P133" s="512"/>
      <c r="Q133" s="512"/>
      <c r="R133" s="512"/>
      <c r="S133" s="515"/>
      <c r="T133" s="515"/>
      <c r="U133" s="515"/>
      <c r="V133" s="515"/>
      <c r="W133" s="515"/>
      <c r="X133" s="515"/>
      <c r="Y133" s="515"/>
      <c r="Z133" s="515"/>
      <c r="AA133" s="79">
        <f t="shared" ref="AA133:AA139" si="13">SUM(G133:Z133)</f>
        <v>0.92492502694696199</v>
      </c>
      <c r="AB133" s="79">
        <f>AA133/'Mục tiêu bản thân'!$I$24</f>
        <v>2.312312567367405</v>
      </c>
      <c r="AC133" s="6"/>
    </row>
    <row r="134" spans="1:29" s="4" customFormat="1" x14ac:dyDescent="0.45">
      <c r="A134" s="1"/>
      <c r="B134" s="1"/>
      <c r="C134" s="1"/>
      <c r="E134" s="29">
        <f t="shared" si="4"/>
        <v>2050</v>
      </c>
      <c r="F134" s="163">
        <f t="shared" si="5"/>
        <v>48</v>
      </c>
      <c r="G134" s="502">
        <f t="shared" si="11"/>
        <v>0.92492502694696199</v>
      </c>
      <c r="H134" s="503"/>
      <c r="I134" s="512"/>
      <c r="J134" s="512"/>
      <c r="K134" s="512"/>
      <c r="L134" s="512"/>
      <c r="M134" s="512"/>
      <c r="N134" s="512"/>
      <c r="O134" s="512"/>
      <c r="P134" s="512"/>
      <c r="Q134" s="512"/>
      <c r="R134" s="512"/>
      <c r="S134" s="515"/>
      <c r="T134" s="515"/>
      <c r="U134" s="515"/>
      <c r="V134" s="515"/>
      <c r="W134" s="515"/>
      <c r="X134" s="515"/>
      <c r="Y134" s="515"/>
      <c r="Z134" s="515"/>
      <c r="AA134" s="79">
        <f t="shared" si="13"/>
        <v>0.92492502694696199</v>
      </c>
      <c r="AB134" s="79">
        <f>AA134/'Mục tiêu bản thân'!$I$24</f>
        <v>2.312312567367405</v>
      </c>
      <c r="AC134" s="6"/>
    </row>
    <row r="135" spans="1:29" s="4" customFormat="1" x14ac:dyDescent="0.45">
      <c r="A135" s="1"/>
      <c r="B135" s="1"/>
      <c r="C135" s="1"/>
      <c r="E135" s="29">
        <f t="shared" si="4"/>
        <v>2051</v>
      </c>
      <c r="F135" s="163">
        <f t="shared" si="5"/>
        <v>49</v>
      </c>
      <c r="G135" s="502">
        <f t="shared" si="11"/>
        <v>0.92492502694696199</v>
      </c>
      <c r="H135" s="503"/>
      <c r="I135" s="512"/>
      <c r="J135" s="512"/>
      <c r="K135" s="512"/>
      <c r="L135" s="512"/>
      <c r="M135" s="512"/>
      <c r="N135" s="512"/>
      <c r="O135" s="512"/>
      <c r="P135" s="512"/>
      <c r="Q135" s="512"/>
      <c r="R135" s="512"/>
      <c r="S135" s="515"/>
      <c r="T135" s="515"/>
      <c r="U135" s="515"/>
      <c r="V135" s="515"/>
      <c r="W135" s="515"/>
      <c r="X135" s="515"/>
      <c r="Y135" s="515"/>
      <c r="Z135" s="515"/>
      <c r="AA135" s="79">
        <f t="shared" si="13"/>
        <v>0.92492502694696199</v>
      </c>
      <c r="AB135" s="79">
        <f>AA135/'Mục tiêu bản thân'!$I$24</f>
        <v>2.312312567367405</v>
      </c>
      <c r="AC135" s="6"/>
    </row>
    <row r="136" spans="1:29" s="4" customFormat="1" x14ac:dyDescent="0.45">
      <c r="A136" s="1"/>
      <c r="B136" s="1"/>
      <c r="C136" s="1"/>
      <c r="E136" s="29">
        <f t="shared" si="4"/>
        <v>2052</v>
      </c>
      <c r="F136" s="163">
        <f t="shared" si="5"/>
        <v>50</v>
      </c>
      <c r="G136" s="502">
        <f t="shared" si="11"/>
        <v>0.92492502694696199</v>
      </c>
      <c r="H136" s="503"/>
      <c r="I136" s="512"/>
      <c r="J136" s="512"/>
      <c r="K136" s="512"/>
      <c r="L136" s="512"/>
      <c r="M136" s="512"/>
      <c r="N136" s="512"/>
      <c r="O136" s="512"/>
      <c r="P136" s="512"/>
      <c r="Q136" s="512"/>
      <c r="R136" s="512"/>
      <c r="S136" s="515"/>
      <c r="T136" s="515"/>
      <c r="U136" s="515"/>
      <c r="V136" s="515"/>
      <c r="W136" s="515"/>
      <c r="X136" s="515"/>
      <c r="Y136" s="515"/>
      <c r="Z136" s="515"/>
      <c r="AA136" s="79">
        <f t="shared" si="13"/>
        <v>0.92492502694696199</v>
      </c>
      <c r="AB136" s="79">
        <f>AA136/'Mục tiêu bản thân'!$I$24</f>
        <v>2.312312567367405</v>
      </c>
      <c r="AC136" s="6"/>
    </row>
    <row r="137" spans="1:29" s="4" customFormat="1" x14ac:dyDescent="0.45">
      <c r="A137" s="1"/>
      <c r="B137" s="1"/>
      <c r="C137" s="1"/>
      <c r="E137" s="29">
        <f t="shared" si="4"/>
        <v>2053</v>
      </c>
      <c r="F137" s="163">
        <f t="shared" si="5"/>
        <v>51</v>
      </c>
      <c r="G137" s="510"/>
      <c r="H137" s="512"/>
      <c r="I137" s="512"/>
      <c r="J137" s="512"/>
      <c r="K137" s="512"/>
      <c r="L137" s="512"/>
      <c r="M137" s="512"/>
      <c r="N137" s="512"/>
      <c r="O137" s="512"/>
      <c r="P137" s="512"/>
      <c r="Q137" s="512"/>
      <c r="R137" s="512"/>
      <c r="S137" s="515"/>
      <c r="T137" s="515"/>
      <c r="U137" s="515"/>
      <c r="V137" s="515"/>
      <c r="W137" s="515"/>
      <c r="X137" s="515"/>
      <c r="Y137" s="515"/>
      <c r="Z137" s="515"/>
      <c r="AA137" s="79">
        <f t="shared" si="13"/>
        <v>0</v>
      </c>
      <c r="AB137" s="79">
        <f>AA137/'Mục tiêu bản thân'!$I$24</f>
        <v>0</v>
      </c>
      <c r="AC137" s="6"/>
    </row>
    <row r="138" spans="1:29" s="4" customFormat="1" x14ac:dyDescent="0.45">
      <c r="A138" s="1"/>
      <c r="B138" s="1"/>
      <c r="C138" s="1"/>
      <c r="E138" s="29">
        <f t="shared" si="4"/>
        <v>2054</v>
      </c>
      <c r="F138" s="163">
        <f t="shared" si="5"/>
        <v>52</v>
      </c>
      <c r="G138" s="510"/>
      <c r="H138" s="512"/>
      <c r="I138" s="512"/>
      <c r="J138" s="512"/>
      <c r="K138" s="512"/>
      <c r="L138" s="512"/>
      <c r="M138" s="512"/>
      <c r="N138" s="512"/>
      <c r="O138" s="512"/>
      <c r="P138" s="512"/>
      <c r="Q138" s="512"/>
      <c r="R138" s="512"/>
      <c r="S138" s="515"/>
      <c r="T138" s="515"/>
      <c r="U138" s="515"/>
      <c r="V138" s="515"/>
      <c r="W138" s="515"/>
      <c r="X138" s="515"/>
      <c r="Y138" s="515"/>
      <c r="Z138" s="515"/>
      <c r="AA138" s="79">
        <f t="shared" si="13"/>
        <v>0</v>
      </c>
      <c r="AB138" s="79">
        <f>AA138/'Mục tiêu bản thân'!$I$24</f>
        <v>0</v>
      </c>
      <c r="AC138" s="6"/>
    </row>
    <row r="139" spans="1:29" s="4" customFormat="1" x14ac:dyDescent="0.45">
      <c r="A139" s="1"/>
      <c r="B139" s="1"/>
      <c r="C139" s="1"/>
      <c r="E139" s="29">
        <f t="shared" si="4"/>
        <v>2055</v>
      </c>
      <c r="F139" s="163">
        <f t="shared" si="5"/>
        <v>53</v>
      </c>
      <c r="G139" s="510"/>
      <c r="H139" s="512"/>
      <c r="I139" s="512"/>
      <c r="J139" s="512"/>
      <c r="K139" s="512"/>
      <c r="L139" s="512"/>
      <c r="M139" s="512"/>
      <c r="N139" s="512"/>
      <c r="O139" s="512"/>
      <c r="P139" s="512"/>
      <c r="Q139" s="512"/>
      <c r="R139" s="512"/>
      <c r="S139" s="515"/>
      <c r="T139" s="515"/>
      <c r="U139" s="515"/>
      <c r="V139" s="515"/>
      <c r="W139" s="515"/>
      <c r="X139" s="515"/>
      <c r="Y139" s="515"/>
      <c r="Z139" s="515"/>
      <c r="AA139" s="79">
        <f t="shared" si="13"/>
        <v>0</v>
      </c>
      <c r="AB139" s="79">
        <f>AA139/'Mục tiêu bản thân'!$I$24</f>
        <v>0</v>
      </c>
      <c r="AC139" s="6"/>
    </row>
    <row r="140" spans="1:29" s="4" customFormat="1" x14ac:dyDescent="0.45">
      <c r="A140" s="1"/>
      <c r="B140" s="1"/>
      <c r="C140" s="1"/>
      <c r="E140" s="29">
        <f t="shared" si="4"/>
        <v>2056</v>
      </c>
      <c r="F140" s="163">
        <f t="shared" si="5"/>
        <v>54</v>
      </c>
      <c r="G140" s="510"/>
      <c r="H140" s="512"/>
      <c r="I140" s="512"/>
      <c r="J140" s="512"/>
      <c r="K140" s="512"/>
      <c r="L140" s="512"/>
      <c r="M140" s="512"/>
      <c r="N140" s="512"/>
      <c r="O140" s="512"/>
      <c r="P140" s="512"/>
      <c r="Q140" s="512"/>
      <c r="R140" s="512"/>
      <c r="S140" s="515"/>
      <c r="T140" s="515"/>
      <c r="U140" s="515"/>
      <c r="V140" s="515"/>
      <c r="W140" s="515"/>
      <c r="X140" s="515"/>
      <c r="Y140" s="515"/>
      <c r="Z140" s="515"/>
      <c r="AA140" s="79">
        <f t="shared" si="3"/>
        <v>0</v>
      </c>
      <c r="AB140" s="79">
        <f>AA140/'Mục tiêu bản thân'!$I$24</f>
        <v>0</v>
      </c>
      <c r="AC140" s="6"/>
    </row>
    <row r="141" spans="1:29" s="4" customFormat="1" x14ac:dyDescent="0.45">
      <c r="A141" s="1"/>
      <c r="B141" s="1"/>
      <c r="C141" s="1"/>
      <c r="E141" s="29">
        <f t="shared" si="4"/>
        <v>2057</v>
      </c>
      <c r="F141" s="163">
        <f t="shared" si="5"/>
        <v>55</v>
      </c>
      <c r="G141" s="510"/>
      <c r="H141" s="512"/>
      <c r="I141" s="512"/>
      <c r="J141" s="512"/>
      <c r="K141" s="512"/>
      <c r="L141" s="512"/>
      <c r="M141" s="512"/>
      <c r="N141" s="512"/>
      <c r="O141" s="512"/>
      <c r="P141" s="512"/>
      <c r="Q141" s="512"/>
      <c r="R141" s="512"/>
      <c r="S141" s="515"/>
      <c r="T141" s="515"/>
      <c r="U141" s="515"/>
      <c r="V141" s="515"/>
      <c r="W141" s="515"/>
      <c r="X141" s="515"/>
      <c r="Y141" s="515"/>
      <c r="Z141" s="515"/>
      <c r="AA141" s="79">
        <f t="shared" si="3"/>
        <v>0</v>
      </c>
      <c r="AB141" s="79">
        <f>AA141/'Mục tiêu bản thân'!$I$24</f>
        <v>0</v>
      </c>
      <c r="AC141" s="6"/>
    </row>
    <row r="142" spans="1:29" s="4" customFormat="1" x14ac:dyDescent="0.45">
      <c r="A142" s="1"/>
      <c r="B142" s="1"/>
      <c r="C142" s="1"/>
      <c r="E142" s="29">
        <f t="shared" si="4"/>
        <v>2058</v>
      </c>
      <c r="F142" s="163">
        <f t="shared" si="5"/>
        <v>56</v>
      </c>
      <c r="G142" s="510"/>
      <c r="H142" s="512"/>
      <c r="I142" s="512"/>
      <c r="J142" s="512"/>
      <c r="K142" s="512"/>
      <c r="L142" s="512"/>
      <c r="M142" s="512"/>
      <c r="N142" s="512"/>
      <c r="O142" s="512"/>
      <c r="P142" s="512"/>
      <c r="Q142" s="512"/>
      <c r="R142" s="512"/>
      <c r="S142" s="515"/>
      <c r="T142" s="515"/>
      <c r="U142" s="515"/>
      <c r="V142" s="515"/>
      <c r="W142" s="515"/>
      <c r="X142" s="515"/>
      <c r="Y142" s="515"/>
      <c r="Z142" s="515"/>
      <c r="AA142" s="79">
        <f t="shared" si="3"/>
        <v>0</v>
      </c>
      <c r="AB142" s="79">
        <f>AA142/'Mục tiêu bản thân'!$I$24</f>
        <v>0</v>
      </c>
      <c r="AC142" s="6"/>
    </row>
    <row r="143" spans="1:29" s="4" customFormat="1" x14ac:dyDescent="0.45">
      <c r="A143" s="1"/>
      <c r="B143" s="1"/>
      <c r="C143" s="1"/>
      <c r="E143" s="29">
        <f t="shared" si="4"/>
        <v>2059</v>
      </c>
      <c r="F143" s="163">
        <f t="shared" si="5"/>
        <v>57</v>
      </c>
      <c r="G143" s="510"/>
      <c r="H143" s="512"/>
      <c r="I143" s="512"/>
      <c r="J143" s="512"/>
      <c r="K143" s="512"/>
      <c r="L143" s="512"/>
      <c r="M143" s="512"/>
      <c r="N143" s="512"/>
      <c r="O143" s="512"/>
      <c r="P143" s="512"/>
      <c r="Q143" s="512"/>
      <c r="R143" s="512"/>
      <c r="S143" s="512"/>
      <c r="T143" s="512"/>
      <c r="U143" s="512"/>
      <c r="V143" s="512"/>
      <c r="W143" s="512"/>
      <c r="X143" s="512"/>
      <c r="Y143" s="512"/>
      <c r="Z143" s="512"/>
      <c r="AA143" s="79">
        <f t="shared" si="3"/>
        <v>0</v>
      </c>
      <c r="AB143" s="79">
        <f>AA143/'Mục tiêu bản thân'!$I$24</f>
        <v>0</v>
      </c>
      <c r="AC143" s="6"/>
    </row>
    <row r="144" spans="1:29" s="4" customFormat="1" x14ac:dyDescent="0.45">
      <c r="A144" s="1"/>
      <c r="B144" s="1"/>
      <c r="C144" s="1"/>
      <c r="E144" s="29">
        <f t="shared" si="4"/>
        <v>2060</v>
      </c>
      <c r="F144" s="163">
        <f t="shared" si="5"/>
        <v>58</v>
      </c>
      <c r="G144" s="510"/>
      <c r="H144" s="512"/>
      <c r="I144" s="512"/>
      <c r="J144" s="512"/>
      <c r="K144" s="512"/>
      <c r="L144" s="512"/>
      <c r="M144" s="512"/>
      <c r="N144" s="512"/>
      <c r="O144" s="512"/>
      <c r="P144" s="512"/>
      <c r="Q144" s="512"/>
      <c r="R144" s="512"/>
      <c r="S144" s="512"/>
      <c r="T144" s="512"/>
      <c r="U144" s="512"/>
      <c r="V144" s="512"/>
      <c r="W144" s="512"/>
      <c r="X144" s="512"/>
      <c r="Y144" s="512"/>
      <c r="Z144" s="512"/>
      <c r="AA144" s="79">
        <f t="shared" si="3"/>
        <v>0</v>
      </c>
      <c r="AB144" s="79">
        <f>AA144/'Mục tiêu bản thân'!$I$24</f>
        <v>0</v>
      </c>
      <c r="AC144" s="6"/>
    </row>
    <row r="145" spans="1:70" s="301" customFormat="1" ht="15" customHeight="1" thickBot="1" x14ac:dyDescent="0.5">
      <c r="A145" s="300"/>
      <c r="B145" s="300"/>
      <c r="C145" s="300"/>
      <c r="D145" s="4"/>
      <c r="E145" s="30">
        <f t="shared" si="4"/>
        <v>2061</v>
      </c>
      <c r="F145" s="31">
        <f t="shared" si="5"/>
        <v>59</v>
      </c>
      <c r="G145" s="521"/>
      <c r="H145" s="519"/>
      <c r="I145" s="519"/>
      <c r="J145" s="519"/>
      <c r="K145" s="519"/>
      <c r="L145" s="519"/>
      <c r="M145" s="519"/>
      <c r="N145" s="519"/>
      <c r="O145" s="519"/>
      <c r="P145" s="519"/>
      <c r="Q145" s="519"/>
      <c r="R145" s="519"/>
      <c r="S145" s="519"/>
      <c r="T145" s="519"/>
      <c r="U145" s="519"/>
      <c r="V145" s="519"/>
      <c r="W145" s="519"/>
      <c r="X145" s="519"/>
      <c r="Y145" s="519"/>
      <c r="Z145" s="519"/>
      <c r="AA145" s="80">
        <f t="shared" si="3"/>
        <v>0</v>
      </c>
      <c r="AB145" s="80">
        <f>AA145/'Mục tiêu bản thân'!$I$24</f>
        <v>0</v>
      </c>
      <c r="AC145" s="6"/>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row>
    <row r="146" spans="1:70" s="301" customFormat="1" ht="15" customHeight="1" x14ac:dyDescent="0.45">
      <c r="A146" s="300"/>
      <c r="B146" s="300"/>
      <c r="C146" s="300"/>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row>
    <row r="147" spans="1:70" x14ac:dyDescent="0.45">
      <c r="D147" s="301"/>
      <c r="E147" s="437" t="s">
        <v>129</v>
      </c>
      <c r="F147" s="437"/>
      <c r="G147" s="437"/>
      <c r="H147" s="437"/>
      <c r="I147" s="437"/>
      <c r="J147" s="437"/>
      <c r="K147" s="437"/>
      <c r="L147" s="437"/>
      <c r="M147" s="437"/>
      <c r="N147" s="437"/>
      <c r="O147" s="437"/>
      <c r="P147" s="302"/>
      <c r="Q147" s="302"/>
      <c r="R147" s="302"/>
      <c r="S147" s="302"/>
      <c r="T147" s="302"/>
      <c r="U147" s="302"/>
      <c r="V147" s="302"/>
      <c r="W147" s="302"/>
      <c r="X147" s="302"/>
      <c r="Y147" s="302"/>
      <c r="Z147" s="303"/>
      <c r="AA147" s="303"/>
      <c r="AB147" s="303"/>
      <c r="AC147" s="303"/>
      <c r="AD147" s="303"/>
      <c r="AE147" s="303"/>
      <c r="AF147" s="303"/>
      <c r="AG147" s="303"/>
      <c r="AH147" s="304"/>
      <c r="AI147" s="303"/>
      <c r="AJ147" s="301"/>
      <c r="AK147" s="301"/>
      <c r="AL147" s="301"/>
      <c r="AM147" s="301"/>
      <c r="AN147" s="301"/>
      <c r="AO147" s="301"/>
      <c r="AP147" s="301"/>
      <c r="AQ147" s="301"/>
      <c r="AR147" s="301"/>
      <c r="AS147" s="301"/>
      <c r="AT147" s="301"/>
      <c r="AU147" s="301"/>
      <c r="AV147" s="301"/>
      <c r="AW147" s="301"/>
      <c r="AX147" s="301"/>
      <c r="AY147" s="301"/>
      <c r="AZ147" s="301"/>
      <c r="BA147" s="301"/>
      <c r="BB147" s="301"/>
      <c r="BC147" s="301"/>
      <c r="BD147" s="301"/>
      <c r="BE147" s="301"/>
      <c r="BF147" s="301"/>
      <c r="BG147" s="301"/>
      <c r="BH147" s="301"/>
      <c r="BI147" s="301"/>
      <c r="BJ147" s="301"/>
      <c r="BK147" s="301"/>
      <c r="BL147" s="301"/>
      <c r="BM147" s="301"/>
      <c r="BN147" s="301"/>
      <c r="BO147" s="301"/>
      <c r="BP147" s="301"/>
      <c r="BQ147" s="301"/>
      <c r="BR147" s="301"/>
    </row>
    <row r="148" spans="1:70" x14ac:dyDescent="0.45">
      <c r="D148" s="301"/>
      <c r="E148" s="437"/>
      <c r="F148" s="437"/>
      <c r="G148" s="437"/>
      <c r="H148" s="437"/>
      <c r="I148" s="437"/>
      <c r="J148" s="437"/>
      <c r="K148" s="437"/>
      <c r="L148" s="437"/>
      <c r="M148" s="437"/>
      <c r="N148" s="437"/>
      <c r="O148" s="437"/>
      <c r="P148" s="302"/>
      <c r="Q148" s="302"/>
      <c r="R148" s="302"/>
      <c r="S148" s="302"/>
      <c r="T148" s="302"/>
      <c r="U148" s="302"/>
      <c r="V148" s="302"/>
      <c r="W148" s="302"/>
      <c r="X148" s="302"/>
      <c r="Y148" s="302"/>
      <c r="Z148" s="303"/>
      <c r="AA148" s="303"/>
      <c r="AB148" s="303"/>
      <c r="AC148" s="303"/>
      <c r="AD148" s="303"/>
      <c r="AE148" s="303"/>
      <c r="AF148" s="303"/>
      <c r="AG148" s="303"/>
      <c r="AH148" s="303"/>
      <c r="AI148" s="303"/>
      <c r="AJ148" s="301"/>
      <c r="AK148" s="301"/>
      <c r="AL148" s="301"/>
      <c r="AM148" s="301"/>
      <c r="AN148" s="301"/>
      <c r="AO148" s="301"/>
      <c r="AP148" s="301"/>
      <c r="AQ148" s="301"/>
      <c r="AR148" s="301"/>
      <c r="AS148" s="301"/>
      <c r="AT148" s="301"/>
      <c r="AU148" s="301"/>
      <c r="AV148" s="301"/>
      <c r="AW148" s="301"/>
      <c r="AX148" s="301"/>
      <c r="AY148" s="301"/>
      <c r="AZ148" s="301"/>
      <c r="BA148" s="301"/>
      <c r="BB148" s="301"/>
      <c r="BC148" s="301"/>
      <c r="BD148" s="301"/>
      <c r="BE148" s="301"/>
      <c r="BF148" s="301"/>
      <c r="BG148" s="301"/>
      <c r="BH148" s="301"/>
      <c r="BI148" s="301"/>
      <c r="BJ148" s="301"/>
      <c r="BK148" s="301"/>
      <c r="BL148" s="301"/>
    </row>
    <row r="149" spans="1:70" x14ac:dyDescent="0.45">
      <c r="BM149" s="327"/>
      <c r="BN149" s="327"/>
      <c r="BO149" s="327"/>
      <c r="BP149" s="327"/>
    </row>
    <row r="150" spans="1:70" ht="16.899999999999999" x14ac:dyDescent="0.45">
      <c r="E150" s="524" t="s">
        <v>358</v>
      </c>
      <c r="F150" s="524"/>
      <c r="G150" s="524"/>
      <c r="H150" s="524"/>
      <c r="I150" s="524"/>
      <c r="J150" s="524"/>
      <c r="K150" s="524"/>
      <c r="L150" s="524"/>
      <c r="M150" s="524"/>
      <c r="N150" s="524"/>
      <c r="O150" s="301"/>
      <c r="P150" s="301"/>
      <c r="Q150" s="301"/>
      <c r="R150" s="301"/>
      <c r="S150" s="301"/>
      <c r="T150" s="301"/>
      <c r="U150" s="301"/>
      <c r="V150" s="301"/>
      <c r="W150" s="301"/>
      <c r="X150" s="301"/>
      <c r="Y150" s="301"/>
      <c r="Z150" s="301"/>
      <c r="AA150" s="301"/>
      <c r="AB150" s="301"/>
      <c r="AC150" s="301"/>
      <c r="AD150" s="301"/>
      <c r="AE150" s="301"/>
      <c r="AF150" s="301"/>
      <c r="AG150" s="301"/>
      <c r="AH150" s="301"/>
      <c r="AI150" s="301"/>
      <c r="AJ150" s="301"/>
      <c r="AK150" s="301"/>
      <c r="AL150" s="301"/>
      <c r="AM150" s="301"/>
      <c r="AN150" s="301"/>
      <c r="AO150" s="301"/>
      <c r="AP150" s="301"/>
      <c r="AQ150" s="301"/>
      <c r="AR150" s="301"/>
      <c r="AS150" s="301"/>
      <c r="AT150" s="301"/>
      <c r="AU150" s="301"/>
      <c r="AV150" s="303"/>
      <c r="AW150" s="303"/>
      <c r="AX150" s="303"/>
      <c r="AY150" s="327"/>
      <c r="AZ150" s="327"/>
      <c r="BA150" s="327"/>
      <c r="BB150" s="327"/>
      <c r="BC150" s="327"/>
      <c r="BD150" s="327"/>
      <c r="BE150" s="327"/>
      <c r="BF150" s="327"/>
      <c r="BG150" s="327"/>
      <c r="BH150" s="327"/>
      <c r="BI150" s="327"/>
      <c r="BJ150" s="327"/>
      <c r="BK150" s="327"/>
      <c r="BL150" s="327"/>
    </row>
    <row r="151" spans="1:70" x14ac:dyDescent="0.45">
      <c r="E151" s="434" t="str">
        <f>E105</f>
        <v>Năm</v>
      </c>
      <c r="F151" s="434" t="str">
        <f>E37</f>
        <v>Mục tiêu đầu tư 4: Du lịch xuyên Thái Lan</v>
      </c>
      <c r="G151" s="434"/>
      <c r="H151" s="434"/>
      <c r="I151" s="434"/>
      <c r="J151" s="434"/>
      <c r="K151" s="434"/>
      <c r="L151" s="434" t="str">
        <f>E46</f>
        <v>Mục tiêu đầu tư 5: Quỹ dự phòng tài chính</v>
      </c>
      <c r="M151" s="434"/>
      <c r="N151" s="434"/>
      <c r="O151" s="434"/>
      <c r="P151" s="434"/>
      <c r="Q151" s="434"/>
      <c r="R151" s="434" t="str">
        <f>E55</f>
        <v>Mục tiêu đầu tư 6: Đám cưới</v>
      </c>
      <c r="S151" s="434"/>
      <c r="T151" s="434"/>
      <c r="U151" s="434"/>
      <c r="V151" s="434"/>
      <c r="W151" s="434"/>
      <c r="X151" s="434" t="str">
        <f>E64</f>
        <v>Mục tiêu đầu tư 7: Khởi nghiệp</v>
      </c>
      <c r="Y151" s="434"/>
      <c r="Z151" s="434"/>
      <c r="AA151" s="434"/>
      <c r="AB151" s="434"/>
      <c r="AC151" s="434"/>
      <c r="AD151" s="434" t="str">
        <f>E73</f>
        <v xml:space="preserve">Mục tiêu đầu tư 8: Mua chung cư </v>
      </c>
      <c r="AE151" s="434"/>
      <c r="AF151" s="434"/>
      <c r="AG151" s="434"/>
      <c r="AH151" s="434"/>
      <c r="AI151" s="434"/>
      <c r="AJ151" s="434" t="str">
        <f>E82</f>
        <v>Mục tiêu đầu tư 9: Cho con đi học đại học</v>
      </c>
      <c r="AK151" s="434"/>
      <c r="AL151" s="434"/>
      <c r="AM151" s="434"/>
      <c r="AN151" s="434"/>
      <c r="AO151" s="434"/>
      <c r="AP151" s="434" t="str">
        <f>E92</f>
        <v>Mục tiêu đầu tư 10: Hưu trí</v>
      </c>
      <c r="AQ151" s="434"/>
      <c r="AR151" s="434"/>
      <c r="AS151" s="434"/>
      <c r="AT151" s="434"/>
      <c r="AU151" s="434"/>
    </row>
    <row r="152" spans="1:70" x14ac:dyDescent="0.45">
      <c r="E152" s="434"/>
      <c r="F152" s="434" t="str">
        <f>$R$41</f>
        <v>Tiền gửi ngân hàng</v>
      </c>
      <c r="G152" s="434"/>
      <c r="H152" s="434" t="str">
        <f>$R$42</f>
        <v>ETF - ETFFINLEAD</v>
      </c>
      <c r="I152" s="434"/>
      <c r="J152" s="434" t="str">
        <f>$R$43</f>
        <v>Trái phiếu Techcombank</v>
      </c>
      <c r="K152" s="434"/>
      <c r="L152" s="434" t="str">
        <f>$R$50</f>
        <v>Trái phiếu Techcombank</v>
      </c>
      <c r="M152" s="434"/>
      <c r="N152" s="434">
        <f>$R$51</f>
        <v>0</v>
      </c>
      <c r="O152" s="434"/>
      <c r="P152" s="434">
        <f>$R$52</f>
        <v>0</v>
      </c>
      <c r="Q152" s="434"/>
      <c r="R152" s="434" t="str">
        <f>$R$59</f>
        <v>ETF - ETFFINLEAD</v>
      </c>
      <c r="S152" s="434"/>
      <c r="T152" s="434" t="str">
        <f>$R$60</f>
        <v>Trái phiếu Techcombank</v>
      </c>
      <c r="U152" s="434"/>
      <c r="V152" s="434" t="str">
        <f>$R$61</f>
        <v>Tiền gửi ngân hàng</v>
      </c>
      <c r="W152" s="434"/>
      <c r="X152" s="434" t="str">
        <f>$R$68</f>
        <v>Tiền gửi ngân hàng</v>
      </c>
      <c r="Y152" s="434"/>
      <c r="Z152" s="434" t="str">
        <f>$R$69</f>
        <v>Trái phiếu FE Credit</v>
      </c>
      <c r="AA152" s="434"/>
      <c r="AB152" s="434">
        <f>$R$70</f>
        <v>0</v>
      </c>
      <c r="AC152" s="434"/>
      <c r="AD152" s="434" t="str">
        <f>$R$77</f>
        <v>DCBC</v>
      </c>
      <c r="AE152" s="434"/>
      <c r="AF152" s="434">
        <f>$R$78</f>
        <v>0</v>
      </c>
      <c r="AG152" s="434"/>
      <c r="AH152" s="434">
        <f>$R$79</f>
        <v>0</v>
      </c>
      <c r="AI152" s="434"/>
      <c r="AJ152" s="434" t="str">
        <f>$R$87</f>
        <v>ETF - ETFVFM</v>
      </c>
      <c r="AK152" s="434"/>
      <c r="AL152" s="434" t="str">
        <f>$R$88</f>
        <v>DCBC</v>
      </c>
      <c r="AM152" s="434"/>
      <c r="AN152" s="434">
        <f>$R$89</f>
        <v>0</v>
      </c>
      <c r="AO152" s="434"/>
      <c r="AP152" s="434" t="str">
        <f>$R$97</f>
        <v>Tiền gửi ngân hàng</v>
      </c>
      <c r="AQ152" s="434"/>
      <c r="AR152" s="434" t="str">
        <f>$R$98</f>
        <v>BH liên kết đầu tư</v>
      </c>
      <c r="AS152" s="434"/>
      <c r="AT152" s="434">
        <f>$R$99</f>
        <v>0</v>
      </c>
      <c r="AU152" s="434"/>
    </row>
    <row r="153" spans="1:70" x14ac:dyDescent="0.45">
      <c r="E153" s="318">
        <f t="shared" ref="E153" si="14">E107</f>
        <v>2023</v>
      </c>
      <c r="F153" s="520">
        <f>IF(M107=0,0,$O$44*$U$41)</f>
        <v>5.2532547785731847</v>
      </c>
      <c r="G153" s="434"/>
      <c r="H153" s="520">
        <f>IF(M107=0,0,$O$44*$U$42)</f>
        <v>2.1013019114292741</v>
      </c>
      <c r="I153" s="434"/>
      <c r="J153" s="520">
        <f>IF(M107=0,0,$O$44*$U$43)</f>
        <v>3.1519528671439105</v>
      </c>
      <c r="K153" s="434"/>
      <c r="L153" s="520">
        <f>IF(O107=0,0,$O$53*$U$50)</f>
        <v>20.22405570228484</v>
      </c>
      <c r="M153" s="434"/>
      <c r="N153" s="520">
        <f>IF(O107=0,0,$O$53*$U$51)</f>
        <v>0</v>
      </c>
      <c r="O153" s="434"/>
      <c r="P153" s="520">
        <f>IF(O107=0,0,$O$53*$U$52)</f>
        <v>0</v>
      </c>
      <c r="Q153" s="434"/>
      <c r="R153" s="520">
        <f>IF(Q107=0,0,$O$62*$U$59)</f>
        <v>0</v>
      </c>
      <c r="S153" s="434"/>
      <c r="T153" s="520">
        <f>IF(Q107=0,0,$O$62*$U$60)</f>
        <v>0</v>
      </c>
      <c r="U153" s="434"/>
      <c r="V153" s="520">
        <f>IF(Q107=0,0,$O$62*$U$61)</f>
        <v>0</v>
      </c>
      <c r="W153" s="520"/>
      <c r="X153" s="520">
        <f>$O$71*$U$68</f>
        <v>41.363845786871295</v>
      </c>
      <c r="Y153" s="434"/>
      <c r="Z153" s="520">
        <f>$O$71*$U$69</f>
        <v>41.363845786871295</v>
      </c>
      <c r="AA153" s="434"/>
      <c r="AB153" s="520">
        <f>$O$71*$U$70</f>
        <v>0</v>
      </c>
      <c r="AC153" s="434"/>
      <c r="AD153" s="520">
        <f>$O$80*$U$77</f>
        <v>34.806806469122314</v>
      </c>
      <c r="AE153" s="434"/>
      <c r="AF153" s="520">
        <f>$O$80*$U$78</f>
        <v>0</v>
      </c>
      <c r="AG153" s="434"/>
      <c r="AH153" s="520">
        <f>$O$80*$U$79</f>
        <v>0</v>
      </c>
      <c r="AI153" s="434"/>
      <c r="AJ153" s="520">
        <f>$O$90*$U$87</f>
        <v>3.6306463426047935</v>
      </c>
      <c r="AK153" s="434"/>
      <c r="AL153" s="520">
        <f>$O$90*$U$88</f>
        <v>3.6306463426047935</v>
      </c>
      <c r="AM153" s="434"/>
      <c r="AN153" s="520">
        <f>$O$90*$U$89</f>
        <v>0</v>
      </c>
      <c r="AO153" s="434"/>
      <c r="AP153" s="520">
        <f>$O$100*$U$97</f>
        <v>15.945706662353341</v>
      </c>
      <c r="AQ153" s="434"/>
      <c r="AR153" s="520">
        <f>$O$100*$U$98</f>
        <v>15.945706662353341</v>
      </c>
      <c r="AS153" s="434"/>
      <c r="AT153" s="520">
        <f>$O$100*$U$99</f>
        <v>0</v>
      </c>
      <c r="AU153" s="434"/>
    </row>
    <row r="154" spans="1:70" x14ac:dyDescent="0.45">
      <c r="E154" s="318">
        <f t="shared" ref="E154" si="15">E108</f>
        <v>2024</v>
      </c>
      <c r="F154" s="520">
        <f t="shared" ref="F154:F182" si="16">IF(M108=0,0,$O$44*$U$41+F153*(1+$V$41))</f>
        <v>10.769172296075029</v>
      </c>
      <c r="G154" s="434"/>
      <c r="H154" s="520">
        <f t="shared" ref="H154:H182" si="17">IF(M108=0,0,$O$44*$U$42+H153*(1+$V$42))</f>
        <v>4.5177991095729393</v>
      </c>
      <c r="I154" s="434"/>
      <c r="J154" s="520">
        <f t="shared" ref="J154:J182" si="18">IF(M108=0,0,$O$44*$U$43+J153*(1+$V$43))</f>
        <v>6.6348607853379313</v>
      </c>
      <c r="K154" s="434"/>
      <c r="L154" s="520">
        <f t="shared" ref="L154:L182" si="19">IF(O108=0,0,$O$53*$U$50 + L153*(1+$V$50))</f>
        <v>42.571637253309589</v>
      </c>
      <c r="M154" s="434"/>
      <c r="N154" s="520">
        <f>IF(O108=0,0,$O$53*$U$51 + N153*(1+$V$51))</f>
        <v>0</v>
      </c>
      <c r="O154" s="434"/>
      <c r="P154" s="520">
        <f t="shared" ref="P154:P182" si="20">IF(O108=0,0,$O$53*$U$52 + P153*(1+$V$52))</f>
        <v>0</v>
      </c>
      <c r="Q154" s="434"/>
      <c r="R154" s="520">
        <f t="shared" ref="R154:R182" si="21">IF(Q108=0,0,$O$62*$U$59+R153*(1+$V$59))</f>
        <v>5.7837153556853522</v>
      </c>
      <c r="S154" s="520"/>
      <c r="T154" s="520">
        <f t="shared" ref="T154:T182" si="22">IF(Q108=0,0,$O$62*$U$60+T153*(1+$V$60))</f>
        <v>9.639525592808921</v>
      </c>
      <c r="U154" s="434"/>
      <c r="V154" s="520">
        <f t="shared" ref="V154:V182" si="23">IF(Q108=0,0,$O$62*$U$61+V153*(1+$V$61))</f>
        <v>3.8558102371235687</v>
      </c>
      <c r="W154" s="520"/>
      <c r="X154" s="520">
        <f t="shared" ref="X154:X160" si="24">IF(S108=0,0,$O$71*$U$68+X153*(1+$V$68))</f>
        <v>0</v>
      </c>
      <c r="Y154" s="434"/>
      <c r="Z154" s="520">
        <f t="shared" ref="Z154:Z160" si="25">IF(S108=0,0,$O$71*$U$69+Z153*(1+$V$69))</f>
        <v>0</v>
      </c>
      <c r="AA154" s="434"/>
      <c r="AB154" s="520">
        <f t="shared" ref="AB154:AB160" si="26">IF(S108=0,0,$O$71*$U$70+AB153*(1+$V$70))</f>
        <v>0</v>
      </c>
      <c r="AC154" s="434"/>
      <c r="AD154" s="520">
        <f t="shared" ref="AD154:AD182" si="27">IF(U108=0,0,$O$80*$U$77+AD153*(1+$V$77))</f>
        <v>0</v>
      </c>
      <c r="AE154" s="434"/>
      <c r="AF154" s="520">
        <f t="shared" ref="AF154:AF182" si="28">IF(U108=0,0,$O$80*$U$78+AF153*(1+$V$78))</f>
        <v>0</v>
      </c>
      <c r="AG154" s="434"/>
      <c r="AH154" s="520">
        <f t="shared" ref="AH154:AH182" si="29">IF(U108=0,0,$O$80*$U$79+AH153*(1+$V$79))</f>
        <v>0</v>
      </c>
      <c r="AI154" s="434"/>
      <c r="AJ154" s="520">
        <f t="shared" ref="AJ154:AJ170" si="30">AJ153*(1+$V$87)+$AJ$153</f>
        <v>7.7332767097482105</v>
      </c>
      <c r="AK154" s="434"/>
      <c r="AL154" s="520">
        <f t="shared" ref="AL154:AL170" si="31">AL153*(1+$V$88)+$AL$153</f>
        <v>7.8421961000263529</v>
      </c>
      <c r="AM154" s="434"/>
      <c r="AN154" s="520">
        <f t="shared" ref="AN154:AN170" si="32">AN153*(1+$V$89)+$AN$153</f>
        <v>0</v>
      </c>
      <c r="AO154" s="434"/>
      <c r="AP154" s="520">
        <f t="shared" ref="AP154:AP182" si="33">IF(AND(Y108&lt;0.001,$U$97&lt;0.001),0,IF(AND(Y108&lt;0.001,$U$97&gt;-0.001),AP153*(1+$V$97),AP153*(1+$V$97)+$AP$153))</f>
        <v>16.742991995471009</v>
      </c>
      <c r="AQ154" s="434"/>
      <c r="AR154" s="520">
        <f t="shared" ref="AR154:AR182" si="34">IF(AND(Y108&lt;0.001,$U$98&lt;0.001),0,IF(AND(Y108&lt;0.001,$U$98&gt;-0.001),AR153*(1+$V$98),AR153*(1+$V$98)+$AR$153))</f>
        <v>17.859191461835746</v>
      </c>
      <c r="AS154" s="434"/>
      <c r="AT154" s="520">
        <f t="shared" ref="AT154:AT182" si="35">IF(AND(Y108&lt;0.001,$U$99&lt;0.001),0,IF(AND(Y108&lt;0.001,$U$99&gt;-0.001),AT153*(1+$V$99),AT153*(1+$V$99)+$AT$153))</f>
        <v>0</v>
      </c>
      <c r="AU154" s="434"/>
    </row>
    <row r="155" spans="1:70" x14ac:dyDescent="0.45">
      <c r="E155" s="318">
        <f t="shared" ref="E155" si="36">E109</f>
        <v>2025</v>
      </c>
      <c r="F155" s="520">
        <f t="shared" si="16"/>
        <v>16.560885689451965</v>
      </c>
      <c r="G155" s="434"/>
      <c r="H155" s="520">
        <f t="shared" si="17"/>
        <v>7.2967708874381536</v>
      </c>
      <c r="I155" s="434"/>
      <c r="J155" s="520">
        <f t="shared" si="18"/>
        <v>10.483474034942324</v>
      </c>
      <c r="K155" s="434"/>
      <c r="L155" s="520">
        <f t="shared" si="19"/>
        <v>67.265714867191932</v>
      </c>
      <c r="M155" s="434"/>
      <c r="N155" s="520">
        <f t="shared" ref="N155:N182" si="37">IF(O109=0,0,$O$53*$U$51 + N154*(1+$V$50))</f>
        <v>0</v>
      </c>
      <c r="O155" s="434"/>
      <c r="P155" s="520">
        <f t="shared" si="20"/>
        <v>0</v>
      </c>
      <c r="Q155" s="434"/>
      <c r="R155" s="520">
        <f t="shared" si="21"/>
        <v>12.434988014723507</v>
      </c>
      <c r="S155" s="520"/>
      <c r="T155" s="520">
        <f t="shared" si="22"/>
        <v>20.29120137286278</v>
      </c>
      <c r="U155" s="434"/>
      <c r="V155" s="520">
        <f t="shared" si="23"/>
        <v>7.9044109861033158</v>
      </c>
      <c r="W155" s="520"/>
      <c r="X155" s="520">
        <f t="shared" si="24"/>
        <v>0</v>
      </c>
      <c r="Y155" s="434"/>
      <c r="Z155" s="520">
        <f t="shared" si="25"/>
        <v>0</v>
      </c>
      <c r="AA155" s="434"/>
      <c r="AB155" s="520">
        <f t="shared" si="26"/>
        <v>0</v>
      </c>
      <c r="AC155" s="434"/>
      <c r="AD155" s="520">
        <f t="shared" si="27"/>
        <v>34.806806469122314</v>
      </c>
      <c r="AE155" s="434"/>
      <c r="AF155" s="520">
        <f t="shared" si="28"/>
        <v>0</v>
      </c>
      <c r="AG155" s="434"/>
      <c r="AH155" s="520">
        <f t="shared" si="29"/>
        <v>0</v>
      </c>
      <c r="AI155" s="434"/>
      <c r="AJ155" s="520">
        <f t="shared" si="30"/>
        <v>12.36924902462027</v>
      </c>
      <c r="AK155" s="520"/>
      <c r="AL155" s="520">
        <f t="shared" si="31"/>
        <v>12.727593818635361</v>
      </c>
      <c r="AM155" s="520"/>
      <c r="AN155" s="520">
        <f t="shared" si="32"/>
        <v>0</v>
      </c>
      <c r="AO155" s="434"/>
      <c r="AP155" s="520">
        <f t="shared" si="33"/>
        <v>17.580141595244559</v>
      </c>
      <c r="AQ155" s="434"/>
      <c r="AR155" s="520">
        <f t="shared" si="34"/>
        <v>20.002294437256037</v>
      </c>
      <c r="AS155" s="434"/>
      <c r="AT155" s="520">
        <f t="shared" si="35"/>
        <v>0</v>
      </c>
      <c r="AU155" s="434"/>
    </row>
    <row r="156" spans="1:70" x14ac:dyDescent="0.45">
      <c r="E156" s="318">
        <f t="shared" ref="E156" si="38">E110</f>
        <v>2026</v>
      </c>
      <c r="F156" s="520">
        <f t="shared" si="16"/>
        <v>22.642184752497748</v>
      </c>
      <c r="G156" s="434"/>
      <c r="H156" s="520">
        <f t="shared" si="17"/>
        <v>10.492588431983151</v>
      </c>
      <c r="I156" s="434"/>
      <c r="J156" s="520">
        <f t="shared" si="18"/>
        <v>14.736191675755178</v>
      </c>
      <c r="K156" s="434"/>
      <c r="L156" s="520">
        <f t="shared" si="19"/>
        <v>94.552670630531921</v>
      </c>
      <c r="M156" s="434"/>
      <c r="N156" s="520">
        <f t="shared" si="37"/>
        <v>0</v>
      </c>
      <c r="O156" s="434"/>
      <c r="P156" s="520">
        <f t="shared" si="20"/>
        <v>0</v>
      </c>
      <c r="Q156" s="434"/>
      <c r="R156" s="520">
        <f t="shared" si="21"/>
        <v>20.083951572617384</v>
      </c>
      <c r="S156" s="520"/>
      <c r="T156" s="520">
        <f t="shared" si="22"/>
        <v>32.06130310982229</v>
      </c>
      <c r="U156" s="434"/>
      <c r="V156" s="520">
        <f t="shared" si="23"/>
        <v>12.15544177253205</v>
      </c>
      <c r="W156" s="520"/>
      <c r="X156" s="520">
        <f t="shared" si="24"/>
        <v>0</v>
      </c>
      <c r="Y156" s="434"/>
      <c r="Z156" s="520">
        <f t="shared" si="25"/>
        <v>0</v>
      </c>
      <c r="AA156" s="434"/>
      <c r="AB156" s="520">
        <f t="shared" si="26"/>
        <v>0</v>
      </c>
      <c r="AC156" s="434"/>
      <c r="AD156" s="520">
        <f t="shared" si="27"/>
        <v>75.182701973304205</v>
      </c>
      <c r="AE156" s="434"/>
      <c r="AF156" s="520">
        <f t="shared" si="28"/>
        <v>0</v>
      </c>
      <c r="AG156" s="434"/>
      <c r="AH156" s="520">
        <f t="shared" si="29"/>
        <v>0</v>
      </c>
      <c r="AI156" s="434"/>
      <c r="AJ156" s="520">
        <f t="shared" si="30"/>
        <v>17.607897740425699</v>
      </c>
      <c r="AK156" s="520"/>
      <c r="AL156" s="520">
        <f t="shared" si="31"/>
        <v>18.39465517222181</v>
      </c>
      <c r="AM156" s="434"/>
      <c r="AN156" s="520">
        <f t="shared" si="32"/>
        <v>0</v>
      </c>
      <c r="AO156" s="434"/>
      <c r="AP156" s="520">
        <f t="shared" si="33"/>
        <v>18.459148675006787</v>
      </c>
      <c r="AQ156" s="434"/>
      <c r="AR156" s="520">
        <f t="shared" si="34"/>
        <v>22.402569769726764</v>
      </c>
      <c r="AS156" s="434"/>
      <c r="AT156" s="520">
        <f t="shared" si="35"/>
        <v>0</v>
      </c>
      <c r="AU156" s="434"/>
    </row>
    <row r="157" spans="1:70" x14ac:dyDescent="0.45">
      <c r="E157" s="318">
        <f t="shared" ref="E157" si="39">E111</f>
        <v>2027</v>
      </c>
      <c r="F157" s="520">
        <f t="shared" si="16"/>
        <v>0</v>
      </c>
      <c r="G157" s="434"/>
      <c r="H157" s="520">
        <f t="shared" si="17"/>
        <v>0</v>
      </c>
      <c r="I157" s="434"/>
      <c r="J157" s="520">
        <f t="shared" si="18"/>
        <v>0</v>
      </c>
      <c r="K157" s="434"/>
      <c r="L157" s="520">
        <f t="shared" si="19"/>
        <v>0</v>
      </c>
      <c r="M157" s="434"/>
      <c r="N157" s="520">
        <f t="shared" si="37"/>
        <v>0</v>
      </c>
      <c r="O157" s="434"/>
      <c r="P157" s="520">
        <f t="shared" si="20"/>
        <v>0</v>
      </c>
      <c r="Q157" s="434"/>
      <c r="R157" s="520">
        <f t="shared" si="21"/>
        <v>28.880259664195343</v>
      </c>
      <c r="S157" s="520"/>
      <c r="T157" s="520">
        <f t="shared" si="22"/>
        <v>45.067265529162555</v>
      </c>
      <c r="U157" s="434"/>
      <c r="V157" s="520">
        <f t="shared" si="23"/>
        <v>16.619024098282225</v>
      </c>
      <c r="W157" s="520"/>
      <c r="X157" s="520">
        <f t="shared" si="24"/>
        <v>0</v>
      </c>
      <c r="Y157" s="434"/>
      <c r="Z157" s="520">
        <f t="shared" si="25"/>
        <v>0</v>
      </c>
      <c r="AA157" s="434"/>
      <c r="AB157" s="520">
        <f t="shared" si="26"/>
        <v>0</v>
      </c>
      <c r="AC157" s="434"/>
      <c r="AD157" s="520">
        <f t="shared" si="27"/>
        <v>122.01874075815519</v>
      </c>
      <c r="AE157" s="434"/>
      <c r="AF157" s="520">
        <f t="shared" si="28"/>
        <v>0</v>
      </c>
      <c r="AG157" s="434"/>
      <c r="AH157" s="520">
        <f t="shared" si="29"/>
        <v>0</v>
      </c>
      <c r="AI157" s="434"/>
      <c r="AJ157" s="520">
        <f t="shared" si="30"/>
        <v>23.527570789285832</v>
      </c>
      <c r="AK157" s="520"/>
      <c r="AL157" s="520">
        <f t="shared" si="31"/>
        <v>24.968446342382094</v>
      </c>
      <c r="AM157" s="434"/>
      <c r="AN157" s="520">
        <f t="shared" si="32"/>
        <v>0</v>
      </c>
      <c r="AO157" s="434"/>
      <c r="AP157" s="520">
        <f t="shared" si="33"/>
        <v>19.382106108757128</v>
      </c>
      <c r="AQ157" s="434"/>
      <c r="AR157" s="520">
        <f t="shared" si="34"/>
        <v>25.090878142093977</v>
      </c>
      <c r="AS157" s="434"/>
      <c r="AT157" s="520">
        <f t="shared" si="35"/>
        <v>0</v>
      </c>
      <c r="AU157" s="434"/>
    </row>
    <row r="158" spans="1:70" x14ac:dyDescent="0.45">
      <c r="E158" s="318">
        <f t="shared" ref="E158" si="40">E112</f>
        <v>2028</v>
      </c>
      <c r="F158" s="520">
        <f t="shared" si="16"/>
        <v>0</v>
      </c>
      <c r="G158" s="434"/>
      <c r="H158" s="520">
        <f t="shared" si="17"/>
        <v>0</v>
      </c>
      <c r="I158" s="434"/>
      <c r="J158" s="520">
        <f t="shared" si="18"/>
        <v>0</v>
      </c>
      <c r="K158" s="434"/>
      <c r="L158" s="520">
        <f t="shared" si="19"/>
        <v>0</v>
      </c>
      <c r="M158" s="434"/>
      <c r="N158" s="520">
        <f t="shared" si="37"/>
        <v>0</v>
      </c>
      <c r="O158" s="434"/>
      <c r="P158" s="520">
        <f t="shared" si="20"/>
        <v>0</v>
      </c>
      <c r="Q158" s="434"/>
      <c r="R158" s="520">
        <f t="shared" si="21"/>
        <v>38.996013969509995</v>
      </c>
      <c r="S158" s="520"/>
      <c r="T158" s="520">
        <f t="shared" si="22"/>
        <v>59.438854002533546</v>
      </c>
      <c r="U158" s="434"/>
      <c r="V158" s="520">
        <f t="shared" si="23"/>
        <v>21.305785540319903</v>
      </c>
      <c r="W158" s="520"/>
      <c r="X158" s="520">
        <f t="shared" si="24"/>
        <v>41.363845786871295</v>
      </c>
      <c r="Y158" s="434"/>
      <c r="Z158" s="520">
        <f t="shared" si="25"/>
        <v>41.363845786871295</v>
      </c>
      <c r="AA158" s="434"/>
      <c r="AB158" s="520">
        <f t="shared" si="26"/>
        <v>0</v>
      </c>
      <c r="AC158" s="434"/>
      <c r="AD158" s="520">
        <f t="shared" si="27"/>
        <v>176.34854574858232</v>
      </c>
      <c r="AE158" s="434"/>
      <c r="AF158" s="520">
        <f t="shared" si="28"/>
        <v>0</v>
      </c>
      <c r="AG158" s="434"/>
      <c r="AH158" s="520">
        <f t="shared" si="29"/>
        <v>0</v>
      </c>
      <c r="AI158" s="434"/>
      <c r="AJ158" s="520">
        <f t="shared" si="30"/>
        <v>30.216801334497781</v>
      </c>
      <c r="AK158" s="520"/>
      <c r="AL158" s="520">
        <f t="shared" si="31"/>
        <v>32.59404409976802</v>
      </c>
      <c r="AM158" s="434"/>
      <c r="AN158" s="520">
        <f t="shared" si="32"/>
        <v>0</v>
      </c>
      <c r="AO158" s="434"/>
      <c r="AP158" s="520">
        <f t="shared" si="33"/>
        <v>20.351211414194985</v>
      </c>
      <c r="AQ158" s="434"/>
      <c r="AR158" s="520">
        <f t="shared" si="34"/>
        <v>28.101783519145258</v>
      </c>
      <c r="AS158" s="434"/>
      <c r="AT158" s="520">
        <f t="shared" si="35"/>
        <v>0</v>
      </c>
      <c r="AU158" s="434"/>
    </row>
    <row r="159" spans="1:70" x14ac:dyDescent="0.45">
      <c r="E159" s="318">
        <f t="shared" ref="E159" si="41">E113</f>
        <v>2029</v>
      </c>
      <c r="F159" s="520">
        <f t="shared" si="16"/>
        <v>0</v>
      </c>
      <c r="G159" s="434"/>
      <c r="H159" s="520">
        <f t="shared" si="17"/>
        <v>0</v>
      </c>
      <c r="I159" s="434"/>
      <c r="J159" s="520">
        <f t="shared" si="18"/>
        <v>0</v>
      </c>
      <c r="K159" s="434"/>
      <c r="L159" s="520">
        <f t="shared" si="19"/>
        <v>0</v>
      </c>
      <c r="M159" s="434"/>
      <c r="N159" s="520">
        <f t="shared" si="37"/>
        <v>0</v>
      </c>
      <c r="O159" s="434"/>
      <c r="P159" s="520">
        <f t="shared" si="20"/>
        <v>0</v>
      </c>
      <c r="Q159" s="434"/>
      <c r="R159" s="520">
        <f t="shared" si="21"/>
        <v>50.629131420621846</v>
      </c>
      <c r="S159" s="520"/>
      <c r="T159" s="520">
        <f t="shared" si="22"/>
        <v>75.319459265608486</v>
      </c>
      <c r="U159" s="434"/>
      <c r="V159" s="520">
        <f t="shared" si="23"/>
        <v>26.226885054459466</v>
      </c>
      <c r="W159" s="520"/>
      <c r="X159" s="520">
        <f t="shared" si="24"/>
        <v>84.795883863086146</v>
      </c>
      <c r="Y159" s="434"/>
      <c r="Z159" s="520">
        <f t="shared" si="25"/>
        <v>86.864076152429732</v>
      </c>
      <c r="AA159" s="434"/>
      <c r="AB159" s="520">
        <f t="shared" si="26"/>
        <v>0</v>
      </c>
      <c r="AC159" s="434"/>
      <c r="AD159" s="520">
        <f t="shared" si="27"/>
        <v>239.3711195374778</v>
      </c>
      <c r="AE159" s="434"/>
      <c r="AF159" s="520">
        <f t="shared" si="28"/>
        <v>0</v>
      </c>
      <c r="AG159" s="434"/>
      <c r="AH159" s="520">
        <f t="shared" si="29"/>
        <v>0</v>
      </c>
      <c r="AI159" s="434"/>
      <c r="AJ159" s="520">
        <f t="shared" si="30"/>
        <v>37.775631850587281</v>
      </c>
      <c r="AK159" s="520"/>
      <c r="AL159" s="520">
        <f t="shared" si="31"/>
        <v>41.439737498335688</v>
      </c>
      <c r="AM159" s="434"/>
      <c r="AN159" s="520">
        <f t="shared" si="32"/>
        <v>0</v>
      </c>
      <c r="AO159" s="434"/>
      <c r="AP159" s="520">
        <f t="shared" si="33"/>
        <v>21.368771984904736</v>
      </c>
      <c r="AQ159" s="434"/>
      <c r="AR159" s="520">
        <f t="shared" si="34"/>
        <v>31.473997541442692</v>
      </c>
      <c r="AS159" s="434"/>
      <c r="AT159" s="520">
        <f t="shared" si="35"/>
        <v>0</v>
      </c>
      <c r="AU159" s="434"/>
    </row>
    <row r="160" spans="1:70" x14ac:dyDescent="0.45">
      <c r="E160" s="318">
        <f t="shared" ref="E160" si="42">E114</f>
        <v>2030</v>
      </c>
      <c r="F160" s="520">
        <f t="shared" si="16"/>
        <v>0</v>
      </c>
      <c r="G160" s="434"/>
      <c r="H160" s="520">
        <f t="shared" si="17"/>
        <v>0</v>
      </c>
      <c r="I160" s="434"/>
      <c r="J160" s="520">
        <f t="shared" si="18"/>
        <v>0</v>
      </c>
      <c r="K160" s="434"/>
      <c r="L160" s="520">
        <f t="shared" si="19"/>
        <v>0</v>
      </c>
      <c r="M160" s="434"/>
      <c r="N160" s="520">
        <f t="shared" si="37"/>
        <v>0</v>
      </c>
      <c r="O160" s="434"/>
      <c r="P160" s="520">
        <f t="shared" si="20"/>
        <v>0</v>
      </c>
      <c r="Q160" s="434"/>
      <c r="R160" s="520">
        <f t="shared" si="21"/>
        <v>64.007216489400463</v>
      </c>
      <c r="S160" s="520"/>
      <c r="T160" s="520">
        <f t="shared" si="22"/>
        <v>92.867528081306304</v>
      </c>
      <c r="U160" s="434"/>
      <c r="V160" s="520">
        <f t="shared" si="23"/>
        <v>31.394039544306011</v>
      </c>
      <c r="W160" s="520"/>
      <c r="X160" s="520">
        <f t="shared" si="24"/>
        <v>130.39952384311175</v>
      </c>
      <c r="Y160" s="434"/>
      <c r="Z160" s="520">
        <f t="shared" si="25"/>
        <v>136.914329554544</v>
      </c>
      <c r="AA160" s="434"/>
      <c r="AB160" s="520">
        <f t="shared" si="26"/>
        <v>0</v>
      </c>
      <c r="AC160" s="434"/>
      <c r="AD160" s="520">
        <f t="shared" si="27"/>
        <v>312.47730513259654</v>
      </c>
      <c r="AE160" s="434"/>
      <c r="AF160" s="520">
        <f t="shared" si="28"/>
        <v>0</v>
      </c>
      <c r="AG160" s="434"/>
      <c r="AH160" s="520">
        <f t="shared" si="29"/>
        <v>0</v>
      </c>
      <c r="AI160" s="434"/>
      <c r="AJ160" s="520">
        <f t="shared" si="30"/>
        <v>46.317110333768412</v>
      </c>
      <c r="AK160" s="520"/>
      <c r="AL160" s="520">
        <f t="shared" si="31"/>
        <v>51.700741840674183</v>
      </c>
      <c r="AM160" s="434"/>
      <c r="AN160" s="520">
        <f t="shared" si="32"/>
        <v>0</v>
      </c>
      <c r="AO160" s="434"/>
      <c r="AP160" s="520">
        <f t="shared" si="33"/>
        <v>22.437210584149973</v>
      </c>
      <c r="AQ160" s="434"/>
      <c r="AR160" s="520">
        <f t="shared" si="34"/>
        <v>35.250877246415818</v>
      </c>
      <c r="AS160" s="434"/>
      <c r="AT160" s="520">
        <f t="shared" si="35"/>
        <v>0</v>
      </c>
      <c r="AU160" s="434"/>
    </row>
    <row r="161" spans="5:47" x14ac:dyDescent="0.45">
      <c r="E161" s="318">
        <f t="shared" ref="E161" si="43">E115</f>
        <v>2031</v>
      </c>
      <c r="F161" s="520">
        <f t="shared" si="16"/>
        <v>0</v>
      </c>
      <c r="G161" s="434"/>
      <c r="H161" s="520">
        <f t="shared" si="17"/>
        <v>0</v>
      </c>
      <c r="I161" s="434"/>
      <c r="J161" s="520">
        <f t="shared" si="18"/>
        <v>0</v>
      </c>
      <c r="K161" s="434"/>
      <c r="L161" s="520">
        <f t="shared" si="19"/>
        <v>0</v>
      </c>
      <c r="M161" s="434"/>
      <c r="N161" s="520">
        <f t="shared" si="37"/>
        <v>0</v>
      </c>
      <c r="O161" s="434"/>
      <c r="P161" s="520">
        <f t="shared" si="20"/>
        <v>0</v>
      </c>
      <c r="Q161" s="434"/>
      <c r="R161" s="520">
        <f t="shared" si="21"/>
        <v>0</v>
      </c>
      <c r="S161" s="520"/>
      <c r="T161" s="520">
        <f t="shared" si="22"/>
        <v>0</v>
      </c>
      <c r="U161" s="434"/>
      <c r="V161" s="520">
        <f t="shared" si="23"/>
        <v>0</v>
      </c>
      <c r="W161" s="520"/>
      <c r="X161" s="520">
        <f t="shared" ref="X161:X182" si="44">IF(S115=0,0,$O$71*$U$68+X160*(1+$V$68))</f>
        <v>178.28334582213864</v>
      </c>
      <c r="Y161" s="434"/>
      <c r="Z161" s="520">
        <f t="shared" ref="Z161:Z182" si="45">IF(S115=0,0,$O$71*$U$69+Z160*(1+$V$69))</f>
        <v>191.96960829686969</v>
      </c>
      <c r="AA161" s="434"/>
      <c r="AB161" s="520">
        <f t="shared" ref="AB161:AB182" si="46">IF(S115=0,0,$O$71*$U$70+AB160*(1+$V$70))</f>
        <v>0</v>
      </c>
      <c r="AC161" s="434"/>
      <c r="AD161" s="520">
        <f t="shared" si="27"/>
        <v>397.28048042293426</v>
      </c>
      <c r="AE161" s="434"/>
      <c r="AF161" s="520">
        <f t="shared" si="28"/>
        <v>0</v>
      </c>
      <c r="AG161" s="434"/>
      <c r="AH161" s="520">
        <f t="shared" si="29"/>
        <v>0</v>
      </c>
      <c r="AI161" s="434"/>
      <c r="AJ161" s="520">
        <f t="shared" si="30"/>
        <v>55.968981019763092</v>
      </c>
      <c r="AK161" s="520"/>
      <c r="AL161" s="520">
        <f t="shared" si="31"/>
        <v>63.603506877786842</v>
      </c>
      <c r="AM161" s="434"/>
      <c r="AN161" s="520">
        <f t="shared" si="32"/>
        <v>0</v>
      </c>
      <c r="AO161" s="434"/>
      <c r="AP161" s="520">
        <f t="shared" si="33"/>
        <v>39.504777775710814</v>
      </c>
      <c r="AQ161" s="434"/>
      <c r="AR161" s="520">
        <f t="shared" si="34"/>
        <v>55.426689178339061</v>
      </c>
      <c r="AS161" s="434"/>
      <c r="AT161" s="520">
        <f t="shared" si="35"/>
        <v>0</v>
      </c>
      <c r="AU161" s="434"/>
    </row>
    <row r="162" spans="5:47" x14ac:dyDescent="0.45">
      <c r="E162" s="318">
        <f t="shared" ref="E162" si="47">E116</f>
        <v>2032</v>
      </c>
      <c r="F162" s="520">
        <f t="shared" si="16"/>
        <v>0</v>
      </c>
      <c r="G162" s="434"/>
      <c r="H162" s="520">
        <f t="shared" si="17"/>
        <v>0</v>
      </c>
      <c r="I162" s="434"/>
      <c r="J162" s="520">
        <f t="shared" si="18"/>
        <v>0</v>
      </c>
      <c r="K162" s="434"/>
      <c r="L162" s="520">
        <f t="shared" si="19"/>
        <v>0</v>
      </c>
      <c r="M162" s="434"/>
      <c r="N162" s="520">
        <f t="shared" si="37"/>
        <v>0</v>
      </c>
      <c r="O162" s="434"/>
      <c r="P162" s="520">
        <f t="shared" si="20"/>
        <v>0</v>
      </c>
      <c r="Q162" s="434"/>
      <c r="R162" s="520">
        <f t="shared" si="21"/>
        <v>0</v>
      </c>
      <c r="S162" s="520"/>
      <c r="T162" s="520">
        <f t="shared" si="22"/>
        <v>0</v>
      </c>
      <c r="U162" s="434"/>
      <c r="V162" s="520">
        <f t="shared" si="23"/>
        <v>0</v>
      </c>
      <c r="W162" s="520"/>
      <c r="X162" s="520">
        <f t="shared" si="44"/>
        <v>228.56135890011689</v>
      </c>
      <c r="Y162" s="434"/>
      <c r="Z162" s="520">
        <f t="shared" si="45"/>
        <v>252.53041491342799</v>
      </c>
      <c r="AA162" s="434"/>
      <c r="AB162" s="520">
        <f t="shared" si="46"/>
        <v>0</v>
      </c>
      <c r="AC162" s="434"/>
      <c r="AD162" s="520">
        <f t="shared" si="27"/>
        <v>495.65216375972602</v>
      </c>
      <c r="AE162" s="434"/>
      <c r="AF162" s="520">
        <f t="shared" si="28"/>
        <v>0</v>
      </c>
      <c r="AG162" s="434"/>
      <c r="AH162" s="520">
        <f t="shared" si="29"/>
        <v>0</v>
      </c>
      <c r="AI162" s="434"/>
      <c r="AJ162" s="520">
        <f t="shared" si="30"/>
        <v>66.87559489493708</v>
      </c>
      <c r="AK162" s="520"/>
      <c r="AL162" s="520">
        <f t="shared" si="31"/>
        <v>77.410714320837528</v>
      </c>
      <c r="AM162" s="434"/>
      <c r="AN162" s="520">
        <f t="shared" si="32"/>
        <v>0</v>
      </c>
      <c r="AO162" s="434"/>
      <c r="AP162" s="520">
        <f t="shared" si="33"/>
        <v>57.425723326849692</v>
      </c>
      <c r="AQ162" s="434"/>
      <c r="AR162" s="520">
        <f t="shared" si="34"/>
        <v>78.023598542093097</v>
      </c>
      <c r="AS162" s="434"/>
      <c r="AT162" s="520">
        <f t="shared" si="35"/>
        <v>0</v>
      </c>
      <c r="AU162" s="434"/>
    </row>
    <row r="163" spans="5:47" x14ac:dyDescent="0.45">
      <c r="E163" s="318">
        <f t="shared" ref="E163" si="48">E117</f>
        <v>2033</v>
      </c>
      <c r="F163" s="520">
        <f t="shared" si="16"/>
        <v>0</v>
      </c>
      <c r="G163" s="434"/>
      <c r="H163" s="520">
        <f t="shared" si="17"/>
        <v>0</v>
      </c>
      <c r="I163" s="434"/>
      <c r="J163" s="520">
        <f t="shared" si="18"/>
        <v>0</v>
      </c>
      <c r="K163" s="434"/>
      <c r="L163" s="520">
        <f t="shared" si="19"/>
        <v>0</v>
      </c>
      <c r="M163" s="434"/>
      <c r="N163" s="520">
        <f t="shared" si="37"/>
        <v>0</v>
      </c>
      <c r="O163" s="434"/>
      <c r="P163" s="520">
        <f t="shared" si="20"/>
        <v>0</v>
      </c>
      <c r="Q163" s="434"/>
      <c r="R163" s="520">
        <f t="shared" si="21"/>
        <v>0</v>
      </c>
      <c r="S163" s="520"/>
      <c r="T163" s="520">
        <f t="shared" si="22"/>
        <v>0</v>
      </c>
      <c r="U163" s="434"/>
      <c r="V163" s="520">
        <f t="shared" si="23"/>
        <v>0</v>
      </c>
      <c r="W163" s="520"/>
      <c r="X163" s="520">
        <f t="shared" si="44"/>
        <v>0</v>
      </c>
      <c r="Y163" s="434"/>
      <c r="Z163" s="520">
        <f t="shared" si="45"/>
        <v>0</v>
      </c>
      <c r="AA163" s="434"/>
      <c r="AB163" s="520">
        <f t="shared" si="46"/>
        <v>0</v>
      </c>
      <c r="AC163" s="434"/>
      <c r="AD163" s="520">
        <f t="shared" si="27"/>
        <v>609.76331643040442</v>
      </c>
      <c r="AE163" s="434"/>
      <c r="AF163" s="520">
        <f t="shared" si="28"/>
        <v>0</v>
      </c>
      <c r="AG163" s="434"/>
      <c r="AH163" s="520">
        <f t="shared" si="29"/>
        <v>0</v>
      </c>
      <c r="AI163" s="434"/>
      <c r="AJ163" s="520">
        <f t="shared" si="30"/>
        <v>79.200068573883684</v>
      </c>
      <c r="AK163" s="520"/>
      <c r="AL163" s="520">
        <f t="shared" si="31"/>
        <v>93.427074954776316</v>
      </c>
      <c r="AM163" s="434"/>
      <c r="AN163" s="520">
        <f t="shared" si="32"/>
        <v>0</v>
      </c>
      <c r="AO163" s="434"/>
      <c r="AP163" s="520">
        <f t="shared" si="33"/>
        <v>76.242716155545523</v>
      </c>
      <c r="AQ163" s="434"/>
      <c r="AR163" s="520">
        <f t="shared" si="34"/>
        <v>103.33213702949762</v>
      </c>
      <c r="AS163" s="434"/>
      <c r="AT163" s="520">
        <f t="shared" si="35"/>
        <v>0</v>
      </c>
      <c r="AU163" s="434"/>
    </row>
    <row r="164" spans="5:47" x14ac:dyDescent="0.45">
      <c r="E164" s="318">
        <f t="shared" ref="E164" si="49">E118</f>
        <v>2034</v>
      </c>
      <c r="F164" s="520">
        <f t="shared" si="16"/>
        <v>0</v>
      </c>
      <c r="G164" s="434"/>
      <c r="H164" s="520">
        <f t="shared" si="17"/>
        <v>0</v>
      </c>
      <c r="I164" s="434"/>
      <c r="J164" s="520">
        <f t="shared" si="18"/>
        <v>0</v>
      </c>
      <c r="K164" s="434"/>
      <c r="L164" s="520">
        <f t="shared" si="19"/>
        <v>0</v>
      </c>
      <c r="M164" s="434"/>
      <c r="N164" s="520">
        <f t="shared" si="37"/>
        <v>0</v>
      </c>
      <c r="O164" s="434"/>
      <c r="P164" s="520">
        <f t="shared" si="20"/>
        <v>0</v>
      </c>
      <c r="Q164" s="434"/>
      <c r="R164" s="520">
        <f t="shared" si="21"/>
        <v>0</v>
      </c>
      <c r="S164" s="520"/>
      <c r="T164" s="520">
        <f t="shared" si="22"/>
        <v>0</v>
      </c>
      <c r="U164" s="434"/>
      <c r="V164" s="520">
        <f t="shared" si="23"/>
        <v>0</v>
      </c>
      <c r="W164" s="520"/>
      <c r="X164" s="520">
        <f t="shared" si="44"/>
        <v>0</v>
      </c>
      <c r="Y164" s="434"/>
      <c r="Z164" s="520">
        <f t="shared" si="45"/>
        <v>0</v>
      </c>
      <c r="AA164" s="434"/>
      <c r="AB164" s="520">
        <f t="shared" si="46"/>
        <v>0</v>
      </c>
      <c r="AC164" s="434"/>
      <c r="AD164" s="520">
        <f t="shared" si="27"/>
        <v>742.1322535283914</v>
      </c>
      <c r="AE164" s="434"/>
      <c r="AF164" s="520">
        <f t="shared" si="28"/>
        <v>0</v>
      </c>
      <c r="AG164" s="434"/>
      <c r="AH164" s="520">
        <f t="shared" si="29"/>
        <v>0</v>
      </c>
      <c r="AI164" s="434"/>
      <c r="AJ164" s="520">
        <f t="shared" si="30"/>
        <v>93.126723831093344</v>
      </c>
      <c r="AK164" s="434"/>
      <c r="AL164" s="520">
        <f t="shared" si="31"/>
        <v>112.00605329014532</v>
      </c>
      <c r="AM164" s="434"/>
      <c r="AN164" s="520">
        <f t="shared" si="32"/>
        <v>0</v>
      </c>
      <c r="AO164" s="434"/>
      <c r="AP164" s="520">
        <f t="shared" si="33"/>
        <v>96.000558625676149</v>
      </c>
      <c r="AQ164" s="434"/>
      <c r="AR164" s="520">
        <f t="shared" si="34"/>
        <v>131.67770013539067</v>
      </c>
      <c r="AS164" s="434"/>
      <c r="AT164" s="520">
        <f t="shared" si="35"/>
        <v>0</v>
      </c>
      <c r="AU164" s="434"/>
    </row>
    <row r="165" spans="5:47" x14ac:dyDescent="0.45">
      <c r="E165" s="318">
        <f t="shared" ref="E165" si="50">E119</f>
        <v>2035</v>
      </c>
      <c r="F165" s="520">
        <f t="shared" si="16"/>
        <v>0</v>
      </c>
      <c r="G165" s="434"/>
      <c r="H165" s="520">
        <f t="shared" si="17"/>
        <v>0</v>
      </c>
      <c r="I165" s="434"/>
      <c r="J165" s="520">
        <f t="shared" si="18"/>
        <v>0</v>
      </c>
      <c r="K165" s="434"/>
      <c r="L165" s="520">
        <f t="shared" si="19"/>
        <v>0</v>
      </c>
      <c r="M165" s="434"/>
      <c r="N165" s="520">
        <f t="shared" si="37"/>
        <v>0</v>
      </c>
      <c r="O165" s="434"/>
      <c r="P165" s="520">
        <f t="shared" si="20"/>
        <v>0</v>
      </c>
      <c r="Q165" s="434"/>
      <c r="R165" s="520">
        <f t="shared" si="21"/>
        <v>0</v>
      </c>
      <c r="S165" s="520"/>
      <c r="T165" s="520">
        <f t="shared" si="22"/>
        <v>0</v>
      </c>
      <c r="U165" s="434"/>
      <c r="V165" s="520">
        <f t="shared" si="23"/>
        <v>0</v>
      </c>
      <c r="W165" s="520"/>
      <c r="X165" s="520">
        <f t="shared" si="44"/>
        <v>0</v>
      </c>
      <c r="Y165" s="434"/>
      <c r="Z165" s="520">
        <f t="shared" si="45"/>
        <v>0</v>
      </c>
      <c r="AA165" s="434"/>
      <c r="AB165" s="520">
        <f t="shared" si="46"/>
        <v>0</v>
      </c>
      <c r="AC165" s="434"/>
      <c r="AD165" s="520">
        <f t="shared" si="27"/>
        <v>895.68022056205632</v>
      </c>
      <c r="AE165" s="434"/>
      <c r="AF165" s="520">
        <f t="shared" si="28"/>
        <v>0</v>
      </c>
      <c r="AG165" s="434"/>
      <c r="AH165" s="520">
        <f t="shared" si="29"/>
        <v>0</v>
      </c>
      <c r="AI165" s="434"/>
      <c r="AJ165" s="520">
        <f t="shared" si="30"/>
        <v>108.86384427174026</v>
      </c>
      <c r="AK165" s="434"/>
      <c r="AL165" s="520">
        <f t="shared" si="31"/>
        <v>133.55766815917335</v>
      </c>
      <c r="AM165" s="434"/>
      <c r="AN165" s="520">
        <f t="shared" si="32"/>
        <v>0</v>
      </c>
      <c r="AO165" s="434"/>
      <c r="AP165" s="520">
        <f t="shared" si="33"/>
        <v>116.7462932193133</v>
      </c>
      <c r="AQ165" s="434"/>
      <c r="AR165" s="520">
        <f t="shared" si="34"/>
        <v>163.42473081399089</v>
      </c>
      <c r="AS165" s="434"/>
      <c r="AT165" s="520">
        <f t="shared" si="35"/>
        <v>0</v>
      </c>
      <c r="AU165" s="434"/>
    </row>
    <row r="166" spans="5:47" x14ac:dyDescent="0.45">
      <c r="E166" s="318">
        <f t="shared" ref="E166" si="51">E120</f>
        <v>2036</v>
      </c>
      <c r="F166" s="520">
        <f t="shared" si="16"/>
        <v>0</v>
      </c>
      <c r="G166" s="434"/>
      <c r="H166" s="520">
        <f t="shared" si="17"/>
        <v>0</v>
      </c>
      <c r="I166" s="434"/>
      <c r="J166" s="520">
        <f t="shared" si="18"/>
        <v>0</v>
      </c>
      <c r="K166" s="434"/>
      <c r="L166" s="520">
        <f t="shared" si="19"/>
        <v>0</v>
      </c>
      <c r="M166" s="434"/>
      <c r="N166" s="520">
        <f t="shared" si="37"/>
        <v>0</v>
      </c>
      <c r="O166" s="434"/>
      <c r="P166" s="520">
        <f t="shared" si="20"/>
        <v>0</v>
      </c>
      <c r="Q166" s="434"/>
      <c r="R166" s="520">
        <f t="shared" si="21"/>
        <v>0</v>
      </c>
      <c r="S166" s="520"/>
      <c r="T166" s="520">
        <f t="shared" si="22"/>
        <v>0</v>
      </c>
      <c r="U166" s="434"/>
      <c r="V166" s="520">
        <f t="shared" si="23"/>
        <v>0</v>
      </c>
      <c r="W166" s="520"/>
      <c r="X166" s="520">
        <f t="shared" si="44"/>
        <v>0</v>
      </c>
      <c r="Y166" s="434"/>
      <c r="Z166" s="520">
        <f t="shared" si="45"/>
        <v>0</v>
      </c>
      <c r="AA166" s="434"/>
      <c r="AB166" s="520">
        <f t="shared" si="46"/>
        <v>0</v>
      </c>
      <c r="AC166" s="434"/>
      <c r="AD166" s="520">
        <f t="shared" si="27"/>
        <v>1073.7958623211077</v>
      </c>
      <c r="AE166" s="434"/>
      <c r="AF166" s="520">
        <f t="shared" si="28"/>
        <v>0</v>
      </c>
      <c r="AG166" s="434"/>
      <c r="AH166" s="520">
        <f t="shared" si="29"/>
        <v>0</v>
      </c>
      <c r="AI166" s="434"/>
      <c r="AJ166" s="520">
        <f t="shared" si="30"/>
        <v>126.64679036967128</v>
      </c>
      <c r="AK166" s="434"/>
      <c r="AL166" s="520">
        <f t="shared" si="31"/>
        <v>158.55754140724585</v>
      </c>
      <c r="AM166" s="434"/>
      <c r="AN166" s="520">
        <f t="shared" si="32"/>
        <v>0</v>
      </c>
      <c r="AO166" s="434"/>
      <c r="AP166" s="520">
        <f t="shared" si="33"/>
        <v>138.52931454263231</v>
      </c>
      <c r="AQ166" s="434"/>
      <c r="AR166" s="520">
        <f t="shared" si="34"/>
        <v>198.98140517402314</v>
      </c>
      <c r="AS166" s="434"/>
      <c r="AT166" s="520">
        <f t="shared" si="35"/>
        <v>0</v>
      </c>
      <c r="AU166" s="434"/>
    </row>
    <row r="167" spans="5:47" x14ac:dyDescent="0.45">
      <c r="E167" s="318">
        <f t="shared" ref="E167" si="52">E121</f>
        <v>2037</v>
      </c>
      <c r="F167" s="520">
        <f t="shared" si="16"/>
        <v>0</v>
      </c>
      <c r="G167" s="434"/>
      <c r="H167" s="520">
        <f t="shared" si="17"/>
        <v>0</v>
      </c>
      <c r="I167" s="434"/>
      <c r="J167" s="520">
        <f t="shared" si="18"/>
        <v>0</v>
      </c>
      <c r="K167" s="434"/>
      <c r="L167" s="520">
        <f t="shared" si="19"/>
        <v>0</v>
      </c>
      <c r="M167" s="434"/>
      <c r="N167" s="520">
        <f t="shared" si="37"/>
        <v>0</v>
      </c>
      <c r="O167" s="434"/>
      <c r="P167" s="520">
        <f t="shared" si="20"/>
        <v>0</v>
      </c>
      <c r="Q167" s="434"/>
      <c r="R167" s="520">
        <f t="shared" si="21"/>
        <v>0</v>
      </c>
      <c r="S167" s="520"/>
      <c r="T167" s="520">
        <f t="shared" si="22"/>
        <v>0</v>
      </c>
      <c r="U167" s="434"/>
      <c r="V167" s="520">
        <f t="shared" si="23"/>
        <v>0</v>
      </c>
      <c r="W167" s="520"/>
      <c r="X167" s="520">
        <f t="shared" si="44"/>
        <v>0</v>
      </c>
      <c r="Y167" s="434"/>
      <c r="Z167" s="520">
        <f t="shared" si="45"/>
        <v>0</v>
      </c>
      <c r="AA167" s="434"/>
      <c r="AB167" s="520">
        <f t="shared" si="46"/>
        <v>0</v>
      </c>
      <c r="AC167" s="434"/>
      <c r="AD167" s="520">
        <f t="shared" si="27"/>
        <v>1280.4100067616073</v>
      </c>
      <c r="AE167" s="434"/>
      <c r="AF167" s="520">
        <f t="shared" si="28"/>
        <v>0</v>
      </c>
      <c r="AG167" s="434"/>
      <c r="AH167" s="520">
        <f t="shared" si="29"/>
        <v>0</v>
      </c>
      <c r="AI167" s="434"/>
      <c r="AJ167" s="520">
        <f t="shared" si="30"/>
        <v>146.74151946033334</v>
      </c>
      <c r="AK167" s="434"/>
      <c r="AL167" s="520">
        <f t="shared" si="31"/>
        <v>187.55739437500998</v>
      </c>
      <c r="AM167" s="434"/>
      <c r="AN167" s="520">
        <f t="shared" si="32"/>
        <v>0</v>
      </c>
      <c r="AO167" s="434"/>
      <c r="AP167" s="520">
        <f t="shared" si="33"/>
        <v>161.40148693211725</v>
      </c>
      <c r="AQ167" s="434"/>
      <c r="AR167" s="520">
        <f t="shared" si="34"/>
        <v>238.80488045725926</v>
      </c>
      <c r="AS167" s="434"/>
      <c r="AT167" s="520">
        <f t="shared" si="35"/>
        <v>0</v>
      </c>
      <c r="AU167" s="434"/>
    </row>
    <row r="168" spans="5:47" x14ac:dyDescent="0.45">
      <c r="E168" s="318">
        <f t="shared" ref="E168" si="53">E122</f>
        <v>2038</v>
      </c>
      <c r="F168" s="520">
        <f t="shared" si="16"/>
        <v>0</v>
      </c>
      <c r="G168" s="434"/>
      <c r="H168" s="520">
        <f t="shared" si="17"/>
        <v>0</v>
      </c>
      <c r="I168" s="434"/>
      <c r="J168" s="520">
        <f t="shared" si="18"/>
        <v>0</v>
      </c>
      <c r="K168" s="434"/>
      <c r="L168" s="520">
        <f t="shared" si="19"/>
        <v>0</v>
      </c>
      <c r="M168" s="434"/>
      <c r="N168" s="520">
        <f t="shared" si="37"/>
        <v>0</v>
      </c>
      <c r="O168" s="434"/>
      <c r="P168" s="520">
        <f t="shared" si="20"/>
        <v>0</v>
      </c>
      <c r="Q168" s="434"/>
      <c r="R168" s="520">
        <f t="shared" si="21"/>
        <v>0</v>
      </c>
      <c r="S168" s="520"/>
      <c r="T168" s="520">
        <f t="shared" si="22"/>
        <v>0</v>
      </c>
      <c r="U168" s="434"/>
      <c r="V168" s="520">
        <f t="shared" si="23"/>
        <v>0</v>
      </c>
      <c r="W168" s="520"/>
      <c r="X168" s="520">
        <f t="shared" si="44"/>
        <v>0</v>
      </c>
      <c r="Y168" s="434"/>
      <c r="Z168" s="520">
        <f t="shared" si="45"/>
        <v>0</v>
      </c>
      <c r="AA168" s="434"/>
      <c r="AB168" s="520">
        <f t="shared" si="46"/>
        <v>0</v>
      </c>
      <c r="AC168" s="434"/>
      <c r="AD168" s="520">
        <f t="shared" si="27"/>
        <v>0</v>
      </c>
      <c r="AE168" s="434"/>
      <c r="AF168" s="520">
        <f t="shared" si="28"/>
        <v>0</v>
      </c>
      <c r="AG168" s="434"/>
      <c r="AH168" s="520">
        <f t="shared" si="29"/>
        <v>0</v>
      </c>
      <c r="AI168" s="434"/>
      <c r="AJ168" s="520">
        <f t="shared" si="30"/>
        <v>169.44856333278145</v>
      </c>
      <c r="AK168" s="434"/>
      <c r="AL168" s="520">
        <f t="shared" si="31"/>
        <v>221.19722381761636</v>
      </c>
      <c r="AM168" s="434"/>
      <c r="AN168" s="520">
        <f t="shared" si="32"/>
        <v>0</v>
      </c>
      <c r="AO168" s="434"/>
      <c r="AP168" s="520">
        <f t="shared" si="33"/>
        <v>185.41726794107646</v>
      </c>
      <c r="AQ168" s="434"/>
      <c r="AR168" s="520">
        <f t="shared" si="34"/>
        <v>283.40717277448374</v>
      </c>
      <c r="AS168" s="434"/>
      <c r="AT168" s="520">
        <f t="shared" si="35"/>
        <v>0</v>
      </c>
      <c r="AU168" s="434"/>
    </row>
    <row r="169" spans="5:47" x14ac:dyDescent="0.45">
      <c r="E169" s="318">
        <f t="shared" ref="E169" si="54">E123</f>
        <v>2039</v>
      </c>
      <c r="F169" s="520">
        <f t="shared" si="16"/>
        <v>0</v>
      </c>
      <c r="G169" s="434"/>
      <c r="H169" s="520">
        <f t="shared" si="17"/>
        <v>0</v>
      </c>
      <c r="I169" s="434"/>
      <c r="J169" s="520">
        <f t="shared" si="18"/>
        <v>0</v>
      </c>
      <c r="K169" s="434"/>
      <c r="L169" s="520">
        <f t="shared" si="19"/>
        <v>0</v>
      </c>
      <c r="M169" s="434"/>
      <c r="N169" s="520">
        <f t="shared" si="37"/>
        <v>0</v>
      </c>
      <c r="O169" s="434"/>
      <c r="P169" s="520">
        <f t="shared" si="20"/>
        <v>0</v>
      </c>
      <c r="Q169" s="434"/>
      <c r="R169" s="520">
        <f t="shared" si="21"/>
        <v>0</v>
      </c>
      <c r="S169" s="520"/>
      <c r="T169" s="520">
        <f t="shared" si="22"/>
        <v>0</v>
      </c>
      <c r="U169" s="434"/>
      <c r="V169" s="520">
        <f t="shared" si="23"/>
        <v>0</v>
      </c>
      <c r="W169" s="520"/>
      <c r="X169" s="520">
        <f t="shared" si="44"/>
        <v>0</v>
      </c>
      <c r="Y169" s="434"/>
      <c r="Z169" s="520">
        <f t="shared" si="45"/>
        <v>0</v>
      </c>
      <c r="AA169" s="434"/>
      <c r="AB169" s="520">
        <f t="shared" si="46"/>
        <v>0</v>
      </c>
      <c r="AC169" s="434"/>
      <c r="AD169" s="520">
        <f t="shared" si="27"/>
        <v>0</v>
      </c>
      <c r="AE169" s="434"/>
      <c r="AF169" s="520">
        <f t="shared" si="28"/>
        <v>0</v>
      </c>
      <c r="AG169" s="434"/>
      <c r="AH169" s="520">
        <f t="shared" si="29"/>
        <v>0</v>
      </c>
      <c r="AI169" s="434"/>
      <c r="AJ169" s="520">
        <f t="shared" si="30"/>
        <v>195.10752290864781</v>
      </c>
      <c r="AK169" s="434"/>
      <c r="AL169" s="520">
        <f t="shared" si="31"/>
        <v>260.21942597103975</v>
      </c>
      <c r="AM169" s="434"/>
      <c r="AN169" s="520">
        <f t="shared" si="32"/>
        <v>0</v>
      </c>
      <c r="AO169" s="434"/>
      <c r="AP169" s="520">
        <f t="shared" si="33"/>
        <v>210.63383800048362</v>
      </c>
      <c r="AQ169" s="434"/>
      <c r="AR169" s="520">
        <f t="shared" si="34"/>
        <v>333.3617401697752</v>
      </c>
      <c r="AS169" s="434"/>
      <c r="AT169" s="520">
        <f t="shared" si="35"/>
        <v>0</v>
      </c>
      <c r="AU169" s="434"/>
    </row>
    <row r="170" spans="5:47" x14ac:dyDescent="0.45">
      <c r="E170" s="318">
        <f t="shared" ref="E170" si="55">E124</f>
        <v>2040</v>
      </c>
      <c r="F170" s="520">
        <f t="shared" si="16"/>
        <v>0</v>
      </c>
      <c r="G170" s="434"/>
      <c r="H170" s="520">
        <f t="shared" si="17"/>
        <v>0</v>
      </c>
      <c r="I170" s="434"/>
      <c r="J170" s="520">
        <f t="shared" si="18"/>
        <v>0</v>
      </c>
      <c r="K170" s="434"/>
      <c r="L170" s="520">
        <f t="shared" si="19"/>
        <v>0</v>
      </c>
      <c r="M170" s="434"/>
      <c r="N170" s="520">
        <f t="shared" si="37"/>
        <v>0</v>
      </c>
      <c r="O170" s="434"/>
      <c r="P170" s="520">
        <f t="shared" si="20"/>
        <v>0</v>
      </c>
      <c r="Q170" s="434"/>
      <c r="R170" s="520">
        <f t="shared" si="21"/>
        <v>0</v>
      </c>
      <c r="S170" s="520"/>
      <c r="T170" s="520">
        <f t="shared" si="22"/>
        <v>0</v>
      </c>
      <c r="U170" s="434"/>
      <c r="V170" s="520">
        <f t="shared" si="23"/>
        <v>0</v>
      </c>
      <c r="W170" s="520"/>
      <c r="X170" s="520">
        <f t="shared" si="44"/>
        <v>0</v>
      </c>
      <c r="Y170" s="434"/>
      <c r="Z170" s="520">
        <f t="shared" si="45"/>
        <v>0</v>
      </c>
      <c r="AA170" s="434"/>
      <c r="AB170" s="520">
        <f t="shared" si="46"/>
        <v>0</v>
      </c>
      <c r="AC170" s="434"/>
      <c r="AD170" s="520">
        <f t="shared" si="27"/>
        <v>0</v>
      </c>
      <c r="AE170" s="434"/>
      <c r="AF170" s="520">
        <f t="shared" si="28"/>
        <v>0</v>
      </c>
      <c r="AG170" s="434"/>
      <c r="AH170" s="520">
        <f t="shared" si="29"/>
        <v>0</v>
      </c>
      <c r="AI170" s="434"/>
      <c r="AJ170" s="520">
        <f t="shared" si="30"/>
        <v>224.10214722937678</v>
      </c>
      <c r="AK170" s="434"/>
      <c r="AL170" s="520">
        <f t="shared" si="31"/>
        <v>305.48518046901091</v>
      </c>
      <c r="AM170" s="434"/>
      <c r="AN170" s="520">
        <f t="shared" si="32"/>
        <v>0</v>
      </c>
      <c r="AO170" s="434"/>
      <c r="AP170" s="520">
        <f t="shared" si="33"/>
        <v>237.11123656286114</v>
      </c>
      <c r="AQ170" s="434"/>
      <c r="AR170" s="520">
        <f t="shared" si="34"/>
        <v>389.31085565250163</v>
      </c>
      <c r="AS170" s="434"/>
      <c r="AT170" s="520">
        <f t="shared" si="35"/>
        <v>0</v>
      </c>
      <c r="AU170" s="434"/>
    </row>
    <row r="171" spans="5:47" x14ac:dyDescent="0.45">
      <c r="E171" s="318">
        <f t="shared" ref="E171" si="56">E125</f>
        <v>2041</v>
      </c>
      <c r="F171" s="520">
        <f t="shared" si="16"/>
        <v>0</v>
      </c>
      <c r="G171" s="434"/>
      <c r="H171" s="520">
        <f t="shared" si="17"/>
        <v>0</v>
      </c>
      <c r="I171" s="434"/>
      <c r="J171" s="520">
        <f t="shared" si="18"/>
        <v>0</v>
      </c>
      <c r="K171" s="434"/>
      <c r="L171" s="520">
        <f t="shared" si="19"/>
        <v>0</v>
      </c>
      <c r="M171" s="434"/>
      <c r="N171" s="520">
        <f t="shared" si="37"/>
        <v>0</v>
      </c>
      <c r="O171" s="434"/>
      <c r="P171" s="520">
        <f t="shared" si="20"/>
        <v>0</v>
      </c>
      <c r="Q171" s="434"/>
      <c r="R171" s="520">
        <f t="shared" si="21"/>
        <v>0</v>
      </c>
      <c r="S171" s="520"/>
      <c r="T171" s="520">
        <f t="shared" si="22"/>
        <v>0</v>
      </c>
      <c r="U171" s="434"/>
      <c r="V171" s="520">
        <f t="shared" si="23"/>
        <v>0</v>
      </c>
      <c r="W171" s="520"/>
      <c r="X171" s="520">
        <f t="shared" si="44"/>
        <v>0</v>
      </c>
      <c r="Y171" s="434"/>
      <c r="Z171" s="520">
        <f t="shared" si="45"/>
        <v>0</v>
      </c>
      <c r="AA171" s="434"/>
      <c r="AB171" s="520">
        <f t="shared" si="46"/>
        <v>0</v>
      </c>
      <c r="AC171" s="434"/>
      <c r="AD171" s="520">
        <f t="shared" si="27"/>
        <v>0</v>
      </c>
      <c r="AE171" s="434"/>
      <c r="AF171" s="520">
        <f t="shared" si="28"/>
        <v>0</v>
      </c>
      <c r="AG171" s="434"/>
      <c r="AH171" s="520">
        <f t="shared" si="29"/>
        <v>0</v>
      </c>
      <c r="AI171" s="434"/>
      <c r="AJ171" s="520">
        <f>AJ170*(1+$V$87)-$I$87*12*$U$87</f>
        <v>163.23542636919575</v>
      </c>
      <c r="AK171" s="434"/>
      <c r="AL171" s="520">
        <f>AL170*(1+$V$88)-$I$87*12*$U$88</f>
        <v>264.36280934405261</v>
      </c>
      <c r="AM171" s="434"/>
      <c r="AN171" s="520">
        <f>AN170*(1+$V$89)-$I$87*12*$U$89</f>
        <v>0</v>
      </c>
      <c r="AO171" s="434"/>
      <c r="AP171" s="520">
        <f t="shared" si="33"/>
        <v>248.9667983910042</v>
      </c>
      <c r="AQ171" s="434"/>
      <c r="AR171" s="520">
        <f t="shared" si="34"/>
        <v>436.02815833080189</v>
      </c>
      <c r="AS171" s="434"/>
      <c r="AT171" s="520">
        <f t="shared" si="35"/>
        <v>0</v>
      </c>
      <c r="AU171" s="434"/>
    </row>
    <row r="172" spans="5:47" x14ac:dyDescent="0.45">
      <c r="E172" s="318">
        <f t="shared" ref="E172" si="57">E126</f>
        <v>2042</v>
      </c>
      <c r="F172" s="520">
        <f t="shared" si="16"/>
        <v>0</v>
      </c>
      <c r="G172" s="434"/>
      <c r="H172" s="520">
        <f t="shared" si="17"/>
        <v>0</v>
      </c>
      <c r="I172" s="434"/>
      <c r="J172" s="520">
        <f t="shared" si="18"/>
        <v>0</v>
      </c>
      <c r="K172" s="434"/>
      <c r="L172" s="520">
        <f t="shared" si="19"/>
        <v>0</v>
      </c>
      <c r="M172" s="434"/>
      <c r="N172" s="520">
        <f t="shared" si="37"/>
        <v>0</v>
      </c>
      <c r="O172" s="434"/>
      <c r="P172" s="520">
        <f t="shared" si="20"/>
        <v>0</v>
      </c>
      <c r="Q172" s="434"/>
      <c r="R172" s="520">
        <f t="shared" si="21"/>
        <v>0</v>
      </c>
      <c r="S172" s="520"/>
      <c r="T172" s="520">
        <f t="shared" si="22"/>
        <v>0</v>
      </c>
      <c r="U172" s="434"/>
      <c r="V172" s="520">
        <f t="shared" si="23"/>
        <v>0</v>
      </c>
      <c r="W172" s="520"/>
      <c r="X172" s="520">
        <f t="shared" si="44"/>
        <v>0</v>
      </c>
      <c r="Y172" s="434"/>
      <c r="Z172" s="520">
        <f t="shared" si="45"/>
        <v>0</v>
      </c>
      <c r="AA172" s="434"/>
      <c r="AB172" s="520">
        <f t="shared" si="46"/>
        <v>0</v>
      </c>
      <c r="AC172" s="434"/>
      <c r="AD172" s="520">
        <f t="shared" si="27"/>
        <v>0</v>
      </c>
      <c r="AE172" s="434"/>
      <c r="AF172" s="520">
        <f t="shared" si="28"/>
        <v>0</v>
      </c>
      <c r="AG172" s="434"/>
      <c r="AH172" s="520">
        <f t="shared" si="29"/>
        <v>0</v>
      </c>
      <c r="AI172" s="434"/>
      <c r="AJ172" s="520">
        <f>AJ171*(1+$V$87)+$AJ$153</f>
        <v>188.08667813979596</v>
      </c>
      <c r="AK172" s="434"/>
      <c r="AL172" s="520">
        <f>AL171*(1+$V$88)+$AL$153</f>
        <v>310.29150518170582</v>
      </c>
      <c r="AM172" s="434"/>
      <c r="AN172" s="520">
        <f>AN171*(1+$V$89)+$AN$153</f>
        <v>0</v>
      </c>
      <c r="AO172" s="434"/>
      <c r="AP172" s="520">
        <f t="shared" si="33"/>
        <v>261.41513831055443</v>
      </c>
      <c r="AQ172" s="434"/>
      <c r="AR172" s="520">
        <f t="shared" si="34"/>
        <v>488.35153733049816</v>
      </c>
      <c r="AS172" s="434"/>
      <c r="AT172" s="520">
        <f t="shared" si="35"/>
        <v>0</v>
      </c>
      <c r="AU172" s="434"/>
    </row>
    <row r="173" spans="5:47" x14ac:dyDescent="0.45">
      <c r="E173" s="318">
        <f t="shared" ref="E173" si="58">E127</f>
        <v>2043</v>
      </c>
      <c r="F173" s="520">
        <f t="shared" si="16"/>
        <v>0</v>
      </c>
      <c r="G173" s="434"/>
      <c r="H173" s="520">
        <f t="shared" si="17"/>
        <v>0</v>
      </c>
      <c r="I173" s="434"/>
      <c r="J173" s="520">
        <f t="shared" si="18"/>
        <v>0</v>
      </c>
      <c r="K173" s="434"/>
      <c r="L173" s="520">
        <f t="shared" si="19"/>
        <v>0</v>
      </c>
      <c r="M173" s="434"/>
      <c r="N173" s="520">
        <f t="shared" si="37"/>
        <v>0</v>
      </c>
      <c r="O173" s="434"/>
      <c r="P173" s="520">
        <f t="shared" si="20"/>
        <v>0</v>
      </c>
      <c r="Q173" s="434"/>
      <c r="R173" s="520">
        <f t="shared" si="21"/>
        <v>0</v>
      </c>
      <c r="S173" s="520"/>
      <c r="T173" s="520">
        <f t="shared" si="22"/>
        <v>0</v>
      </c>
      <c r="U173" s="434"/>
      <c r="V173" s="520">
        <f t="shared" si="23"/>
        <v>0</v>
      </c>
      <c r="W173" s="520"/>
      <c r="X173" s="520">
        <f t="shared" si="44"/>
        <v>0</v>
      </c>
      <c r="Y173" s="434"/>
      <c r="Z173" s="520">
        <f t="shared" si="45"/>
        <v>0</v>
      </c>
      <c r="AA173" s="434"/>
      <c r="AB173" s="520">
        <f t="shared" si="46"/>
        <v>0</v>
      </c>
      <c r="AC173" s="434"/>
      <c r="AD173" s="520">
        <f t="shared" si="27"/>
        <v>0</v>
      </c>
      <c r="AE173" s="434"/>
      <c r="AF173" s="520">
        <f t="shared" si="28"/>
        <v>0</v>
      </c>
      <c r="AG173" s="434"/>
      <c r="AH173" s="520">
        <f t="shared" si="29"/>
        <v>0</v>
      </c>
      <c r="AI173" s="434"/>
      <c r="AJ173" s="520">
        <f>AJ172*(1+$V$87)-$I$87*12*$U$87</f>
        <v>122.53794629796943</v>
      </c>
      <c r="AK173" s="434"/>
      <c r="AL173" s="520">
        <f>AL172*(1+$V$88)-$I$87*12*$U$87</f>
        <v>269.93814601077872</v>
      </c>
      <c r="AM173" s="434"/>
      <c r="AN173" s="520">
        <f>AN172*(1+$V$89)-$I$87*12*$U$89</f>
        <v>0</v>
      </c>
      <c r="AO173" s="434"/>
      <c r="AP173" s="520">
        <f t="shared" si="33"/>
        <v>274.48589522608216</v>
      </c>
      <c r="AQ173" s="434"/>
      <c r="AR173" s="520">
        <f t="shared" si="34"/>
        <v>546.95372181015796</v>
      </c>
      <c r="AS173" s="434"/>
      <c r="AT173" s="520">
        <f t="shared" si="35"/>
        <v>0</v>
      </c>
      <c r="AU173" s="434"/>
    </row>
    <row r="174" spans="5:47" x14ac:dyDescent="0.45">
      <c r="E174" s="318">
        <f t="shared" ref="E174" si="59">E128</f>
        <v>2044</v>
      </c>
      <c r="F174" s="520">
        <f t="shared" si="16"/>
        <v>0</v>
      </c>
      <c r="G174" s="434"/>
      <c r="H174" s="520">
        <f t="shared" si="17"/>
        <v>0</v>
      </c>
      <c r="I174" s="434"/>
      <c r="J174" s="520">
        <f t="shared" si="18"/>
        <v>0</v>
      </c>
      <c r="K174" s="434"/>
      <c r="L174" s="520">
        <f t="shared" si="19"/>
        <v>0</v>
      </c>
      <c r="M174" s="434"/>
      <c r="N174" s="520">
        <f t="shared" si="37"/>
        <v>0</v>
      </c>
      <c r="O174" s="434"/>
      <c r="P174" s="520">
        <f t="shared" si="20"/>
        <v>0</v>
      </c>
      <c r="Q174" s="434"/>
      <c r="R174" s="520">
        <f t="shared" si="21"/>
        <v>0</v>
      </c>
      <c r="S174" s="520"/>
      <c r="T174" s="520">
        <f t="shared" si="22"/>
        <v>0</v>
      </c>
      <c r="U174" s="434"/>
      <c r="V174" s="520">
        <f t="shared" si="23"/>
        <v>0</v>
      </c>
      <c r="W174" s="520"/>
      <c r="X174" s="520">
        <f t="shared" si="44"/>
        <v>0</v>
      </c>
      <c r="Y174" s="434"/>
      <c r="Z174" s="520">
        <f t="shared" si="45"/>
        <v>0</v>
      </c>
      <c r="AA174" s="434"/>
      <c r="AB174" s="520">
        <f t="shared" si="46"/>
        <v>0</v>
      </c>
      <c r="AC174" s="434"/>
      <c r="AD174" s="520">
        <f t="shared" si="27"/>
        <v>0</v>
      </c>
      <c r="AE174" s="434"/>
      <c r="AF174" s="520">
        <f t="shared" si="28"/>
        <v>0</v>
      </c>
      <c r="AG174" s="434"/>
      <c r="AH174" s="520">
        <f t="shared" si="29"/>
        <v>0</v>
      </c>
      <c r="AI174" s="434"/>
      <c r="AJ174" s="520">
        <f>AJ173*(1+$V$87)+$AJ$153</f>
        <v>142.09852565931024</v>
      </c>
      <c r="AK174" s="434"/>
      <c r="AL174" s="520">
        <f>AL173*(1+$V$88)+$AL$153</f>
        <v>316.75889571510811</v>
      </c>
      <c r="AM174" s="434"/>
      <c r="AN174" s="520">
        <f>AN173*(1+$V$89)+$AN$153</f>
        <v>0</v>
      </c>
      <c r="AO174" s="434"/>
      <c r="AP174" s="520">
        <f t="shared" si="33"/>
        <v>288.21018998738629</v>
      </c>
      <c r="AQ174" s="434"/>
      <c r="AR174" s="520">
        <f t="shared" si="34"/>
        <v>612.58816842737701</v>
      </c>
      <c r="AS174" s="434"/>
      <c r="AT174" s="520">
        <f t="shared" si="35"/>
        <v>0</v>
      </c>
      <c r="AU174" s="434"/>
    </row>
    <row r="175" spans="5:47" x14ac:dyDescent="0.45">
      <c r="E175" s="318">
        <f t="shared" ref="E175" si="60">E129</f>
        <v>2045</v>
      </c>
      <c r="F175" s="520">
        <f t="shared" si="16"/>
        <v>0</v>
      </c>
      <c r="G175" s="434"/>
      <c r="H175" s="520">
        <f t="shared" si="17"/>
        <v>0</v>
      </c>
      <c r="I175" s="434"/>
      <c r="J175" s="520">
        <f t="shared" si="18"/>
        <v>0</v>
      </c>
      <c r="K175" s="434"/>
      <c r="L175" s="520">
        <f t="shared" si="19"/>
        <v>0</v>
      </c>
      <c r="M175" s="434"/>
      <c r="N175" s="520">
        <f t="shared" si="37"/>
        <v>0</v>
      </c>
      <c r="O175" s="434"/>
      <c r="P175" s="520">
        <f t="shared" si="20"/>
        <v>0</v>
      </c>
      <c r="Q175" s="434"/>
      <c r="R175" s="520">
        <f t="shared" si="21"/>
        <v>0</v>
      </c>
      <c r="S175" s="520"/>
      <c r="T175" s="520">
        <f t="shared" si="22"/>
        <v>0</v>
      </c>
      <c r="U175" s="434"/>
      <c r="V175" s="520">
        <f t="shared" si="23"/>
        <v>0</v>
      </c>
      <c r="W175" s="520"/>
      <c r="X175" s="520">
        <f t="shared" si="44"/>
        <v>0</v>
      </c>
      <c r="Y175" s="434"/>
      <c r="Z175" s="520">
        <f t="shared" si="45"/>
        <v>0</v>
      </c>
      <c r="AA175" s="434"/>
      <c r="AB175" s="520">
        <f t="shared" si="46"/>
        <v>0</v>
      </c>
      <c r="AC175" s="434"/>
      <c r="AD175" s="520">
        <f t="shared" si="27"/>
        <v>0</v>
      </c>
      <c r="AE175" s="434"/>
      <c r="AF175" s="520">
        <f t="shared" si="28"/>
        <v>0</v>
      </c>
      <c r="AG175" s="434"/>
      <c r="AH175" s="520">
        <f t="shared" si="29"/>
        <v>0</v>
      </c>
      <c r="AI175" s="434"/>
      <c r="AJ175" s="520">
        <f>AJ174*(1+$V$87)-$I$87*12*$U$87</f>
        <v>70.571333995020552</v>
      </c>
      <c r="AK175" s="434"/>
      <c r="AL175" s="520">
        <f>AL174*(1+$V$88)-$I$87*12*$U$87</f>
        <v>277.44031902952537</v>
      </c>
      <c r="AM175" s="434"/>
      <c r="AN175" s="520">
        <f>AN174*(1+$V$89)-$I$87*12*$U$89</f>
        <v>0</v>
      </c>
      <c r="AO175" s="434"/>
      <c r="AP175" s="520">
        <f t="shared" si="33"/>
        <v>302.6206994867556</v>
      </c>
      <c r="AQ175" s="434"/>
      <c r="AR175" s="520">
        <f t="shared" si="34"/>
        <v>686.0987486386623</v>
      </c>
      <c r="AS175" s="434"/>
      <c r="AT175" s="520">
        <f t="shared" si="35"/>
        <v>0</v>
      </c>
      <c r="AU175" s="434"/>
    </row>
    <row r="176" spans="5:47" x14ac:dyDescent="0.45">
      <c r="E176" s="318">
        <f t="shared" ref="E176" si="61">E130</f>
        <v>2046</v>
      </c>
      <c r="F176" s="520">
        <f t="shared" si="16"/>
        <v>0</v>
      </c>
      <c r="G176" s="434"/>
      <c r="H176" s="520">
        <f t="shared" si="17"/>
        <v>0</v>
      </c>
      <c r="I176" s="434"/>
      <c r="J176" s="520">
        <f t="shared" si="18"/>
        <v>0</v>
      </c>
      <c r="K176" s="434"/>
      <c r="L176" s="520">
        <f t="shared" si="19"/>
        <v>0</v>
      </c>
      <c r="M176" s="434"/>
      <c r="N176" s="520">
        <f t="shared" si="37"/>
        <v>0</v>
      </c>
      <c r="O176" s="434"/>
      <c r="P176" s="520">
        <f t="shared" si="20"/>
        <v>0</v>
      </c>
      <c r="Q176" s="434"/>
      <c r="R176" s="520">
        <f t="shared" si="21"/>
        <v>0</v>
      </c>
      <c r="S176" s="520"/>
      <c r="T176" s="520">
        <f t="shared" si="22"/>
        <v>0</v>
      </c>
      <c r="U176" s="434"/>
      <c r="V176" s="520">
        <f t="shared" si="23"/>
        <v>0</v>
      </c>
      <c r="W176" s="520"/>
      <c r="X176" s="520">
        <f t="shared" si="44"/>
        <v>0</v>
      </c>
      <c r="Y176" s="434"/>
      <c r="Z176" s="520">
        <f t="shared" si="45"/>
        <v>0</v>
      </c>
      <c r="AA176" s="434"/>
      <c r="AB176" s="520">
        <f t="shared" si="46"/>
        <v>0</v>
      </c>
      <c r="AC176" s="434"/>
      <c r="AD176" s="520">
        <f t="shared" si="27"/>
        <v>0</v>
      </c>
      <c r="AE176" s="434"/>
      <c r="AF176" s="520">
        <f t="shared" si="28"/>
        <v>0</v>
      </c>
      <c r="AG176" s="434"/>
      <c r="AH176" s="520">
        <f t="shared" si="29"/>
        <v>0</v>
      </c>
      <c r="AI176" s="434"/>
      <c r="AJ176" s="520">
        <f>AJ175*(1+$V$87)+$AJ$153</f>
        <v>83.376253756978002</v>
      </c>
      <c r="AK176" s="434"/>
      <c r="AL176" s="520">
        <f>AL175*(1+$V$88)+$AL$153</f>
        <v>325.46141641685421</v>
      </c>
      <c r="AM176" s="434"/>
      <c r="AN176" s="520">
        <f>AN175*(1+$V$89)+$AN$153</f>
        <v>0</v>
      </c>
      <c r="AO176" s="434"/>
      <c r="AP176" s="520">
        <f t="shared" si="33"/>
        <v>317.75173446109341</v>
      </c>
      <c r="AQ176" s="434"/>
      <c r="AR176" s="520">
        <f t="shared" si="34"/>
        <v>768.43059847530185</v>
      </c>
      <c r="AS176" s="434"/>
      <c r="AT176" s="520">
        <f t="shared" si="35"/>
        <v>0</v>
      </c>
      <c r="AU176" s="434"/>
    </row>
    <row r="177" spans="5:50" x14ac:dyDescent="0.45">
      <c r="E177" s="318">
        <f t="shared" ref="E177" si="62">E131</f>
        <v>2047</v>
      </c>
      <c r="F177" s="520">
        <f t="shared" si="16"/>
        <v>0</v>
      </c>
      <c r="G177" s="434"/>
      <c r="H177" s="520">
        <f t="shared" si="17"/>
        <v>0</v>
      </c>
      <c r="I177" s="434"/>
      <c r="J177" s="520">
        <f t="shared" si="18"/>
        <v>0</v>
      </c>
      <c r="K177" s="434"/>
      <c r="L177" s="520">
        <f t="shared" si="19"/>
        <v>0</v>
      </c>
      <c r="M177" s="434"/>
      <c r="N177" s="520">
        <f t="shared" si="37"/>
        <v>0</v>
      </c>
      <c r="O177" s="434"/>
      <c r="P177" s="520">
        <f t="shared" si="20"/>
        <v>0</v>
      </c>
      <c r="Q177" s="434"/>
      <c r="R177" s="520">
        <f t="shared" si="21"/>
        <v>0</v>
      </c>
      <c r="S177" s="520"/>
      <c r="T177" s="520">
        <f t="shared" si="22"/>
        <v>0</v>
      </c>
      <c r="U177" s="434"/>
      <c r="V177" s="520">
        <f t="shared" si="23"/>
        <v>0</v>
      </c>
      <c r="W177" s="520"/>
      <c r="X177" s="520">
        <f t="shared" si="44"/>
        <v>0</v>
      </c>
      <c r="Y177" s="434"/>
      <c r="Z177" s="520">
        <f t="shared" si="45"/>
        <v>0</v>
      </c>
      <c r="AA177" s="434"/>
      <c r="AB177" s="520">
        <f t="shared" si="46"/>
        <v>0</v>
      </c>
      <c r="AC177" s="434"/>
      <c r="AD177" s="520">
        <f t="shared" si="27"/>
        <v>0</v>
      </c>
      <c r="AE177" s="434"/>
      <c r="AF177" s="520">
        <f t="shared" si="28"/>
        <v>0</v>
      </c>
      <c r="AG177" s="434"/>
      <c r="AH177" s="520">
        <f t="shared" si="29"/>
        <v>0</v>
      </c>
      <c r="AI177" s="434"/>
      <c r="AJ177" s="520">
        <f>AJ176*(1+$V$87)-$I$87*12*$U$87</f>
        <v>4.2151667453851331</v>
      </c>
      <c r="AK177" s="434"/>
      <c r="AL177" s="520">
        <f>AL176*(1+$V$88)-$I$87*12*$U$87</f>
        <v>287.53524304355085</v>
      </c>
      <c r="AM177" s="434"/>
      <c r="AN177" s="520">
        <f>AN176*(1+$V$89)-$I$87*12*$U$89</f>
        <v>0</v>
      </c>
      <c r="AO177" s="434"/>
      <c r="AP177" s="520">
        <f t="shared" si="33"/>
        <v>333.63932118414812</v>
      </c>
      <c r="AQ177" s="434"/>
      <c r="AR177" s="520">
        <f t="shared" si="34"/>
        <v>860.64227029233814</v>
      </c>
      <c r="AS177" s="434"/>
      <c r="AT177" s="520">
        <f t="shared" si="35"/>
        <v>0</v>
      </c>
      <c r="AU177" s="434"/>
    </row>
    <row r="178" spans="5:50" x14ac:dyDescent="0.45">
      <c r="E178" s="318">
        <f t="shared" ref="E178" si="63">E132</f>
        <v>2048</v>
      </c>
      <c r="F178" s="520">
        <f t="shared" si="16"/>
        <v>0</v>
      </c>
      <c r="G178" s="434"/>
      <c r="H178" s="520">
        <f t="shared" si="17"/>
        <v>0</v>
      </c>
      <c r="I178" s="434"/>
      <c r="J178" s="520">
        <f t="shared" si="18"/>
        <v>0</v>
      </c>
      <c r="K178" s="434"/>
      <c r="L178" s="520">
        <f t="shared" si="19"/>
        <v>0</v>
      </c>
      <c r="M178" s="434"/>
      <c r="N178" s="520">
        <f t="shared" si="37"/>
        <v>0</v>
      </c>
      <c r="O178" s="434"/>
      <c r="P178" s="520">
        <f t="shared" si="20"/>
        <v>0</v>
      </c>
      <c r="Q178" s="434"/>
      <c r="R178" s="520">
        <f t="shared" si="21"/>
        <v>0</v>
      </c>
      <c r="S178" s="520"/>
      <c r="T178" s="520">
        <f t="shared" si="22"/>
        <v>0</v>
      </c>
      <c r="U178" s="434"/>
      <c r="V178" s="520">
        <f t="shared" si="23"/>
        <v>0</v>
      </c>
      <c r="W178" s="520"/>
      <c r="X178" s="520">
        <f t="shared" si="44"/>
        <v>0</v>
      </c>
      <c r="Y178" s="434"/>
      <c r="Z178" s="520">
        <f t="shared" si="45"/>
        <v>0</v>
      </c>
      <c r="AA178" s="434"/>
      <c r="AB178" s="520">
        <f t="shared" si="46"/>
        <v>0</v>
      </c>
      <c r="AC178" s="434"/>
      <c r="AD178" s="520">
        <f t="shared" si="27"/>
        <v>0</v>
      </c>
      <c r="AE178" s="434"/>
      <c r="AF178" s="520">
        <f t="shared" si="28"/>
        <v>0</v>
      </c>
      <c r="AG178" s="434"/>
      <c r="AH178" s="520">
        <f t="shared" si="29"/>
        <v>0</v>
      </c>
      <c r="AI178" s="434"/>
      <c r="AJ178" s="520">
        <f>AJ177*(1+$V$87)+$AJ$153</f>
        <v>8.3937847648899933</v>
      </c>
      <c r="AK178" s="434"/>
      <c r="AL178" s="520">
        <f>AL177*(1+$V$88)+$AL$153</f>
        <v>337.17152827312373</v>
      </c>
      <c r="AM178" s="434"/>
      <c r="AN178" s="520">
        <f>AN177*(1+$V$89)+$AN$153</f>
        <v>0</v>
      </c>
      <c r="AO178" s="434"/>
      <c r="AP178" s="520">
        <f t="shared" si="33"/>
        <v>350.32128724335553</v>
      </c>
      <c r="AQ178" s="434"/>
      <c r="AR178" s="520">
        <f t="shared" si="34"/>
        <v>963.91934272741878</v>
      </c>
      <c r="AS178" s="434"/>
      <c r="AT178" s="520">
        <f t="shared" si="35"/>
        <v>0</v>
      </c>
      <c r="AU178" s="434"/>
    </row>
    <row r="179" spans="5:50" x14ac:dyDescent="0.45">
      <c r="E179" s="318">
        <f t="shared" ref="E179" si="64">E133</f>
        <v>2049</v>
      </c>
      <c r="F179" s="520">
        <f t="shared" si="16"/>
        <v>0</v>
      </c>
      <c r="G179" s="434"/>
      <c r="H179" s="520">
        <f t="shared" si="17"/>
        <v>0</v>
      </c>
      <c r="I179" s="434"/>
      <c r="J179" s="520">
        <f t="shared" si="18"/>
        <v>0</v>
      </c>
      <c r="K179" s="434"/>
      <c r="L179" s="520">
        <f t="shared" si="19"/>
        <v>0</v>
      </c>
      <c r="M179" s="434"/>
      <c r="N179" s="520">
        <f t="shared" si="37"/>
        <v>0</v>
      </c>
      <c r="O179" s="434"/>
      <c r="P179" s="520">
        <f t="shared" si="20"/>
        <v>0</v>
      </c>
      <c r="Q179" s="434"/>
      <c r="R179" s="520">
        <f t="shared" si="21"/>
        <v>0</v>
      </c>
      <c r="S179" s="520"/>
      <c r="T179" s="520">
        <f t="shared" si="22"/>
        <v>0</v>
      </c>
      <c r="U179" s="434"/>
      <c r="V179" s="520">
        <f t="shared" si="23"/>
        <v>0</v>
      </c>
      <c r="W179" s="520"/>
      <c r="X179" s="520">
        <f t="shared" si="44"/>
        <v>0</v>
      </c>
      <c r="Y179" s="434"/>
      <c r="Z179" s="520">
        <f t="shared" si="45"/>
        <v>0</v>
      </c>
      <c r="AA179" s="434"/>
      <c r="AB179" s="520">
        <f t="shared" si="46"/>
        <v>0</v>
      </c>
      <c r="AC179" s="434"/>
      <c r="AD179" s="520">
        <f t="shared" si="27"/>
        <v>0</v>
      </c>
      <c r="AE179" s="434"/>
      <c r="AF179" s="520">
        <f t="shared" si="28"/>
        <v>0</v>
      </c>
      <c r="AG179" s="434"/>
      <c r="AH179" s="520">
        <f t="shared" si="29"/>
        <v>0</v>
      </c>
      <c r="AI179" s="434"/>
      <c r="AJ179" s="520">
        <f>AJ178*(1+$V$87)-$I$87*12*$U$87</f>
        <v>-80.515023215674304</v>
      </c>
      <c r="AK179" s="434"/>
      <c r="AL179" s="520">
        <f>AL178*(1+$V$88)-$I$87*12*$U$87</f>
        <v>301.11897279682347</v>
      </c>
      <c r="AM179" s="434"/>
      <c r="AN179" s="520">
        <f>AN178*(1+$V$89)-$I$87*12*$U$89</f>
        <v>0</v>
      </c>
      <c r="AO179" s="434"/>
      <c r="AP179" s="520">
        <f t="shared" si="33"/>
        <v>367.83735160552334</v>
      </c>
      <c r="AQ179" s="434"/>
      <c r="AR179" s="520">
        <f t="shared" si="34"/>
        <v>1079.5896638547092</v>
      </c>
      <c r="AS179" s="434"/>
      <c r="AT179" s="520">
        <f t="shared" si="35"/>
        <v>0</v>
      </c>
      <c r="AU179" s="434"/>
    </row>
    <row r="180" spans="5:50" x14ac:dyDescent="0.45">
      <c r="E180" s="318">
        <f t="shared" ref="E180" si="65">E134</f>
        <v>2050</v>
      </c>
      <c r="F180" s="520">
        <f t="shared" si="16"/>
        <v>0</v>
      </c>
      <c r="G180" s="434"/>
      <c r="H180" s="520">
        <f t="shared" si="17"/>
        <v>0</v>
      </c>
      <c r="I180" s="434"/>
      <c r="J180" s="520">
        <f t="shared" si="18"/>
        <v>0</v>
      </c>
      <c r="K180" s="434"/>
      <c r="L180" s="520">
        <f t="shared" si="19"/>
        <v>0</v>
      </c>
      <c r="M180" s="434"/>
      <c r="N180" s="520">
        <f t="shared" si="37"/>
        <v>0</v>
      </c>
      <c r="O180" s="434"/>
      <c r="P180" s="520">
        <f t="shared" si="20"/>
        <v>0</v>
      </c>
      <c r="Q180" s="434"/>
      <c r="R180" s="520">
        <f t="shared" si="21"/>
        <v>0</v>
      </c>
      <c r="S180" s="520"/>
      <c r="T180" s="520">
        <f t="shared" si="22"/>
        <v>0</v>
      </c>
      <c r="U180" s="434"/>
      <c r="V180" s="520">
        <f t="shared" si="23"/>
        <v>0</v>
      </c>
      <c r="W180" s="520"/>
      <c r="X180" s="520">
        <f t="shared" si="44"/>
        <v>0</v>
      </c>
      <c r="Y180" s="434"/>
      <c r="Z180" s="520">
        <f t="shared" si="45"/>
        <v>0</v>
      </c>
      <c r="AA180" s="434"/>
      <c r="AB180" s="520">
        <f t="shared" si="46"/>
        <v>0</v>
      </c>
      <c r="AC180" s="434"/>
      <c r="AD180" s="520">
        <f t="shared" si="27"/>
        <v>0</v>
      </c>
      <c r="AE180" s="434"/>
      <c r="AF180" s="520">
        <f t="shared" si="28"/>
        <v>0</v>
      </c>
      <c r="AG180" s="434"/>
      <c r="AH180" s="520">
        <f t="shared" si="29"/>
        <v>0</v>
      </c>
      <c r="AI180" s="434"/>
      <c r="AJ180" s="520">
        <f>AJ179*(1+$V$87)+$AJ$153</f>
        <v>-87.35132989110717</v>
      </c>
      <c r="AK180" s="434"/>
      <c r="AL180" s="520">
        <f>AL179*(1+$V$88)+$AL$153</f>
        <v>352.92865478691999</v>
      </c>
      <c r="AM180" s="434"/>
      <c r="AN180" s="520">
        <f>AN179*(1+$V$89)+$AN$153</f>
        <v>0</v>
      </c>
      <c r="AO180" s="434"/>
      <c r="AP180" s="520">
        <f t="shared" si="33"/>
        <v>386.22921918579954</v>
      </c>
      <c r="AQ180" s="434"/>
      <c r="AR180" s="520">
        <f t="shared" si="34"/>
        <v>1209.1404235172745</v>
      </c>
      <c r="AS180" s="434"/>
      <c r="AT180" s="520">
        <f t="shared" si="35"/>
        <v>0</v>
      </c>
      <c r="AU180" s="434"/>
    </row>
    <row r="181" spans="5:50" x14ac:dyDescent="0.45">
      <c r="E181" s="318">
        <f t="shared" ref="E181" si="66">E135</f>
        <v>2051</v>
      </c>
      <c r="F181" s="520">
        <f t="shared" si="16"/>
        <v>0</v>
      </c>
      <c r="G181" s="434"/>
      <c r="H181" s="520">
        <f t="shared" si="17"/>
        <v>0</v>
      </c>
      <c r="I181" s="434"/>
      <c r="J181" s="520">
        <f t="shared" si="18"/>
        <v>0</v>
      </c>
      <c r="K181" s="434"/>
      <c r="L181" s="520">
        <f t="shared" si="19"/>
        <v>0</v>
      </c>
      <c r="M181" s="434"/>
      <c r="N181" s="520">
        <f t="shared" si="37"/>
        <v>0</v>
      </c>
      <c r="O181" s="434"/>
      <c r="P181" s="520">
        <f t="shared" si="20"/>
        <v>0</v>
      </c>
      <c r="Q181" s="434"/>
      <c r="R181" s="520">
        <f t="shared" si="21"/>
        <v>0</v>
      </c>
      <c r="S181" s="520"/>
      <c r="T181" s="520">
        <f t="shared" si="22"/>
        <v>0</v>
      </c>
      <c r="U181" s="434"/>
      <c r="V181" s="520">
        <f t="shared" si="23"/>
        <v>0</v>
      </c>
      <c r="W181" s="520"/>
      <c r="X181" s="520">
        <f t="shared" si="44"/>
        <v>0</v>
      </c>
      <c r="Y181" s="434"/>
      <c r="Z181" s="520">
        <f t="shared" si="45"/>
        <v>0</v>
      </c>
      <c r="AA181" s="434"/>
      <c r="AB181" s="520">
        <f t="shared" si="46"/>
        <v>0</v>
      </c>
      <c r="AC181" s="434"/>
      <c r="AD181" s="520">
        <f t="shared" si="27"/>
        <v>0</v>
      </c>
      <c r="AE181" s="434"/>
      <c r="AF181" s="520">
        <f t="shared" si="28"/>
        <v>0</v>
      </c>
      <c r="AG181" s="434"/>
      <c r="AH181" s="520">
        <f t="shared" si="29"/>
        <v>0</v>
      </c>
      <c r="AI181" s="434"/>
      <c r="AJ181" s="520">
        <f>AJ180*(1+$V$87)-$I$87*12*$U$87</f>
        <v>-188.70700277695107</v>
      </c>
      <c r="AK181" s="434"/>
      <c r="AL181" s="520">
        <f>AL180*(1+$V$88)-$I$87*12*$U$87</f>
        <v>319.39723955282716</v>
      </c>
      <c r="AM181" s="434"/>
      <c r="AN181" s="520">
        <f>AN180*(1+$V$89)-$I$87*12*$U$89</f>
        <v>0</v>
      </c>
      <c r="AO181" s="434"/>
      <c r="AP181" s="520">
        <f t="shared" si="33"/>
        <v>405.54068014508954</v>
      </c>
      <c r="AQ181" s="434"/>
      <c r="AR181" s="520">
        <f t="shared" si="34"/>
        <v>1354.2372743393476</v>
      </c>
      <c r="AS181" s="434"/>
      <c r="AT181" s="520">
        <f t="shared" si="35"/>
        <v>0</v>
      </c>
      <c r="AU181" s="434"/>
    </row>
    <row r="182" spans="5:50" x14ac:dyDescent="0.45">
      <c r="E182" s="318">
        <f t="shared" ref="E182" si="67">E136</f>
        <v>2052</v>
      </c>
      <c r="F182" s="520">
        <f t="shared" si="16"/>
        <v>0</v>
      </c>
      <c r="G182" s="434"/>
      <c r="H182" s="520">
        <f t="shared" si="17"/>
        <v>0</v>
      </c>
      <c r="I182" s="434"/>
      <c r="J182" s="520">
        <f t="shared" si="18"/>
        <v>0</v>
      </c>
      <c r="K182" s="434"/>
      <c r="L182" s="520">
        <f t="shared" si="19"/>
        <v>0</v>
      </c>
      <c r="M182" s="434"/>
      <c r="N182" s="520">
        <f t="shared" si="37"/>
        <v>0</v>
      </c>
      <c r="O182" s="434"/>
      <c r="P182" s="520">
        <f t="shared" si="20"/>
        <v>0</v>
      </c>
      <c r="Q182" s="434"/>
      <c r="R182" s="520">
        <f t="shared" si="21"/>
        <v>0</v>
      </c>
      <c r="S182" s="520"/>
      <c r="T182" s="520">
        <f t="shared" si="22"/>
        <v>0</v>
      </c>
      <c r="U182" s="434"/>
      <c r="V182" s="520">
        <f t="shared" si="23"/>
        <v>0</v>
      </c>
      <c r="W182" s="520"/>
      <c r="X182" s="520">
        <f t="shared" si="44"/>
        <v>0</v>
      </c>
      <c r="Y182" s="434"/>
      <c r="Z182" s="520">
        <f t="shared" si="45"/>
        <v>0</v>
      </c>
      <c r="AA182" s="434"/>
      <c r="AB182" s="520">
        <f t="shared" si="46"/>
        <v>0</v>
      </c>
      <c r="AC182" s="434"/>
      <c r="AD182" s="520">
        <f t="shared" si="27"/>
        <v>0</v>
      </c>
      <c r="AE182" s="434"/>
      <c r="AF182" s="520">
        <f t="shared" si="28"/>
        <v>0</v>
      </c>
      <c r="AG182" s="434"/>
      <c r="AH182" s="520">
        <f t="shared" si="29"/>
        <v>0</v>
      </c>
      <c r="AI182" s="434"/>
      <c r="AJ182" s="520">
        <f>AJ181*(1+$V$87)+$AJ$153</f>
        <v>-209.60826679534989</v>
      </c>
      <c r="AK182" s="434"/>
      <c r="AL182" s="520">
        <f>AL181*(1+$V$88)+$AL$153</f>
        <v>374.13144422388427</v>
      </c>
      <c r="AM182" s="434"/>
      <c r="AN182" s="520">
        <f>AN181*(1+$V$89)+$AN$153</f>
        <v>0</v>
      </c>
      <c r="AO182" s="434"/>
      <c r="AP182" s="520">
        <f t="shared" si="33"/>
        <v>425.81771415234402</v>
      </c>
      <c r="AQ182" s="434"/>
      <c r="AR182" s="520">
        <f t="shared" si="34"/>
        <v>1516.7457472600695</v>
      </c>
      <c r="AS182" s="434"/>
      <c r="AT182" s="520">
        <f t="shared" si="35"/>
        <v>0</v>
      </c>
      <c r="AU182" s="434"/>
    </row>
    <row r="183" spans="5:50" x14ac:dyDescent="0.45">
      <c r="E183" s="301"/>
      <c r="F183" s="301"/>
      <c r="G183" s="305"/>
      <c r="H183" s="305"/>
      <c r="I183" s="305"/>
      <c r="J183" s="305"/>
      <c r="K183" s="305"/>
      <c r="L183" s="305"/>
      <c r="M183" s="305"/>
      <c r="N183" s="305"/>
      <c r="O183" s="305"/>
      <c r="P183" s="305"/>
      <c r="Q183" s="305"/>
      <c r="R183" s="305"/>
      <c r="S183" s="305"/>
      <c r="T183" s="305"/>
      <c r="U183" s="305"/>
      <c r="V183" s="305"/>
      <c r="W183" s="305"/>
      <c r="X183" s="305"/>
      <c r="Y183" s="305"/>
      <c r="Z183" s="301"/>
      <c r="AA183" s="301"/>
      <c r="AB183" s="301"/>
      <c r="AC183" s="301"/>
      <c r="AD183" s="301"/>
      <c r="AE183" s="301"/>
      <c r="AF183" s="301"/>
      <c r="AG183" s="301"/>
      <c r="AH183" s="301"/>
      <c r="AI183" s="301"/>
      <c r="AJ183" s="301"/>
      <c r="AK183" s="301"/>
      <c r="AL183" s="301"/>
      <c r="AM183" s="301"/>
      <c r="AN183" s="301"/>
      <c r="AO183" s="301"/>
      <c r="AP183" s="301"/>
      <c r="AQ183" s="301"/>
      <c r="AR183" s="301"/>
      <c r="AS183" s="301"/>
      <c r="AT183" s="301"/>
      <c r="AU183" s="301"/>
      <c r="AV183" s="301"/>
      <c r="AW183" s="301"/>
      <c r="AX183" s="301"/>
    </row>
    <row r="184" spans="5:50" ht="16.899999999999999" x14ac:dyDescent="0.45">
      <c r="E184" s="306" t="s">
        <v>89</v>
      </c>
      <c r="F184" s="307"/>
      <c r="G184" s="307"/>
      <c r="H184" s="307"/>
      <c r="I184" s="301"/>
      <c r="J184" s="301"/>
      <c r="K184" s="301"/>
      <c r="L184" s="301"/>
      <c r="M184" s="301"/>
      <c r="N184" s="301"/>
      <c r="O184" s="301"/>
      <c r="P184" s="301"/>
      <c r="Q184" s="301"/>
      <c r="R184" s="301"/>
      <c r="S184" s="301"/>
      <c r="T184" s="301"/>
      <c r="U184" s="301"/>
      <c r="V184" s="301"/>
      <c r="W184" s="301"/>
      <c r="X184" s="301"/>
      <c r="Y184" s="301"/>
      <c r="Z184" s="301"/>
      <c r="AA184" s="301"/>
      <c r="AB184" s="301"/>
      <c r="AC184" s="301"/>
      <c r="AD184" s="301"/>
      <c r="AE184" s="301"/>
      <c r="AF184" s="301"/>
      <c r="AG184" s="301"/>
      <c r="AH184" s="301"/>
      <c r="AI184" s="301"/>
      <c r="AJ184" s="301"/>
      <c r="AK184" s="301"/>
      <c r="AL184" s="301"/>
      <c r="AM184" s="301"/>
      <c r="AN184" s="301"/>
      <c r="AO184" s="301"/>
      <c r="AP184" s="301"/>
      <c r="AQ184" s="301"/>
      <c r="AR184" s="301"/>
      <c r="AS184" s="301"/>
      <c r="AT184" s="301"/>
      <c r="AU184" s="301"/>
      <c r="AV184" s="301"/>
      <c r="AW184" s="301"/>
      <c r="AX184" s="301"/>
    </row>
    <row r="185" spans="5:50" x14ac:dyDescent="0.45">
      <c r="E185" s="318" t="str">
        <f>E151</f>
        <v>Năm</v>
      </c>
      <c r="F185" s="434" t="str">
        <f>'Từ khóa'!W12</f>
        <v>ETF - ETFVFM</v>
      </c>
      <c r="G185" s="434"/>
      <c r="H185" s="434" t="str">
        <f>'Từ khóa'!W13</f>
        <v>ETF - ETFFINLEAD</v>
      </c>
      <c r="I185" s="434"/>
      <c r="J185" s="434" t="str">
        <f>'Từ khóa'!W14</f>
        <v>DCBC</v>
      </c>
      <c r="K185" s="434"/>
      <c r="L185" s="434" t="str">
        <f>'Từ khóa'!W15</f>
        <v>DCDS</v>
      </c>
      <c r="M185" s="434"/>
      <c r="N185" s="434" t="str">
        <f>'Từ khóa'!W16</f>
        <v>DCBF</v>
      </c>
      <c r="O185" s="434"/>
      <c r="P185" s="434" t="str">
        <f>'Từ khóa'!W17</f>
        <v>Trái phiếu Techcombank</v>
      </c>
      <c r="Q185" s="434"/>
      <c r="R185" s="434" t="str">
        <f>'Từ khóa'!W18</f>
        <v>Trái phiếu FE Credit</v>
      </c>
      <c r="S185" s="434"/>
      <c r="T185" s="434" t="str">
        <f>'Từ khóa'!W19</f>
        <v>Finhay</v>
      </c>
      <c r="U185" s="434"/>
      <c r="V185" s="434" t="str">
        <f>'Từ khóa'!W20</f>
        <v>Bảo hiểm thuần túy</v>
      </c>
      <c r="W185" s="434"/>
      <c r="X185" s="434" t="str">
        <f>'Từ khóa'!W21</f>
        <v>BH liên kết đầu tư</v>
      </c>
      <c r="Y185" s="434"/>
      <c r="Z185" s="434" t="str">
        <f>'Từ khóa'!W22</f>
        <v>Tiền gửi ngân hàng</v>
      </c>
      <c r="AA185" s="434"/>
      <c r="AB185" s="434" t="str">
        <f>'Từ khóa'!W23</f>
        <v>Cổ phiếu riêng lẻ</v>
      </c>
      <c r="AC185" s="434"/>
      <c r="AD185" s="434" t="str">
        <f>'Từ khóa'!W24</f>
        <v>Sản phẩm 1</v>
      </c>
      <c r="AE185" s="434"/>
      <c r="AF185" s="434" t="str">
        <f>'Từ khóa'!W25</f>
        <v>Sản phẩm 2</v>
      </c>
      <c r="AG185" s="434"/>
      <c r="AH185" s="434" t="str">
        <f>'Từ khóa'!W26</f>
        <v>Sản phẩm 3</v>
      </c>
      <c r="AI185" s="434"/>
      <c r="AJ185" s="434" t="s">
        <v>99</v>
      </c>
      <c r="AK185" s="434"/>
      <c r="AL185" s="301"/>
      <c r="AM185" s="301"/>
      <c r="AN185" s="301"/>
      <c r="AO185" s="301"/>
      <c r="AP185" s="301"/>
      <c r="AQ185" s="301"/>
      <c r="AR185" s="301"/>
      <c r="AS185" s="301"/>
      <c r="AT185" s="301"/>
      <c r="AU185" s="301"/>
      <c r="AV185" s="301"/>
      <c r="AW185" s="301"/>
      <c r="AX185" s="301"/>
    </row>
    <row r="186" spans="5:50" x14ac:dyDescent="0.45">
      <c r="E186" s="318">
        <f>E153</f>
        <v>2023</v>
      </c>
      <c r="F186" s="438">
        <f>SUMIF($F$152:$AU$152,$F$185,F153:AU153)</f>
        <v>3.6306463426047935</v>
      </c>
      <c r="G186" s="438"/>
      <c r="H186" s="438">
        <f>SUMIF($F$152:$AU$152,$H$185,F153:AU153)</f>
        <v>2.1013019114292741</v>
      </c>
      <c r="I186" s="438"/>
      <c r="J186" s="438">
        <f>SUMIF($F$152:$AU$152,$J$185,F153:AU153)</f>
        <v>38.437452811727105</v>
      </c>
      <c r="K186" s="438"/>
      <c r="L186" s="438">
        <f>SUMIF($F$152:$AU$152,$L$185,F153:AU153)</f>
        <v>0</v>
      </c>
      <c r="M186" s="438"/>
      <c r="N186" s="438">
        <f>SUMIF($F$152:$AU$152,$N$185,F153:AU153)</f>
        <v>0</v>
      </c>
      <c r="O186" s="438"/>
      <c r="P186" s="438">
        <f>SUMIF($F$152:$AU$152,$P$185,F153:AU153)</f>
        <v>23.376008569428752</v>
      </c>
      <c r="Q186" s="438"/>
      <c r="R186" s="438">
        <f>SUMIF($F$152:$AU$152,$R$185,F153:AU153)</f>
        <v>41.363845786871295</v>
      </c>
      <c r="S186" s="438"/>
      <c r="T186" s="438">
        <f>SUMIF($F$152:$AU$152,$T$185,F153:AU153)</f>
        <v>0</v>
      </c>
      <c r="U186" s="438"/>
      <c r="V186" s="438">
        <f>SUMIF($F$152:$AU$152,$V$185,F153:AU153)</f>
        <v>0</v>
      </c>
      <c r="W186" s="438"/>
      <c r="X186" s="438">
        <f>SUMIF($F$152:$AU$152,$X$185,F153:AU153)</f>
        <v>15.945706662353341</v>
      </c>
      <c r="Y186" s="438"/>
      <c r="Z186" s="438">
        <f>SUMIF($F$152:$AU$152,$Z$185,F153:AU153)</f>
        <v>62.562807227797819</v>
      </c>
      <c r="AA186" s="438"/>
      <c r="AB186" s="438">
        <f>SUMIF($F$152:$AU$152,$AB$185,F153:AU153)</f>
        <v>0</v>
      </c>
      <c r="AC186" s="438"/>
      <c r="AD186" s="438">
        <f>SUMIF($F$152:$AU$152,$AD$185,F153:AU153)</f>
        <v>0</v>
      </c>
      <c r="AE186" s="438"/>
      <c r="AF186" s="438">
        <f>SUMIF($F$152:$AU$152,$AF$185,F153:AU153)</f>
        <v>0</v>
      </c>
      <c r="AG186" s="438"/>
      <c r="AH186" s="438">
        <f>SUMIF($F$152:$AU$152,$AH$185,F153:AU153)</f>
        <v>0</v>
      </c>
      <c r="AI186" s="438"/>
      <c r="AJ186" s="438">
        <f>SUM(F186:AI186)</f>
        <v>187.41776931221239</v>
      </c>
      <c r="AK186" s="438"/>
      <c r="AL186" s="301"/>
      <c r="AM186" s="301"/>
      <c r="AN186" s="301"/>
      <c r="AO186" s="301"/>
      <c r="AP186" s="301"/>
      <c r="AQ186" s="301"/>
      <c r="AR186" s="301"/>
      <c r="AS186" s="301"/>
      <c r="AT186" s="301"/>
      <c r="AU186" s="301"/>
      <c r="AV186" s="301"/>
      <c r="AW186" s="301"/>
      <c r="AX186" s="301"/>
    </row>
    <row r="187" spans="5:50" x14ac:dyDescent="0.45">
      <c r="E187" s="318">
        <f>E186+1</f>
        <v>2024</v>
      </c>
      <c r="F187" s="438">
        <f t="shared" ref="F187:F200" si="68">SUMIF($F$152:$AU$152,$F$185,F154:AU154)</f>
        <v>7.7332767097482105</v>
      </c>
      <c r="G187" s="438"/>
      <c r="H187" s="438">
        <f t="shared" ref="H187:H200" si="69">SUMIF($F$152:$AU$152,$H$185,F154:AU154)</f>
        <v>10.301514465258292</v>
      </c>
      <c r="I187" s="438"/>
      <c r="J187" s="438">
        <f t="shared" ref="J187:J200" si="70">SUMIF($F$152:$AU$152,$J$185,F154:AU154)</f>
        <v>7.8421961000263529</v>
      </c>
      <c r="K187" s="438"/>
      <c r="L187" s="438">
        <f t="shared" ref="L187:L200" si="71">SUMIF($F$152:$AU$152,$L$185,F154:AU154)</f>
        <v>0</v>
      </c>
      <c r="M187" s="438"/>
      <c r="N187" s="438">
        <f t="shared" ref="N187:N200" si="72">SUMIF($F$152:$AU$152,$N$185,F154:AU154)</f>
        <v>0</v>
      </c>
      <c r="O187" s="438"/>
      <c r="P187" s="438">
        <f t="shared" ref="P187:P200" si="73">SUMIF($F$152:$AU$152,$P$185,F154:AU154)</f>
        <v>58.846023631456447</v>
      </c>
      <c r="Q187" s="438"/>
      <c r="R187" s="438">
        <f t="shared" ref="R187:R200" si="74">SUMIF($F$152:$AU$152,$R$185,F154:AU154)</f>
        <v>0</v>
      </c>
      <c r="S187" s="438"/>
      <c r="T187" s="438">
        <f t="shared" ref="T187:T200" si="75">SUMIF($F$152:$AU$152,$T$185,F154:AU154)</f>
        <v>0</v>
      </c>
      <c r="U187" s="438"/>
      <c r="V187" s="438">
        <f t="shared" ref="V187:V200" si="76">SUMIF($F$152:$AU$152,$V$185,F154:AU154)</f>
        <v>0</v>
      </c>
      <c r="W187" s="438"/>
      <c r="X187" s="438">
        <f t="shared" ref="X187:X200" si="77">SUMIF($F$152:$AU$152,$X$185,F154:AU154)</f>
        <v>17.859191461835746</v>
      </c>
      <c r="Y187" s="438"/>
      <c r="Z187" s="438">
        <f t="shared" ref="Z187:Z200" si="78">SUMIF($F$152:$AU$152,$Z$185,F154:AU154)</f>
        <v>31.367974528669606</v>
      </c>
      <c r="AA187" s="438"/>
      <c r="AB187" s="438">
        <f t="shared" ref="AB187:AB200" si="79">SUMIF($F$152:$AU$152,$AB$185,F154:AU154)</f>
        <v>0</v>
      </c>
      <c r="AC187" s="438"/>
      <c r="AD187" s="438">
        <f t="shared" ref="AD187:AD200" si="80">SUMIF($F$152:$AU$152,$AD$185,F154:AU154)</f>
        <v>0</v>
      </c>
      <c r="AE187" s="438"/>
      <c r="AF187" s="438">
        <f t="shared" ref="AF187:AF200" si="81">SUMIF($F$152:$AU$152,$AF$185,F154:AU154)</f>
        <v>0</v>
      </c>
      <c r="AG187" s="438"/>
      <c r="AH187" s="438">
        <f t="shared" ref="AH187:AH200" si="82">SUMIF($F$152:$AU$152,$AH$185,F154:AU154)</f>
        <v>0</v>
      </c>
      <c r="AI187" s="438"/>
      <c r="AJ187" s="438">
        <f>SUM(F187:AI187)</f>
        <v>133.95017689699466</v>
      </c>
      <c r="AK187" s="438"/>
      <c r="AL187" s="301"/>
      <c r="AM187" s="301"/>
      <c r="AN187" s="301"/>
      <c r="AO187" s="301"/>
      <c r="AP187" s="301"/>
      <c r="AQ187" s="301"/>
      <c r="AR187" s="301"/>
      <c r="AS187" s="301"/>
      <c r="AT187" s="301"/>
      <c r="AU187" s="301"/>
      <c r="AV187" s="301"/>
      <c r="AW187" s="301"/>
      <c r="AX187" s="301"/>
    </row>
    <row r="188" spans="5:50" x14ac:dyDescent="0.45">
      <c r="E188" s="318">
        <f t="shared" ref="E188:E203" si="83">E187+1</f>
        <v>2025</v>
      </c>
      <c r="F188" s="438">
        <f t="shared" si="68"/>
        <v>12.36924902462027</v>
      </c>
      <c r="G188" s="438"/>
      <c r="H188" s="438">
        <f t="shared" si="69"/>
        <v>19.731758902161658</v>
      </c>
      <c r="I188" s="438"/>
      <c r="J188" s="438">
        <f t="shared" si="70"/>
        <v>47.534400287757677</v>
      </c>
      <c r="K188" s="438"/>
      <c r="L188" s="438">
        <f t="shared" si="71"/>
        <v>0</v>
      </c>
      <c r="M188" s="438"/>
      <c r="N188" s="438">
        <f t="shared" si="72"/>
        <v>0</v>
      </c>
      <c r="O188" s="438"/>
      <c r="P188" s="438">
        <f t="shared" si="73"/>
        <v>98.040390274997037</v>
      </c>
      <c r="Q188" s="438"/>
      <c r="R188" s="438">
        <f t="shared" si="74"/>
        <v>0</v>
      </c>
      <c r="S188" s="438"/>
      <c r="T188" s="438">
        <f t="shared" si="75"/>
        <v>0</v>
      </c>
      <c r="U188" s="438"/>
      <c r="V188" s="438">
        <f t="shared" si="76"/>
        <v>0</v>
      </c>
      <c r="W188" s="438"/>
      <c r="X188" s="438">
        <f t="shared" si="77"/>
        <v>20.002294437256037</v>
      </c>
      <c r="Y188" s="438"/>
      <c r="Z188" s="438">
        <f t="shared" si="78"/>
        <v>42.045438270799835</v>
      </c>
      <c r="AA188" s="438"/>
      <c r="AB188" s="438">
        <f t="shared" si="79"/>
        <v>0</v>
      </c>
      <c r="AC188" s="438"/>
      <c r="AD188" s="438">
        <f t="shared" si="80"/>
        <v>0</v>
      </c>
      <c r="AE188" s="438"/>
      <c r="AF188" s="438">
        <f t="shared" si="81"/>
        <v>0</v>
      </c>
      <c r="AG188" s="438"/>
      <c r="AH188" s="438">
        <f t="shared" si="82"/>
        <v>0</v>
      </c>
      <c r="AI188" s="438"/>
      <c r="AJ188" s="438">
        <f t="shared" ref="AJ188:AJ215" si="84">SUM(F188:AI188)</f>
        <v>239.72353119759254</v>
      </c>
      <c r="AK188" s="438"/>
      <c r="AL188" s="301"/>
      <c r="AM188" s="301"/>
      <c r="AN188" s="301"/>
      <c r="AO188" s="301"/>
      <c r="AP188" s="301"/>
      <c r="AQ188" s="301"/>
      <c r="AR188" s="301"/>
      <c r="AS188" s="301"/>
      <c r="AT188" s="301"/>
      <c r="AU188" s="301"/>
      <c r="AV188" s="301"/>
      <c r="AW188" s="301"/>
      <c r="AX188" s="301"/>
    </row>
    <row r="189" spans="5:50" x14ac:dyDescent="0.45">
      <c r="E189" s="318">
        <f t="shared" si="83"/>
        <v>2026</v>
      </c>
      <c r="F189" s="438">
        <f t="shared" si="68"/>
        <v>17.607897740425699</v>
      </c>
      <c r="G189" s="438"/>
      <c r="H189" s="438">
        <f t="shared" si="69"/>
        <v>30.576540004600535</v>
      </c>
      <c r="I189" s="438"/>
      <c r="J189" s="438">
        <f t="shared" si="70"/>
        <v>93.577357145526008</v>
      </c>
      <c r="K189" s="438"/>
      <c r="L189" s="438">
        <f t="shared" si="71"/>
        <v>0</v>
      </c>
      <c r="M189" s="438"/>
      <c r="N189" s="438">
        <f t="shared" si="72"/>
        <v>0</v>
      </c>
      <c r="O189" s="438"/>
      <c r="P189" s="438">
        <f t="shared" si="73"/>
        <v>141.35016541610941</v>
      </c>
      <c r="Q189" s="438"/>
      <c r="R189" s="438">
        <f t="shared" si="74"/>
        <v>0</v>
      </c>
      <c r="S189" s="438"/>
      <c r="T189" s="438">
        <f t="shared" si="75"/>
        <v>0</v>
      </c>
      <c r="U189" s="438"/>
      <c r="V189" s="438">
        <f t="shared" si="76"/>
        <v>0</v>
      </c>
      <c r="W189" s="438"/>
      <c r="X189" s="438">
        <f t="shared" si="77"/>
        <v>22.402569769726764</v>
      </c>
      <c r="Y189" s="438"/>
      <c r="Z189" s="438">
        <f t="shared" si="78"/>
        <v>53.256775200036586</v>
      </c>
      <c r="AA189" s="438"/>
      <c r="AB189" s="438">
        <f t="shared" si="79"/>
        <v>0</v>
      </c>
      <c r="AC189" s="438"/>
      <c r="AD189" s="438">
        <f t="shared" si="80"/>
        <v>0</v>
      </c>
      <c r="AE189" s="438"/>
      <c r="AF189" s="438">
        <f t="shared" si="81"/>
        <v>0</v>
      </c>
      <c r="AG189" s="438"/>
      <c r="AH189" s="438">
        <f t="shared" si="82"/>
        <v>0</v>
      </c>
      <c r="AI189" s="438"/>
      <c r="AJ189" s="438">
        <f t="shared" si="84"/>
        <v>358.77130527642504</v>
      </c>
      <c r="AK189" s="438"/>
      <c r="AL189" s="301"/>
      <c r="AM189" s="301"/>
      <c r="AN189" s="301"/>
      <c r="AO189" s="301"/>
      <c r="AP189" s="301"/>
      <c r="AQ189" s="301"/>
      <c r="AR189" s="301"/>
      <c r="AS189" s="301"/>
      <c r="AT189" s="301"/>
      <c r="AU189" s="301"/>
      <c r="AV189" s="301"/>
      <c r="AW189" s="301"/>
      <c r="AX189" s="301"/>
    </row>
    <row r="190" spans="5:50" x14ac:dyDescent="0.45">
      <c r="E190" s="318">
        <f t="shared" si="83"/>
        <v>2027</v>
      </c>
      <c r="F190" s="438">
        <f t="shared" si="68"/>
        <v>23.527570789285832</v>
      </c>
      <c r="G190" s="438"/>
      <c r="H190" s="438">
        <f t="shared" si="69"/>
        <v>28.880259664195343</v>
      </c>
      <c r="I190" s="438"/>
      <c r="J190" s="438">
        <f t="shared" si="70"/>
        <v>146.98718710053728</v>
      </c>
      <c r="K190" s="438"/>
      <c r="L190" s="438">
        <f t="shared" si="71"/>
        <v>0</v>
      </c>
      <c r="M190" s="438"/>
      <c r="N190" s="438">
        <f t="shared" si="72"/>
        <v>0</v>
      </c>
      <c r="O190" s="438"/>
      <c r="P190" s="438">
        <f t="shared" si="73"/>
        <v>45.067265529162555</v>
      </c>
      <c r="Q190" s="438"/>
      <c r="R190" s="438">
        <f t="shared" si="74"/>
        <v>0</v>
      </c>
      <c r="S190" s="438"/>
      <c r="T190" s="438">
        <f t="shared" si="75"/>
        <v>0</v>
      </c>
      <c r="U190" s="438"/>
      <c r="V190" s="438">
        <f t="shared" si="76"/>
        <v>0</v>
      </c>
      <c r="W190" s="438"/>
      <c r="X190" s="438">
        <f t="shared" si="77"/>
        <v>25.090878142093977</v>
      </c>
      <c r="Y190" s="438"/>
      <c r="Z190" s="438">
        <f t="shared" si="78"/>
        <v>36.001130207039353</v>
      </c>
      <c r="AA190" s="438"/>
      <c r="AB190" s="438">
        <f t="shared" si="79"/>
        <v>0</v>
      </c>
      <c r="AC190" s="438"/>
      <c r="AD190" s="438">
        <f t="shared" si="80"/>
        <v>0</v>
      </c>
      <c r="AE190" s="438"/>
      <c r="AF190" s="438">
        <f t="shared" si="81"/>
        <v>0</v>
      </c>
      <c r="AG190" s="438"/>
      <c r="AH190" s="438">
        <f t="shared" si="82"/>
        <v>0</v>
      </c>
      <c r="AI190" s="438"/>
      <c r="AJ190" s="438">
        <f t="shared" si="84"/>
        <v>305.55429143231436</v>
      </c>
      <c r="AK190" s="438"/>
      <c r="AL190" s="301"/>
      <c r="AM190" s="301"/>
      <c r="AN190" s="301"/>
      <c r="AO190" s="301"/>
      <c r="AP190" s="301"/>
      <c r="AQ190" s="301"/>
      <c r="AR190" s="301"/>
      <c r="AS190" s="301"/>
      <c r="AT190" s="301"/>
      <c r="AU190" s="301"/>
      <c r="AV190" s="301"/>
      <c r="AW190" s="301"/>
      <c r="AX190" s="301"/>
    </row>
    <row r="191" spans="5:50" x14ac:dyDescent="0.45">
      <c r="E191" s="318">
        <f t="shared" si="83"/>
        <v>2028</v>
      </c>
      <c r="F191" s="438">
        <f t="shared" si="68"/>
        <v>30.216801334497781</v>
      </c>
      <c r="G191" s="438"/>
      <c r="H191" s="438">
        <f t="shared" si="69"/>
        <v>38.996013969509995</v>
      </c>
      <c r="I191" s="438"/>
      <c r="J191" s="438">
        <f t="shared" si="70"/>
        <v>208.94258984835034</v>
      </c>
      <c r="K191" s="438"/>
      <c r="L191" s="438">
        <f t="shared" si="71"/>
        <v>0</v>
      </c>
      <c r="M191" s="438"/>
      <c r="N191" s="438">
        <f t="shared" si="72"/>
        <v>0</v>
      </c>
      <c r="O191" s="438"/>
      <c r="P191" s="438">
        <f t="shared" si="73"/>
        <v>59.438854002533546</v>
      </c>
      <c r="Q191" s="438"/>
      <c r="R191" s="438">
        <f t="shared" si="74"/>
        <v>41.363845786871295</v>
      </c>
      <c r="S191" s="438"/>
      <c r="T191" s="438">
        <f t="shared" si="75"/>
        <v>0</v>
      </c>
      <c r="U191" s="438"/>
      <c r="V191" s="438">
        <f t="shared" si="76"/>
        <v>0</v>
      </c>
      <c r="W191" s="438"/>
      <c r="X191" s="438">
        <f t="shared" si="77"/>
        <v>28.101783519145258</v>
      </c>
      <c r="Y191" s="438"/>
      <c r="Z191" s="438">
        <f t="shared" si="78"/>
        <v>83.02084274138619</v>
      </c>
      <c r="AA191" s="438"/>
      <c r="AB191" s="438">
        <f t="shared" si="79"/>
        <v>0</v>
      </c>
      <c r="AC191" s="438"/>
      <c r="AD191" s="438">
        <f t="shared" si="80"/>
        <v>0</v>
      </c>
      <c r="AE191" s="438"/>
      <c r="AF191" s="438">
        <f t="shared" si="81"/>
        <v>0</v>
      </c>
      <c r="AG191" s="438"/>
      <c r="AH191" s="438">
        <f t="shared" si="82"/>
        <v>0</v>
      </c>
      <c r="AI191" s="438"/>
      <c r="AJ191" s="438">
        <f t="shared" si="84"/>
        <v>490.08073120229449</v>
      </c>
      <c r="AK191" s="438"/>
      <c r="AL191" s="301"/>
      <c r="AM191" s="301"/>
      <c r="AN191" s="301"/>
      <c r="AO191" s="301"/>
      <c r="AP191" s="301"/>
      <c r="AQ191" s="301"/>
      <c r="AR191" s="301"/>
      <c r="AS191" s="301"/>
      <c r="AT191" s="301"/>
      <c r="AU191" s="301"/>
      <c r="AV191" s="301"/>
      <c r="AW191" s="301"/>
      <c r="AX191" s="301"/>
    </row>
    <row r="192" spans="5:50" x14ac:dyDescent="0.45">
      <c r="E192" s="318">
        <f t="shared" si="83"/>
        <v>2029</v>
      </c>
      <c r="F192" s="438">
        <f t="shared" si="68"/>
        <v>37.775631850587281</v>
      </c>
      <c r="G192" s="438"/>
      <c r="H192" s="438">
        <f t="shared" si="69"/>
        <v>50.629131420621846</v>
      </c>
      <c r="I192" s="438"/>
      <c r="J192" s="438">
        <f t="shared" si="70"/>
        <v>280.81085703581346</v>
      </c>
      <c r="K192" s="438"/>
      <c r="L192" s="438">
        <f t="shared" si="71"/>
        <v>0</v>
      </c>
      <c r="M192" s="438"/>
      <c r="N192" s="438">
        <f t="shared" si="72"/>
        <v>0</v>
      </c>
      <c r="O192" s="438"/>
      <c r="P192" s="438">
        <f t="shared" si="73"/>
        <v>75.319459265608486</v>
      </c>
      <c r="Q192" s="438"/>
      <c r="R192" s="438">
        <f t="shared" si="74"/>
        <v>86.864076152429732</v>
      </c>
      <c r="S192" s="438"/>
      <c r="T192" s="438">
        <f t="shared" si="75"/>
        <v>0</v>
      </c>
      <c r="U192" s="438"/>
      <c r="V192" s="438">
        <f t="shared" si="76"/>
        <v>0</v>
      </c>
      <c r="W192" s="438"/>
      <c r="X192" s="438">
        <f t="shared" si="77"/>
        <v>31.473997541442692</v>
      </c>
      <c r="Y192" s="438"/>
      <c r="Z192" s="438">
        <f t="shared" si="78"/>
        <v>132.39154090245034</v>
      </c>
      <c r="AA192" s="438"/>
      <c r="AB192" s="438">
        <f t="shared" si="79"/>
        <v>0</v>
      </c>
      <c r="AC192" s="438"/>
      <c r="AD192" s="438">
        <f t="shared" si="80"/>
        <v>0</v>
      </c>
      <c r="AE192" s="438"/>
      <c r="AF192" s="438">
        <f t="shared" si="81"/>
        <v>0</v>
      </c>
      <c r="AG192" s="438"/>
      <c r="AH192" s="438">
        <f t="shared" si="82"/>
        <v>0</v>
      </c>
      <c r="AI192" s="438"/>
      <c r="AJ192" s="438">
        <f t="shared" si="84"/>
        <v>695.26469416895384</v>
      </c>
      <c r="AK192" s="438"/>
      <c r="AL192" s="301"/>
      <c r="AM192" s="301"/>
      <c r="AN192" s="301"/>
      <c r="AO192" s="301"/>
      <c r="AP192" s="301"/>
      <c r="AQ192" s="301"/>
      <c r="AR192" s="301"/>
      <c r="AS192" s="301"/>
      <c r="AT192" s="301"/>
      <c r="AU192" s="301"/>
      <c r="AV192" s="301"/>
      <c r="AW192" s="301"/>
      <c r="AX192" s="301"/>
    </row>
    <row r="193" spans="5:50" x14ac:dyDescent="0.45">
      <c r="E193" s="318">
        <f t="shared" si="83"/>
        <v>2030</v>
      </c>
      <c r="F193" s="438">
        <f t="shared" si="68"/>
        <v>46.317110333768412</v>
      </c>
      <c r="G193" s="438"/>
      <c r="H193" s="438">
        <f t="shared" si="69"/>
        <v>64.007216489400463</v>
      </c>
      <c r="I193" s="438"/>
      <c r="J193" s="438">
        <f t="shared" si="70"/>
        <v>364.17804697327074</v>
      </c>
      <c r="K193" s="438"/>
      <c r="L193" s="438">
        <f t="shared" si="71"/>
        <v>0</v>
      </c>
      <c r="M193" s="438"/>
      <c r="N193" s="438">
        <f t="shared" si="72"/>
        <v>0</v>
      </c>
      <c r="O193" s="438"/>
      <c r="P193" s="438">
        <f t="shared" si="73"/>
        <v>92.867528081306304</v>
      </c>
      <c r="Q193" s="438"/>
      <c r="R193" s="438">
        <f t="shared" si="74"/>
        <v>136.914329554544</v>
      </c>
      <c r="S193" s="438"/>
      <c r="T193" s="438">
        <f t="shared" si="75"/>
        <v>0</v>
      </c>
      <c r="U193" s="438"/>
      <c r="V193" s="438">
        <f t="shared" si="76"/>
        <v>0</v>
      </c>
      <c r="W193" s="438"/>
      <c r="X193" s="438">
        <f t="shared" si="77"/>
        <v>35.250877246415818</v>
      </c>
      <c r="Y193" s="438"/>
      <c r="Z193" s="438">
        <f t="shared" si="78"/>
        <v>184.23077397156771</v>
      </c>
      <c r="AA193" s="438"/>
      <c r="AB193" s="438">
        <f t="shared" si="79"/>
        <v>0</v>
      </c>
      <c r="AC193" s="438"/>
      <c r="AD193" s="438">
        <f t="shared" si="80"/>
        <v>0</v>
      </c>
      <c r="AE193" s="438"/>
      <c r="AF193" s="438">
        <f t="shared" si="81"/>
        <v>0</v>
      </c>
      <c r="AG193" s="438"/>
      <c r="AH193" s="438">
        <f t="shared" si="82"/>
        <v>0</v>
      </c>
      <c r="AI193" s="438"/>
      <c r="AJ193" s="438">
        <f t="shared" si="84"/>
        <v>923.7658826502734</v>
      </c>
      <c r="AK193" s="438"/>
      <c r="AL193" s="301"/>
      <c r="AM193" s="301"/>
      <c r="AN193" s="301"/>
      <c r="AO193" s="301"/>
      <c r="AP193" s="301"/>
      <c r="AQ193" s="301"/>
      <c r="AR193" s="301"/>
      <c r="AS193" s="301"/>
      <c r="AT193" s="301"/>
      <c r="AU193" s="301"/>
      <c r="AV193" s="301"/>
      <c r="AW193" s="301"/>
      <c r="AX193" s="301"/>
    </row>
    <row r="194" spans="5:50" x14ac:dyDescent="0.45">
      <c r="E194" s="318">
        <f t="shared" si="83"/>
        <v>2031</v>
      </c>
      <c r="F194" s="438">
        <f t="shared" si="68"/>
        <v>55.968981019763092</v>
      </c>
      <c r="G194" s="438"/>
      <c r="H194" s="438">
        <f t="shared" si="69"/>
        <v>0</v>
      </c>
      <c r="I194" s="438"/>
      <c r="J194" s="438">
        <f t="shared" si="70"/>
        <v>460.88398730072112</v>
      </c>
      <c r="K194" s="438"/>
      <c r="L194" s="438">
        <f t="shared" si="71"/>
        <v>0</v>
      </c>
      <c r="M194" s="438"/>
      <c r="N194" s="438">
        <f t="shared" si="72"/>
        <v>0</v>
      </c>
      <c r="O194" s="438"/>
      <c r="P194" s="438">
        <f t="shared" si="73"/>
        <v>0</v>
      </c>
      <c r="Q194" s="438"/>
      <c r="R194" s="438">
        <f t="shared" si="74"/>
        <v>191.96960829686969</v>
      </c>
      <c r="S194" s="438"/>
      <c r="T194" s="438">
        <f t="shared" si="75"/>
        <v>0</v>
      </c>
      <c r="U194" s="438"/>
      <c r="V194" s="438">
        <f t="shared" si="76"/>
        <v>0</v>
      </c>
      <c r="W194" s="438"/>
      <c r="X194" s="438">
        <f t="shared" si="77"/>
        <v>55.426689178339061</v>
      </c>
      <c r="Y194" s="438"/>
      <c r="Z194" s="438">
        <f t="shared" si="78"/>
        <v>217.78812359784945</v>
      </c>
      <c r="AA194" s="438"/>
      <c r="AB194" s="438">
        <f t="shared" si="79"/>
        <v>0</v>
      </c>
      <c r="AC194" s="438"/>
      <c r="AD194" s="438">
        <f t="shared" si="80"/>
        <v>0</v>
      </c>
      <c r="AE194" s="438"/>
      <c r="AF194" s="438">
        <f t="shared" si="81"/>
        <v>0</v>
      </c>
      <c r="AG194" s="438"/>
      <c r="AH194" s="438">
        <f t="shared" si="82"/>
        <v>0</v>
      </c>
      <c r="AI194" s="438"/>
      <c r="AJ194" s="438">
        <f t="shared" si="84"/>
        <v>982.03738939354241</v>
      </c>
      <c r="AK194" s="438"/>
      <c r="AL194" s="301"/>
      <c r="AM194" s="301"/>
      <c r="AN194" s="301"/>
      <c r="AO194" s="301"/>
      <c r="AP194" s="301"/>
      <c r="AQ194" s="301"/>
      <c r="AR194" s="301"/>
      <c r="AS194" s="301"/>
      <c r="AT194" s="301"/>
      <c r="AU194" s="301"/>
      <c r="AV194" s="301"/>
      <c r="AW194" s="301"/>
      <c r="AX194" s="301"/>
    </row>
    <row r="195" spans="5:50" x14ac:dyDescent="0.45">
      <c r="E195" s="318">
        <f t="shared" si="83"/>
        <v>2032</v>
      </c>
      <c r="F195" s="438">
        <f t="shared" si="68"/>
        <v>66.87559489493708</v>
      </c>
      <c r="G195" s="438"/>
      <c r="H195" s="438">
        <f t="shared" si="69"/>
        <v>0</v>
      </c>
      <c r="I195" s="438"/>
      <c r="J195" s="438">
        <f t="shared" si="70"/>
        <v>573.06287808056356</v>
      </c>
      <c r="K195" s="438"/>
      <c r="L195" s="438">
        <f t="shared" si="71"/>
        <v>0</v>
      </c>
      <c r="M195" s="438"/>
      <c r="N195" s="438">
        <f t="shared" si="72"/>
        <v>0</v>
      </c>
      <c r="O195" s="438"/>
      <c r="P195" s="438">
        <f t="shared" si="73"/>
        <v>0</v>
      </c>
      <c r="Q195" s="438"/>
      <c r="R195" s="438">
        <f t="shared" si="74"/>
        <v>252.53041491342799</v>
      </c>
      <c r="S195" s="438"/>
      <c r="T195" s="438">
        <f t="shared" si="75"/>
        <v>0</v>
      </c>
      <c r="U195" s="438"/>
      <c r="V195" s="438">
        <f t="shared" si="76"/>
        <v>0</v>
      </c>
      <c r="W195" s="438"/>
      <c r="X195" s="438">
        <f t="shared" si="77"/>
        <v>78.023598542093097</v>
      </c>
      <c r="Y195" s="438"/>
      <c r="Z195" s="438">
        <f t="shared" si="78"/>
        <v>285.98708222696655</v>
      </c>
      <c r="AA195" s="438"/>
      <c r="AB195" s="438">
        <f t="shared" si="79"/>
        <v>0</v>
      </c>
      <c r="AC195" s="438"/>
      <c r="AD195" s="438">
        <f t="shared" si="80"/>
        <v>0</v>
      </c>
      <c r="AE195" s="438"/>
      <c r="AF195" s="438">
        <f t="shared" si="81"/>
        <v>0</v>
      </c>
      <c r="AG195" s="438"/>
      <c r="AH195" s="438">
        <f t="shared" si="82"/>
        <v>0</v>
      </c>
      <c r="AI195" s="438"/>
      <c r="AJ195" s="438">
        <f t="shared" si="84"/>
        <v>1256.4795686579882</v>
      </c>
      <c r="AK195" s="438"/>
      <c r="AL195" s="301"/>
      <c r="AM195" s="301"/>
      <c r="AN195" s="301"/>
      <c r="AO195" s="301"/>
      <c r="AP195" s="301"/>
      <c r="AQ195" s="301"/>
      <c r="AR195" s="301"/>
      <c r="AS195" s="301"/>
      <c r="AT195" s="301"/>
      <c r="AU195" s="301"/>
      <c r="AV195" s="301"/>
      <c r="AW195" s="301"/>
      <c r="AX195" s="301"/>
    </row>
    <row r="196" spans="5:50" x14ac:dyDescent="0.45">
      <c r="E196" s="318">
        <f t="shared" si="83"/>
        <v>2033</v>
      </c>
      <c r="F196" s="438">
        <f t="shared" si="68"/>
        <v>79.200068573883684</v>
      </c>
      <c r="G196" s="438"/>
      <c r="H196" s="438">
        <f t="shared" si="69"/>
        <v>0</v>
      </c>
      <c r="I196" s="438"/>
      <c r="J196" s="438">
        <f t="shared" si="70"/>
        <v>703.19039138518076</v>
      </c>
      <c r="K196" s="438"/>
      <c r="L196" s="438">
        <f t="shared" si="71"/>
        <v>0</v>
      </c>
      <c r="M196" s="438"/>
      <c r="N196" s="438">
        <f t="shared" si="72"/>
        <v>0</v>
      </c>
      <c r="O196" s="438"/>
      <c r="P196" s="438">
        <f t="shared" si="73"/>
        <v>0</v>
      </c>
      <c r="Q196" s="438"/>
      <c r="R196" s="438">
        <f t="shared" si="74"/>
        <v>0</v>
      </c>
      <c r="S196" s="438"/>
      <c r="T196" s="438">
        <f t="shared" si="75"/>
        <v>0</v>
      </c>
      <c r="U196" s="438"/>
      <c r="V196" s="438">
        <f t="shared" si="76"/>
        <v>0</v>
      </c>
      <c r="W196" s="438"/>
      <c r="X196" s="438">
        <f t="shared" si="77"/>
        <v>103.33213702949762</v>
      </c>
      <c r="Y196" s="438"/>
      <c r="Z196" s="438">
        <f t="shared" si="78"/>
        <v>76.242716155545523</v>
      </c>
      <c r="AA196" s="438"/>
      <c r="AB196" s="438">
        <f t="shared" si="79"/>
        <v>0</v>
      </c>
      <c r="AC196" s="438"/>
      <c r="AD196" s="438">
        <f t="shared" si="80"/>
        <v>0</v>
      </c>
      <c r="AE196" s="438"/>
      <c r="AF196" s="438">
        <f t="shared" si="81"/>
        <v>0</v>
      </c>
      <c r="AG196" s="438"/>
      <c r="AH196" s="438">
        <f t="shared" si="82"/>
        <v>0</v>
      </c>
      <c r="AI196" s="438"/>
      <c r="AJ196" s="438">
        <f t="shared" si="84"/>
        <v>961.96531314410754</v>
      </c>
      <c r="AK196" s="438"/>
      <c r="AL196" s="301"/>
      <c r="AM196" s="301"/>
      <c r="AN196" s="301"/>
      <c r="AO196" s="301"/>
      <c r="AP196" s="301"/>
      <c r="AQ196" s="301"/>
      <c r="AR196" s="301"/>
      <c r="AS196" s="301"/>
      <c r="AT196" s="301"/>
      <c r="AU196" s="301"/>
      <c r="AV196" s="301"/>
      <c r="AW196" s="301"/>
      <c r="AX196" s="301"/>
    </row>
    <row r="197" spans="5:50" x14ac:dyDescent="0.45">
      <c r="E197" s="318">
        <f t="shared" si="83"/>
        <v>2034</v>
      </c>
      <c r="F197" s="438">
        <f t="shared" si="68"/>
        <v>93.126723831093344</v>
      </c>
      <c r="G197" s="438"/>
      <c r="H197" s="438">
        <f t="shared" si="69"/>
        <v>0</v>
      </c>
      <c r="I197" s="438"/>
      <c r="J197" s="438">
        <f t="shared" si="70"/>
        <v>854.13830681853676</v>
      </c>
      <c r="K197" s="438"/>
      <c r="L197" s="438">
        <f t="shared" si="71"/>
        <v>0</v>
      </c>
      <c r="M197" s="438"/>
      <c r="N197" s="438">
        <f t="shared" si="72"/>
        <v>0</v>
      </c>
      <c r="O197" s="438"/>
      <c r="P197" s="438">
        <f t="shared" si="73"/>
        <v>0</v>
      </c>
      <c r="Q197" s="438"/>
      <c r="R197" s="438">
        <f t="shared" si="74"/>
        <v>0</v>
      </c>
      <c r="S197" s="438"/>
      <c r="T197" s="438">
        <f t="shared" si="75"/>
        <v>0</v>
      </c>
      <c r="U197" s="438"/>
      <c r="V197" s="438">
        <f t="shared" si="76"/>
        <v>0</v>
      </c>
      <c r="W197" s="438"/>
      <c r="X197" s="438">
        <f t="shared" si="77"/>
        <v>131.67770013539067</v>
      </c>
      <c r="Y197" s="438"/>
      <c r="Z197" s="438">
        <f t="shared" si="78"/>
        <v>96.000558625676149</v>
      </c>
      <c r="AA197" s="438"/>
      <c r="AB197" s="438">
        <f t="shared" si="79"/>
        <v>0</v>
      </c>
      <c r="AC197" s="438"/>
      <c r="AD197" s="438">
        <f t="shared" si="80"/>
        <v>0</v>
      </c>
      <c r="AE197" s="438"/>
      <c r="AF197" s="438">
        <f t="shared" si="81"/>
        <v>0</v>
      </c>
      <c r="AG197" s="438"/>
      <c r="AH197" s="438">
        <f t="shared" si="82"/>
        <v>0</v>
      </c>
      <c r="AI197" s="438"/>
      <c r="AJ197" s="438">
        <f t="shared" si="84"/>
        <v>1174.9432894106969</v>
      </c>
      <c r="AK197" s="438"/>
      <c r="AL197" s="301"/>
      <c r="AM197" s="301"/>
      <c r="AN197" s="301"/>
      <c r="AO197" s="301"/>
      <c r="AP197" s="301"/>
      <c r="AQ197" s="301"/>
      <c r="AR197" s="301"/>
      <c r="AS197" s="301"/>
      <c r="AT197" s="301"/>
      <c r="AU197" s="301"/>
      <c r="AV197" s="301"/>
      <c r="AW197" s="301"/>
      <c r="AX197" s="301"/>
    </row>
    <row r="198" spans="5:50" x14ac:dyDescent="0.45">
      <c r="E198" s="318">
        <f t="shared" si="83"/>
        <v>2035</v>
      </c>
      <c r="F198" s="438">
        <f t="shared" si="68"/>
        <v>108.86384427174026</v>
      </c>
      <c r="G198" s="438"/>
      <c r="H198" s="438">
        <f t="shared" si="69"/>
        <v>0</v>
      </c>
      <c r="I198" s="438"/>
      <c r="J198" s="438">
        <f t="shared" si="70"/>
        <v>1029.2378887212296</v>
      </c>
      <c r="K198" s="438"/>
      <c r="L198" s="438">
        <f t="shared" si="71"/>
        <v>0</v>
      </c>
      <c r="M198" s="438"/>
      <c r="N198" s="438">
        <f t="shared" si="72"/>
        <v>0</v>
      </c>
      <c r="O198" s="438"/>
      <c r="P198" s="438">
        <f t="shared" si="73"/>
        <v>0</v>
      </c>
      <c r="Q198" s="438"/>
      <c r="R198" s="438">
        <f t="shared" si="74"/>
        <v>0</v>
      </c>
      <c r="S198" s="438"/>
      <c r="T198" s="438">
        <f t="shared" si="75"/>
        <v>0</v>
      </c>
      <c r="U198" s="438"/>
      <c r="V198" s="438">
        <f t="shared" si="76"/>
        <v>0</v>
      </c>
      <c r="W198" s="438"/>
      <c r="X198" s="438">
        <f t="shared" si="77"/>
        <v>163.42473081399089</v>
      </c>
      <c r="Y198" s="438"/>
      <c r="Z198" s="438">
        <f t="shared" si="78"/>
        <v>116.7462932193133</v>
      </c>
      <c r="AA198" s="438"/>
      <c r="AB198" s="438">
        <f t="shared" si="79"/>
        <v>0</v>
      </c>
      <c r="AC198" s="438"/>
      <c r="AD198" s="438">
        <f t="shared" si="80"/>
        <v>0</v>
      </c>
      <c r="AE198" s="438"/>
      <c r="AF198" s="438">
        <f t="shared" si="81"/>
        <v>0</v>
      </c>
      <c r="AG198" s="438"/>
      <c r="AH198" s="438">
        <f t="shared" si="82"/>
        <v>0</v>
      </c>
      <c r="AI198" s="438"/>
      <c r="AJ198" s="438">
        <f t="shared" si="84"/>
        <v>1418.2727570262739</v>
      </c>
      <c r="AK198" s="438"/>
      <c r="AL198" s="301"/>
      <c r="AM198" s="301"/>
      <c r="AN198" s="301"/>
      <c r="AO198" s="301"/>
      <c r="AP198" s="301"/>
      <c r="AQ198" s="301"/>
      <c r="AR198" s="301"/>
      <c r="AS198" s="301"/>
      <c r="AT198" s="301"/>
      <c r="AU198" s="301"/>
      <c r="AV198" s="301"/>
      <c r="AW198" s="301"/>
      <c r="AX198" s="301"/>
    </row>
    <row r="199" spans="5:50" x14ac:dyDescent="0.45">
      <c r="E199" s="318">
        <f t="shared" si="83"/>
        <v>2036</v>
      </c>
      <c r="F199" s="438">
        <f t="shared" si="68"/>
        <v>126.64679036967128</v>
      </c>
      <c r="G199" s="438"/>
      <c r="H199" s="438">
        <f t="shared" si="69"/>
        <v>0</v>
      </c>
      <c r="I199" s="438"/>
      <c r="J199" s="438">
        <f t="shared" si="70"/>
        <v>1232.3534037283537</v>
      </c>
      <c r="K199" s="438"/>
      <c r="L199" s="438">
        <f t="shared" si="71"/>
        <v>0</v>
      </c>
      <c r="M199" s="438"/>
      <c r="N199" s="438">
        <f t="shared" si="72"/>
        <v>0</v>
      </c>
      <c r="O199" s="438"/>
      <c r="P199" s="438">
        <f t="shared" si="73"/>
        <v>0</v>
      </c>
      <c r="Q199" s="438"/>
      <c r="R199" s="438">
        <f t="shared" si="74"/>
        <v>0</v>
      </c>
      <c r="S199" s="438"/>
      <c r="T199" s="438">
        <f t="shared" si="75"/>
        <v>0</v>
      </c>
      <c r="U199" s="438"/>
      <c r="V199" s="438">
        <f t="shared" si="76"/>
        <v>0</v>
      </c>
      <c r="W199" s="438"/>
      <c r="X199" s="438">
        <f t="shared" si="77"/>
        <v>198.98140517402314</v>
      </c>
      <c r="Y199" s="438"/>
      <c r="Z199" s="438">
        <f t="shared" si="78"/>
        <v>138.52931454263231</v>
      </c>
      <c r="AA199" s="438"/>
      <c r="AB199" s="438">
        <f t="shared" si="79"/>
        <v>0</v>
      </c>
      <c r="AC199" s="438"/>
      <c r="AD199" s="438">
        <f t="shared" si="80"/>
        <v>0</v>
      </c>
      <c r="AE199" s="438"/>
      <c r="AF199" s="438">
        <f t="shared" si="81"/>
        <v>0</v>
      </c>
      <c r="AG199" s="438"/>
      <c r="AH199" s="438">
        <f t="shared" si="82"/>
        <v>0</v>
      </c>
      <c r="AI199" s="438"/>
      <c r="AJ199" s="438">
        <f t="shared" si="84"/>
        <v>1696.5109138146804</v>
      </c>
      <c r="AK199" s="438"/>
      <c r="AL199" s="301"/>
      <c r="AM199" s="301"/>
      <c r="AN199" s="301"/>
      <c r="AO199" s="301"/>
      <c r="AP199" s="301"/>
      <c r="AQ199" s="301"/>
      <c r="AR199" s="301"/>
      <c r="AS199" s="301"/>
      <c r="AT199" s="301"/>
      <c r="AU199" s="301"/>
      <c r="AV199" s="301"/>
      <c r="AW199" s="301"/>
      <c r="AX199" s="301"/>
    </row>
    <row r="200" spans="5:50" x14ac:dyDescent="0.45">
      <c r="E200" s="318">
        <f t="shared" si="83"/>
        <v>2037</v>
      </c>
      <c r="F200" s="438">
        <f t="shared" si="68"/>
        <v>146.74151946033334</v>
      </c>
      <c r="G200" s="438"/>
      <c r="H200" s="438">
        <f t="shared" si="69"/>
        <v>0</v>
      </c>
      <c r="I200" s="438"/>
      <c r="J200" s="438">
        <f t="shared" si="70"/>
        <v>1467.9674011366174</v>
      </c>
      <c r="K200" s="438"/>
      <c r="L200" s="438">
        <f t="shared" si="71"/>
        <v>0</v>
      </c>
      <c r="M200" s="438"/>
      <c r="N200" s="438">
        <f t="shared" si="72"/>
        <v>0</v>
      </c>
      <c r="O200" s="438"/>
      <c r="P200" s="438">
        <f t="shared" si="73"/>
        <v>0</v>
      </c>
      <c r="Q200" s="438"/>
      <c r="R200" s="438">
        <f t="shared" si="74"/>
        <v>0</v>
      </c>
      <c r="S200" s="438"/>
      <c r="T200" s="438">
        <f t="shared" si="75"/>
        <v>0</v>
      </c>
      <c r="U200" s="438"/>
      <c r="V200" s="438">
        <f t="shared" si="76"/>
        <v>0</v>
      </c>
      <c r="W200" s="438"/>
      <c r="X200" s="438">
        <f t="shared" si="77"/>
        <v>238.80488045725926</v>
      </c>
      <c r="Y200" s="438"/>
      <c r="Z200" s="438">
        <f t="shared" si="78"/>
        <v>161.40148693211725</v>
      </c>
      <c r="AA200" s="438"/>
      <c r="AB200" s="438">
        <f t="shared" si="79"/>
        <v>0</v>
      </c>
      <c r="AC200" s="438"/>
      <c r="AD200" s="438">
        <f t="shared" si="80"/>
        <v>0</v>
      </c>
      <c r="AE200" s="438"/>
      <c r="AF200" s="438">
        <f t="shared" si="81"/>
        <v>0</v>
      </c>
      <c r="AG200" s="438"/>
      <c r="AH200" s="438">
        <f t="shared" si="82"/>
        <v>0</v>
      </c>
      <c r="AI200" s="438"/>
      <c r="AJ200" s="438">
        <f t="shared" si="84"/>
        <v>2014.9152879863273</v>
      </c>
      <c r="AK200" s="438"/>
      <c r="AL200" s="301"/>
      <c r="AM200" s="301"/>
      <c r="AN200" s="301"/>
      <c r="AO200" s="301"/>
      <c r="AP200" s="301"/>
      <c r="AQ200" s="301"/>
      <c r="AR200" s="301"/>
      <c r="AS200" s="301"/>
      <c r="AT200" s="301"/>
      <c r="AU200" s="301"/>
      <c r="AV200" s="301"/>
      <c r="AW200" s="301"/>
      <c r="AX200" s="301"/>
    </row>
    <row r="201" spans="5:50" x14ac:dyDescent="0.45">
      <c r="E201" s="318">
        <f t="shared" si="83"/>
        <v>2038</v>
      </c>
      <c r="F201" s="438">
        <f t="shared" ref="F201:F215" si="85">SUMIF($F$152:$AU$152,$F$185,F168:AU168)</f>
        <v>169.44856333278145</v>
      </c>
      <c r="G201" s="438"/>
      <c r="H201" s="438">
        <f t="shared" ref="H201:H215" si="86">SUMIF($F$152:$AU$152,$H$185,F168:AU168)</f>
        <v>0</v>
      </c>
      <c r="I201" s="438"/>
      <c r="J201" s="438">
        <f t="shared" ref="J201:J215" si="87">SUMIF($F$152:$AU$152,$J$185,F168:AU168)</f>
        <v>221.19722381761636</v>
      </c>
      <c r="K201" s="438"/>
      <c r="L201" s="438">
        <f t="shared" ref="L201:L215" si="88">SUMIF($F$152:$AU$152,$L$185,F168:AU168)</f>
        <v>0</v>
      </c>
      <c r="M201" s="438"/>
      <c r="N201" s="438">
        <f t="shared" ref="N201:N215" si="89">SUMIF($F$152:$AU$152,$N$185,F168:AU168)</f>
        <v>0</v>
      </c>
      <c r="O201" s="438"/>
      <c r="P201" s="438">
        <f t="shared" ref="P201:P215" si="90">SUMIF($F$152:$AU$152,$P$185,F168:AU168)</f>
        <v>0</v>
      </c>
      <c r="Q201" s="438"/>
      <c r="R201" s="438">
        <f t="shared" ref="R201:R215" si="91">SUMIF($F$152:$AU$152,$R$185,F168:AU168)</f>
        <v>0</v>
      </c>
      <c r="S201" s="438"/>
      <c r="T201" s="438">
        <f t="shared" ref="T201:T215" si="92">SUMIF($F$152:$AU$152,$T$185,F168:AU168)</f>
        <v>0</v>
      </c>
      <c r="U201" s="438"/>
      <c r="V201" s="438">
        <f t="shared" ref="V201:V215" si="93">SUMIF($F$152:$AU$152,$V$185,F168:AU168)</f>
        <v>0</v>
      </c>
      <c r="W201" s="438"/>
      <c r="X201" s="438">
        <f t="shared" ref="X201:X215" si="94">SUMIF($F$152:$AU$152,$X$185,F168:AU168)</f>
        <v>283.40717277448374</v>
      </c>
      <c r="Y201" s="438"/>
      <c r="Z201" s="438">
        <f t="shared" ref="Z201:Z215" si="95">SUMIF($F$152:$AU$152,$Z$185,F168:AU168)</f>
        <v>185.41726794107646</v>
      </c>
      <c r="AA201" s="438"/>
      <c r="AB201" s="438">
        <f t="shared" ref="AB201:AB215" si="96">SUMIF($F$152:$AU$152,$AB$185,F168:AU168)</f>
        <v>0</v>
      </c>
      <c r="AC201" s="438"/>
      <c r="AD201" s="438">
        <f t="shared" ref="AD201:AD215" si="97">SUMIF($F$152:$AU$152,$AD$185,F168:AU168)</f>
        <v>0</v>
      </c>
      <c r="AE201" s="438"/>
      <c r="AF201" s="438">
        <f t="shared" ref="AF201:AF215" si="98">SUMIF($F$152:$AU$152,$AF$185,F168:AU168)</f>
        <v>0</v>
      </c>
      <c r="AG201" s="438"/>
      <c r="AH201" s="438">
        <f t="shared" ref="AH201:AH215" si="99">SUMIF($F$152:$AU$152,$AH$185,F168:AU168)</f>
        <v>0</v>
      </c>
      <c r="AI201" s="438"/>
      <c r="AJ201" s="438">
        <f t="shared" si="84"/>
        <v>859.47022786595812</v>
      </c>
      <c r="AK201" s="438"/>
      <c r="AL201" s="301"/>
      <c r="AM201" s="301"/>
      <c r="AN201" s="301"/>
      <c r="AO201" s="301"/>
      <c r="AP201" s="301"/>
      <c r="AQ201" s="301"/>
      <c r="AR201" s="301"/>
      <c r="AS201" s="301"/>
      <c r="AT201" s="301"/>
      <c r="AU201" s="301"/>
      <c r="AV201" s="301"/>
      <c r="AW201" s="301"/>
      <c r="AX201" s="301"/>
    </row>
    <row r="202" spans="5:50" x14ac:dyDescent="0.45">
      <c r="E202" s="318">
        <f t="shared" si="83"/>
        <v>2039</v>
      </c>
      <c r="F202" s="438">
        <f t="shared" si="85"/>
        <v>195.10752290864781</v>
      </c>
      <c r="G202" s="438"/>
      <c r="H202" s="438">
        <f t="shared" si="86"/>
        <v>0</v>
      </c>
      <c r="I202" s="438"/>
      <c r="J202" s="438">
        <f t="shared" si="87"/>
        <v>260.21942597103975</v>
      </c>
      <c r="K202" s="438"/>
      <c r="L202" s="438">
        <f t="shared" si="88"/>
        <v>0</v>
      </c>
      <c r="M202" s="438"/>
      <c r="N202" s="438">
        <f t="shared" si="89"/>
        <v>0</v>
      </c>
      <c r="O202" s="438"/>
      <c r="P202" s="438">
        <f t="shared" si="90"/>
        <v>0</v>
      </c>
      <c r="Q202" s="438"/>
      <c r="R202" s="438">
        <f t="shared" si="91"/>
        <v>0</v>
      </c>
      <c r="S202" s="438"/>
      <c r="T202" s="438">
        <f t="shared" si="92"/>
        <v>0</v>
      </c>
      <c r="U202" s="438"/>
      <c r="V202" s="438">
        <f t="shared" si="93"/>
        <v>0</v>
      </c>
      <c r="W202" s="438"/>
      <c r="X202" s="438">
        <f t="shared" si="94"/>
        <v>333.3617401697752</v>
      </c>
      <c r="Y202" s="438"/>
      <c r="Z202" s="438">
        <f t="shared" si="95"/>
        <v>210.63383800048362</v>
      </c>
      <c r="AA202" s="438"/>
      <c r="AB202" s="438">
        <f t="shared" si="96"/>
        <v>0</v>
      </c>
      <c r="AC202" s="438"/>
      <c r="AD202" s="438">
        <f t="shared" si="97"/>
        <v>0</v>
      </c>
      <c r="AE202" s="438"/>
      <c r="AF202" s="438">
        <f t="shared" si="98"/>
        <v>0</v>
      </c>
      <c r="AG202" s="438"/>
      <c r="AH202" s="438">
        <f t="shared" si="99"/>
        <v>0</v>
      </c>
      <c r="AI202" s="438"/>
      <c r="AJ202" s="438">
        <f t="shared" si="84"/>
        <v>999.3225270499463</v>
      </c>
      <c r="AK202" s="438"/>
      <c r="AL202" s="301"/>
      <c r="AM202" s="301"/>
      <c r="AN202" s="301"/>
      <c r="AO202" s="301"/>
      <c r="AP202" s="301"/>
      <c r="AQ202" s="301"/>
      <c r="AR202" s="301"/>
      <c r="AS202" s="301"/>
      <c r="AT202" s="301"/>
      <c r="AU202" s="301"/>
      <c r="AV202" s="301"/>
      <c r="AW202" s="301"/>
      <c r="AX202" s="301"/>
    </row>
    <row r="203" spans="5:50" x14ac:dyDescent="0.45">
      <c r="E203" s="318">
        <f t="shared" si="83"/>
        <v>2040</v>
      </c>
      <c r="F203" s="438">
        <f t="shared" si="85"/>
        <v>224.10214722937678</v>
      </c>
      <c r="G203" s="438"/>
      <c r="H203" s="438">
        <f t="shared" si="86"/>
        <v>0</v>
      </c>
      <c r="I203" s="438"/>
      <c r="J203" s="438">
        <f t="shared" si="87"/>
        <v>305.48518046901091</v>
      </c>
      <c r="K203" s="438"/>
      <c r="L203" s="438">
        <f t="shared" si="88"/>
        <v>0</v>
      </c>
      <c r="M203" s="438"/>
      <c r="N203" s="438">
        <f t="shared" si="89"/>
        <v>0</v>
      </c>
      <c r="O203" s="438"/>
      <c r="P203" s="438">
        <f t="shared" si="90"/>
        <v>0</v>
      </c>
      <c r="Q203" s="438"/>
      <c r="R203" s="438">
        <f t="shared" si="91"/>
        <v>0</v>
      </c>
      <c r="S203" s="438"/>
      <c r="T203" s="438">
        <f t="shared" si="92"/>
        <v>0</v>
      </c>
      <c r="U203" s="438"/>
      <c r="V203" s="438">
        <f t="shared" si="93"/>
        <v>0</v>
      </c>
      <c r="W203" s="438"/>
      <c r="X203" s="438">
        <f t="shared" si="94"/>
        <v>389.31085565250163</v>
      </c>
      <c r="Y203" s="438"/>
      <c r="Z203" s="438">
        <f t="shared" si="95"/>
        <v>237.11123656286114</v>
      </c>
      <c r="AA203" s="438"/>
      <c r="AB203" s="438">
        <f t="shared" si="96"/>
        <v>0</v>
      </c>
      <c r="AC203" s="438"/>
      <c r="AD203" s="438">
        <f t="shared" si="97"/>
        <v>0</v>
      </c>
      <c r="AE203" s="438"/>
      <c r="AF203" s="438">
        <f t="shared" si="98"/>
        <v>0</v>
      </c>
      <c r="AG203" s="438"/>
      <c r="AH203" s="438">
        <f t="shared" si="99"/>
        <v>0</v>
      </c>
      <c r="AI203" s="438"/>
      <c r="AJ203" s="438">
        <f t="shared" si="84"/>
        <v>1156.0094199137507</v>
      </c>
      <c r="AK203" s="438"/>
      <c r="AL203" s="301"/>
      <c r="AM203" s="301"/>
      <c r="AN203" s="301"/>
      <c r="AO203" s="301"/>
      <c r="AP203" s="301"/>
      <c r="AQ203" s="301"/>
      <c r="AR203" s="301"/>
      <c r="AS203" s="301"/>
      <c r="AT203" s="301"/>
      <c r="AU203" s="301"/>
      <c r="AV203" s="301"/>
      <c r="AW203" s="301"/>
      <c r="AX203" s="301"/>
    </row>
    <row r="204" spans="5:50" x14ac:dyDescent="0.45">
      <c r="E204" s="318">
        <f t="shared" ref="E204:E215" si="100">E203+1</f>
        <v>2041</v>
      </c>
      <c r="F204" s="438">
        <f t="shared" si="85"/>
        <v>163.23542636919575</v>
      </c>
      <c r="G204" s="438"/>
      <c r="H204" s="438">
        <f t="shared" si="86"/>
        <v>0</v>
      </c>
      <c r="I204" s="438"/>
      <c r="J204" s="438">
        <f t="shared" si="87"/>
        <v>264.36280934405261</v>
      </c>
      <c r="K204" s="438"/>
      <c r="L204" s="438">
        <f t="shared" si="88"/>
        <v>0</v>
      </c>
      <c r="M204" s="438"/>
      <c r="N204" s="438">
        <f t="shared" si="89"/>
        <v>0</v>
      </c>
      <c r="O204" s="438"/>
      <c r="P204" s="438">
        <f t="shared" si="90"/>
        <v>0</v>
      </c>
      <c r="Q204" s="438"/>
      <c r="R204" s="438">
        <f t="shared" si="91"/>
        <v>0</v>
      </c>
      <c r="S204" s="438"/>
      <c r="T204" s="438">
        <f t="shared" si="92"/>
        <v>0</v>
      </c>
      <c r="U204" s="438"/>
      <c r="V204" s="438">
        <f t="shared" si="93"/>
        <v>0</v>
      </c>
      <c r="W204" s="438"/>
      <c r="X204" s="438">
        <f t="shared" si="94"/>
        <v>436.02815833080189</v>
      </c>
      <c r="Y204" s="438"/>
      <c r="Z204" s="438">
        <f t="shared" si="95"/>
        <v>248.9667983910042</v>
      </c>
      <c r="AA204" s="438"/>
      <c r="AB204" s="438">
        <f t="shared" si="96"/>
        <v>0</v>
      </c>
      <c r="AC204" s="438"/>
      <c r="AD204" s="438">
        <f t="shared" si="97"/>
        <v>0</v>
      </c>
      <c r="AE204" s="438"/>
      <c r="AF204" s="438">
        <f t="shared" si="98"/>
        <v>0</v>
      </c>
      <c r="AG204" s="438"/>
      <c r="AH204" s="438">
        <f t="shared" si="99"/>
        <v>0</v>
      </c>
      <c r="AI204" s="438"/>
      <c r="AJ204" s="438">
        <f t="shared" si="84"/>
        <v>1112.5931924350543</v>
      </c>
      <c r="AK204" s="438"/>
      <c r="AL204" s="301"/>
      <c r="AM204" s="301"/>
      <c r="AN204" s="301"/>
      <c r="AO204" s="301"/>
      <c r="AP204" s="301"/>
      <c r="AQ204" s="301"/>
      <c r="AR204" s="301"/>
      <c r="AS204" s="301"/>
      <c r="AT204" s="301"/>
      <c r="AU204" s="301"/>
      <c r="AV204" s="301"/>
      <c r="AW204" s="301"/>
      <c r="AX204" s="301"/>
    </row>
    <row r="205" spans="5:50" x14ac:dyDescent="0.45">
      <c r="E205" s="318">
        <f t="shared" si="100"/>
        <v>2042</v>
      </c>
      <c r="F205" s="438">
        <f t="shared" si="85"/>
        <v>188.08667813979596</v>
      </c>
      <c r="G205" s="438"/>
      <c r="H205" s="438">
        <f t="shared" si="86"/>
        <v>0</v>
      </c>
      <c r="I205" s="438"/>
      <c r="J205" s="438">
        <f t="shared" si="87"/>
        <v>310.29150518170582</v>
      </c>
      <c r="K205" s="438"/>
      <c r="L205" s="438">
        <f t="shared" si="88"/>
        <v>0</v>
      </c>
      <c r="M205" s="438"/>
      <c r="N205" s="438">
        <f t="shared" si="89"/>
        <v>0</v>
      </c>
      <c r="O205" s="438"/>
      <c r="P205" s="438">
        <f t="shared" si="90"/>
        <v>0</v>
      </c>
      <c r="Q205" s="438"/>
      <c r="R205" s="438">
        <f t="shared" si="91"/>
        <v>0</v>
      </c>
      <c r="S205" s="438"/>
      <c r="T205" s="438">
        <f t="shared" si="92"/>
        <v>0</v>
      </c>
      <c r="U205" s="438"/>
      <c r="V205" s="438">
        <f t="shared" si="93"/>
        <v>0</v>
      </c>
      <c r="W205" s="438"/>
      <c r="X205" s="438">
        <f t="shared" si="94"/>
        <v>488.35153733049816</v>
      </c>
      <c r="Y205" s="438"/>
      <c r="Z205" s="438">
        <f t="shared" si="95"/>
        <v>261.41513831055443</v>
      </c>
      <c r="AA205" s="438"/>
      <c r="AB205" s="438">
        <f t="shared" si="96"/>
        <v>0</v>
      </c>
      <c r="AC205" s="438"/>
      <c r="AD205" s="438">
        <f t="shared" si="97"/>
        <v>0</v>
      </c>
      <c r="AE205" s="438"/>
      <c r="AF205" s="438">
        <f t="shared" si="98"/>
        <v>0</v>
      </c>
      <c r="AG205" s="438"/>
      <c r="AH205" s="438">
        <f t="shared" si="99"/>
        <v>0</v>
      </c>
      <c r="AI205" s="438"/>
      <c r="AJ205" s="438">
        <f t="shared" si="84"/>
        <v>1248.1448589625543</v>
      </c>
      <c r="AK205" s="438"/>
      <c r="AL205" s="301"/>
      <c r="AM205" s="301"/>
      <c r="AN205" s="301"/>
      <c r="AO205" s="301"/>
      <c r="AP205" s="301"/>
      <c r="AQ205" s="301"/>
      <c r="AR205" s="301"/>
      <c r="AS205" s="301"/>
      <c r="AT205" s="301"/>
      <c r="AU205" s="301"/>
      <c r="AV205" s="301"/>
      <c r="AW205" s="301"/>
      <c r="AX205" s="301"/>
    </row>
    <row r="206" spans="5:50" x14ac:dyDescent="0.45">
      <c r="E206" s="318">
        <f t="shared" si="100"/>
        <v>2043</v>
      </c>
      <c r="F206" s="438">
        <f t="shared" si="85"/>
        <v>122.53794629796943</v>
      </c>
      <c r="G206" s="438"/>
      <c r="H206" s="438">
        <f t="shared" si="86"/>
        <v>0</v>
      </c>
      <c r="I206" s="438"/>
      <c r="J206" s="438">
        <f t="shared" si="87"/>
        <v>269.93814601077872</v>
      </c>
      <c r="K206" s="438"/>
      <c r="L206" s="438">
        <f t="shared" si="88"/>
        <v>0</v>
      </c>
      <c r="M206" s="438"/>
      <c r="N206" s="438">
        <f t="shared" si="89"/>
        <v>0</v>
      </c>
      <c r="O206" s="438"/>
      <c r="P206" s="438">
        <f t="shared" si="90"/>
        <v>0</v>
      </c>
      <c r="Q206" s="438"/>
      <c r="R206" s="438">
        <f t="shared" si="91"/>
        <v>0</v>
      </c>
      <c r="S206" s="438"/>
      <c r="T206" s="438">
        <f t="shared" si="92"/>
        <v>0</v>
      </c>
      <c r="U206" s="438"/>
      <c r="V206" s="438">
        <f t="shared" si="93"/>
        <v>0</v>
      </c>
      <c r="W206" s="438"/>
      <c r="X206" s="438">
        <f t="shared" si="94"/>
        <v>546.95372181015796</v>
      </c>
      <c r="Y206" s="438"/>
      <c r="Z206" s="438">
        <f t="shared" si="95"/>
        <v>274.48589522608216</v>
      </c>
      <c r="AA206" s="438"/>
      <c r="AB206" s="438">
        <f t="shared" si="96"/>
        <v>0</v>
      </c>
      <c r="AC206" s="438"/>
      <c r="AD206" s="438">
        <f t="shared" si="97"/>
        <v>0</v>
      </c>
      <c r="AE206" s="438"/>
      <c r="AF206" s="438">
        <f t="shared" si="98"/>
        <v>0</v>
      </c>
      <c r="AG206" s="438"/>
      <c r="AH206" s="438">
        <f t="shared" si="99"/>
        <v>0</v>
      </c>
      <c r="AI206" s="438"/>
      <c r="AJ206" s="438">
        <f t="shared" si="84"/>
        <v>1213.9157093449883</v>
      </c>
      <c r="AK206" s="438"/>
      <c r="AL206" s="301"/>
      <c r="AM206" s="301"/>
      <c r="AN206" s="301"/>
      <c r="AO206" s="301"/>
      <c r="AP206" s="301"/>
      <c r="AQ206" s="301"/>
      <c r="AR206" s="301"/>
      <c r="AS206" s="301"/>
      <c r="AT206" s="301"/>
      <c r="AU206" s="301"/>
      <c r="AV206" s="301"/>
      <c r="AW206" s="301"/>
      <c r="AX206" s="301"/>
    </row>
    <row r="207" spans="5:50" x14ac:dyDescent="0.45">
      <c r="E207" s="318">
        <f t="shared" si="100"/>
        <v>2044</v>
      </c>
      <c r="F207" s="438">
        <f t="shared" si="85"/>
        <v>142.09852565931024</v>
      </c>
      <c r="G207" s="438"/>
      <c r="H207" s="438">
        <f t="shared" si="86"/>
        <v>0</v>
      </c>
      <c r="I207" s="438"/>
      <c r="J207" s="438">
        <f t="shared" si="87"/>
        <v>316.75889571510811</v>
      </c>
      <c r="K207" s="438"/>
      <c r="L207" s="438">
        <f t="shared" si="88"/>
        <v>0</v>
      </c>
      <c r="M207" s="438"/>
      <c r="N207" s="438">
        <f t="shared" si="89"/>
        <v>0</v>
      </c>
      <c r="O207" s="438"/>
      <c r="P207" s="438">
        <f t="shared" si="90"/>
        <v>0</v>
      </c>
      <c r="Q207" s="438"/>
      <c r="R207" s="438">
        <f t="shared" si="91"/>
        <v>0</v>
      </c>
      <c r="S207" s="438"/>
      <c r="T207" s="438">
        <f t="shared" si="92"/>
        <v>0</v>
      </c>
      <c r="U207" s="438"/>
      <c r="V207" s="438">
        <f t="shared" si="93"/>
        <v>0</v>
      </c>
      <c r="W207" s="438"/>
      <c r="X207" s="438">
        <f t="shared" si="94"/>
        <v>612.58816842737701</v>
      </c>
      <c r="Y207" s="438"/>
      <c r="Z207" s="438">
        <f t="shared" si="95"/>
        <v>288.21018998738629</v>
      </c>
      <c r="AA207" s="438"/>
      <c r="AB207" s="438">
        <f t="shared" si="96"/>
        <v>0</v>
      </c>
      <c r="AC207" s="438"/>
      <c r="AD207" s="438">
        <f t="shared" si="97"/>
        <v>0</v>
      </c>
      <c r="AE207" s="438"/>
      <c r="AF207" s="438">
        <f t="shared" si="98"/>
        <v>0</v>
      </c>
      <c r="AG207" s="438"/>
      <c r="AH207" s="438">
        <f t="shared" si="99"/>
        <v>0</v>
      </c>
      <c r="AI207" s="438"/>
      <c r="AJ207" s="438">
        <f t="shared" si="84"/>
        <v>1359.6557797891817</v>
      </c>
      <c r="AK207" s="438"/>
      <c r="AL207" s="301"/>
      <c r="AM207" s="301"/>
      <c r="AN207" s="301"/>
      <c r="AO207" s="301"/>
      <c r="AP207" s="301"/>
      <c r="AQ207" s="301"/>
      <c r="AR207" s="301"/>
      <c r="AS207" s="301"/>
      <c r="AT207" s="301"/>
      <c r="AU207" s="301"/>
      <c r="AV207" s="301"/>
      <c r="AW207" s="301"/>
      <c r="AX207" s="301"/>
    </row>
    <row r="208" spans="5:50" x14ac:dyDescent="0.45">
      <c r="E208" s="318">
        <f t="shared" si="100"/>
        <v>2045</v>
      </c>
      <c r="F208" s="438">
        <f t="shared" si="85"/>
        <v>70.571333995020552</v>
      </c>
      <c r="G208" s="438"/>
      <c r="H208" s="438">
        <f t="shared" si="86"/>
        <v>0</v>
      </c>
      <c r="I208" s="438"/>
      <c r="J208" s="438">
        <f t="shared" si="87"/>
        <v>277.44031902952537</v>
      </c>
      <c r="K208" s="438"/>
      <c r="L208" s="438">
        <f t="shared" si="88"/>
        <v>0</v>
      </c>
      <c r="M208" s="438"/>
      <c r="N208" s="438">
        <f t="shared" si="89"/>
        <v>0</v>
      </c>
      <c r="O208" s="438"/>
      <c r="P208" s="438">
        <f t="shared" si="90"/>
        <v>0</v>
      </c>
      <c r="Q208" s="438"/>
      <c r="R208" s="438">
        <f t="shared" si="91"/>
        <v>0</v>
      </c>
      <c r="S208" s="438"/>
      <c r="T208" s="438">
        <f t="shared" si="92"/>
        <v>0</v>
      </c>
      <c r="U208" s="438"/>
      <c r="V208" s="438">
        <f t="shared" si="93"/>
        <v>0</v>
      </c>
      <c r="W208" s="438"/>
      <c r="X208" s="438">
        <f t="shared" si="94"/>
        <v>686.0987486386623</v>
      </c>
      <c r="Y208" s="438"/>
      <c r="Z208" s="438">
        <f t="shared" si="95"/>
        <v>302.6206994867556</v>
      </c>
      <c r="AA208" s="438"/>
      <c r="AB208" s="438">
        <f t="shared" si="96"/>
        <v>0</v>
      </c>
      <c r="AC208" s="438"/>
      <c r="AD208" s="438">
        <f t="shared" si="97"/>
        <v>0</v>
      </c>
      <c r="AE208" s="438"/>
      <c r="AF208" s="438">
        <f t="shared" si="98"/>
        <v>0</v>
      </c>
      <c r="AG208" s="438"/>
      <c r="AH208" s="438">
        <f t="shared" si="99"/>
        <v>0</v>
      </c>
      <c r="AI208" s="438"/>
      <c r="AJ208" s="438">
        <f t="shared" si="84"/>
        <v>1336.7311011499637</v>
      </c>
      <c r="AK208" s="438"/>
      <c r="AL208" s="301"/>
      <c r="AM208" s="301"/>
      <c r="AN208" s="301"/>
      <c r="AO208" s="301"/>
      <c r="AP208" s="301"/>
      <c r="AQ208" s="301"/>
      <c r="AR208" s="301"/>
      <c r="AS208" s="301"/>
      <c r="AT208" s="301"/>
      <c r="AU208" s="301"/>
      <c r="AV208" s="301"/>
      <c r="AW208" s="301"/>
      <c r="AX208" s="301"/>
    </row>
    <row r="209" spans="5:50" x14ac:dyDescent="0.45">
      <c r="E209" s="318">
        <f t="shared" si="100"/>
        <v>2046</v>
      </c>
      <c r="F209" s="438">
        <f t="shared" si="85"/>
        <v>83.376253756978002</v>
      </c>
      <c r="G209" s="438"/>
      <c r="H209" s="438">
        <f t="shared" si="86"/>
        <v>0</v>
      </c>
      <c r="I209" s="438"/>
      <c r="J209" s="438">
        <f t="shared" si="87"/>
        <v>325.46141641685421</v>
      </c>
      <c r="K209" s="438"/>
      <c r="L209" s="438">
        <f t="shared" si="88"/>
        <v>0</v>
      </c>
      <c r="M209" s="438"/>
      <c r="N209" s="438">
        <f t="shared" si="89"/>
        <v>0</v>
      </c>
      <c r="O209" s="438"/>
      <c r="P209" s="438">
        <f t="shared" si="90"/>
        <v>0</v>
      </c>
      <c r="Q209" s="438"/>
      <c r="R209" s="438">
        <f t="shared" si="91"/>
        <v>0</v>
      </c>
      <c r="S209" s="438"/>
      <c r="T209" s="438">
        <f t="shared" si="92"/>
        <v>0</v>
      </c>
      <c r="U209" s="438"/>
      <c r="V209" s="438">
        <f t="shared" si="93"/>
        <v>0</v>
      </c>
      <c r="W209" s="438"/>
      <c r="X209" s="438">
        <f t="shared" si="94"/>
        <v>768.43059847530185</v>
      </c>
      <c r="Y209" s="438"/>
      <c r="Z209" s="438">
        <f t="shared" si="95"/>
        <v>317.75173446109341</v>
      </c>
      <c r="AA209" s="438"/>
      <c r="AB209" s="438">
        <f t="shared" si="96"/>
        <v>0</v>
      </c>
      <c r="AC209" s="438"/>
      <c r="AD209" s="438">
        <f t="shared" si="97"/>
        <v>0</v>
      </c>
      <c r="AE209" s="438"/>
      <c r="AF209" s="438">
        <f t="shared" si="98"/>
        <v>0</v>
      </c>
      <c r="AG209" s="438"/>
      <c r="AH209" s="438">
        <f t="shared" si="99"/>
        <v>0</v>
      </c>
      <c r="AI209" s="438"/>
      <c r="AJ209" s="438">
        <f t="shared" si="84"/>
        <v>1495.0200031102272</v>
      </c>
      <c r="AK209" s="438"/>
      <c r="AL209" s="301"/>
      <c r="AM209" s="301"/>
      <c r="AN209" s="301"/>
      <c r="AO209" s="301"/>
      <c r="AP209" s="301"/>
      <c r="AQ209" s="301"/>
      <c r="AR209" s="301"/>
      <c r="AS209" s="301"/>
      <c r="AT209" s="301"/>
      <c r="AU209" s="301"/>
      <c r="AV209" s="301"/>
      <c r="AW209" s="301"/>
      <c r="AX209" s="301"/>
    </row>
    <row r="210" spans="5:50" x14ac:dyDescent="0.45">
      <c r="E210" s="318">
        <f t="shared" si="100"/>
        <v>2047</v>
      </c>
      <c r="F210" s="438">
        <f t="shared" si="85"/>
        <v>4.2151667453851331</v>
      </c>
      <c r="G210" s="438"/>
      <c r="H210" s="438">
        <f t="shared" si="86"/>
        <v>0</v>
      </c>
      <c r="I210" s="438"/>
      <c r="J210" s="438">
        <f t="shared" si="87"/>
        <v>287.53524304355085</v>
      </c>
      <c r="K210" s="438"/>
      <c r="L210" s="438">
        <f t="shared" si="88"/>
        <v>0</v>
      </c>
      <c r="M210" s="438"/>
      <c r="N210" s="438">
        <f t="shared" si="89"/>
        <v>0</v>
      </c>
      <c r="O210" s="438"/>
      <c r="P210" s="438">
        <f t="shared" si="90"/>
        <v>0</v>
      </c>
      <c r="Q210" s="438"/>
      <c r="R210" s="438">
        <f t="shared" si="91"/>
        <v>0</v>
      </c>
      <c r="S210" s="438"/>
      <c r="T210" s="438">
        <f t="shared" si="92"/>
        <v>0</v>
      </c>
      <c r="U210" s="438"/>
      <c r="V210" s="438">
        <f t="shared" si="93"/>
        <v>0</v>
      </c>
      <c r="W210" s="438"/>
      <c r="X210" s="438">
        <f t="shared" si="94"/>
        <v>860.64227029233814</v>
      </c>
      <c r="Y210" s="438"/>
      <c r="Z210" s="438">
        <f t="shared" si="95"/>
        <v>333.63932118414812</v>
      </c>
      <c r="AA210" s="438"/>
      <c r="AB210" s="438">
        <f t="shared" si="96"/>
        <v>0</v>
      </c>
      <c r="AC210" s="438"/>
      <c r="AD210" s="438">
        <f t="shared" si="97"/>
        <v>0</v>
      </c>
      <c r="AE210" s="438"/>
      <c r="AF210" s="438">
        <f t="shared" si="98"/>
        <v>0</v>
      </c>
      <c r="AG210" s="438"/>
      <c r="AH210" s="438">
        <f t="shared" si="99"/>
        <v>0</v>
      </c>
      <c r="AI210" s="438"/>
      <c r="AJ210" s="438">
        <f t="shared" si="84"/>
        <v>1486.0320012654224</v>
      </c>
      <c r="AK210" s="438"/>
      <c r="AL210" s="301"/>
      <c r="AM210" s="301"/>
      <c r="AN210" s="301"/>
      <c r="AO210" s="301"/>
      <c r="AP210" s="301"/>
      <c r="AQ210" s="301"/>
      <c r="AR210" s="301"/>
      <c r="AS210" s="301"/>
      <c r="AT210" s="301"/>
      <c r="AU210" s="301"/>
      <c r="AV210" s="301"/>
      <c r="AW210" s="301"/>
      <c r="AX210" s="301"/>
    </row>
    <row r="211" spans="5:50" x14ac:dyDescent="0.45">
      <c r="E211" s="318">
        <f t="shared" si="100"/>
        <v>2048</v>
      </c>
      <c r="F211" s="438">
        <f t="shared" si="85"/>
        <v>8.3937847648899933</v>
      </c>
      <c r="G211" s="438"/>
      <c r="H211" s="438">
        <f t="shared" si="86"/>
        <v>0</v>
      </c>
      <c r="I211" s="438"/>
      <c r="J211" s="438">
        <f t="shared" si="87"/>
        <v>337.17152827312373</v>
      </c>
      <c r="K211" s="438"/>
      <c r="L211" s="438">
        <f t="shared" si="88"/>
        <v>0</v>
      </c>
      <c r="M211" s="438"/>
      <c r="N211" s="438">
        <f t="shared" si="89"/>
        <v>0</v>
      </c>
      <c r="O211" s="438"/>
      <c r="P211" s="438">
        <f t="shared" si="90"/>
        <v>0</v>
      </c>
      <c r="Q211" s="438"/>
      <c r="R211" s="438">
        <f t="shared" si="91"/>
        <v>0</v>
      </c>
      <c r="S211" s="438"/>
      <c r="T211" s="438">
        <f t="shared" si="92"/>
        <v>0</v>
      </c>
      <c r="U211" s="438"/>
      <c r="V211" s="438">
        <f t="shared" si="93"/>
        <v>0</v>
      </c>
      <c r="W211" s="438"/>
      <c r="X211" s="438">
        <f t="shared" si="94"/>
        <v>963.91934272741878</v>
      </c>
      <c r="Y211" s="438"/>
      <c r="Z211" s="438">
        <f t="shared" si="95"/>
        <v>350.32128724335553</v>
      </c>
      <c r="AA211" s="438"/>
      <c r="AB211" s="438">
        <f t="shared" si="96"/>
        <v>0</v>
      </c>
      <c r="AC211" s="438"/>
      <c r="AD211" s="438">
        <f t="shared" si="97"/>
        <v>0</v>
      </c>
      <c r="AE211" s="438"/>
      <c r="AF211" s="438">
        <f t="shared" si="98"/>
        <v>0</v>
      </c>
      <c r="AG211" s="438"/>
      <c r="AH211" s="438">
        <f t="shared" si="99"/>
        <v>0</v>
      </c>
      <c r="AI211" s="438"/>
      <c r="AJ211" s="438">
        <f t="shared" si="84"/>
        <v>1659.8059430087881</v>
      </c>
      <c r="AK211" s="438"/>
      <c r="AL211" s="301"/>
      <c r="AM211" s="301"/>
      <c r="AN211" s="301"/>
      <c r="AO211" s="301"/>
      <c r="AP211" s="301"/>
      <c r="AQ211" s="301"/>
      <c r="AR211" s="301"/>
      <c r="AS211" s="301"/>
      <c r="AT211" s="301"/>
      <c r="AU211" s="301"/>
      <c r="AV211" s="301"/>
      <c r="AW211" s="301"/>
      <c r="AX211" s="301"/>
    </row>
    <row r="212" spans="5:50" x14ac:dyDescent="0.45">
      <c r="E212" s="318">
        <f t="shared" si="100"/>
        <v>2049</v>
      </c>
      <c r="F212" s="438">
        <f t="shared" si="85"/>
        <v>-80.515023215674304</v>
      </c>
      <c r="G212" s="438"/>
      <c r="H212" s="438">
        <f t="shared" si="86"/>
        <v>0</v>
      </c>
      <c r="I212" s="438"/>
      <c r="J212" s="438">
        <f t="shared" si="87"/>
        <v>301.11897279682347</v>
      </c>
      <c r="K212" s="438"/>
      <c r="L212" s="438">
        <f t="shared" si="88"/>
        <v>0</v>
      </c>
      <c r="M212" s="438"/>
      <c r="N212" s="438">
        <f t="shared" si="89"/>
        <v>0</v>
      </c>
      <c r="O212" s="438"/>
      <c r="P212" s="438">
        <f t="shared" si="90"/>
        <v>0</v>
      </c>
      <c r="Q212" s="438"/>
      <c r="R212" s="438">
        <f t="shared" si="91"/>
        <v>0</v>
      </c>
      <c r="S212" s="438"/>
      <c r="T212" s="438">
        <f t="shared" si="92"/>
        <v>0</v>
      </c>
      <c r="U212" s="438"/>
      <c r="V212" s="438">
        <f t="shared" si="93"/>
        <v>0</v>
      </c>
      <c r="W212" s="438"/>
      <c r="X212" s="438">
        <f t="shared" si="94"/>
        <v>1079.5896638547092</v>
      </c>
      <c r="Y212" s="438"/>
      <c r="Z212" s="438">
        <f t="shared" si="95"/>
        <v>367.83735160552334</v>
      </c>
      <c r="AA212" s="438"/>
      <c r="AB212" s="438">
        <f t="shared" si="96"/>
        <v>0</v>
      </c>
      <c r="AC212" s="438"/>
      <c r="AD212" s="438">
        <f t="shared" si="97"/>
        <v>0</v>
      </c>
      <c r="AE212" s="438"/>
      <c r="AF212" s="438">
        <f t="shared" si="98"/>
        <v>0</v>
      </c>
      <c r="AG212" s="438"/>
      <c r="AH212" s="438">
        <f t="shared" si="99"/>
        <v>0</v>
      </c>
      <c r="AI212" s="438"/>
      <c r="AJ212" s="438">
        <f t="shared" si="84"/>
        <v>1668.0309650413817</v>
      </c>
      <c r="AK212" s="438"/>
      <c r="AL212" s="301"/>
      <c r="AM212" s="301"/>
      <c r="AN212" s="301"/>
      <c r="AO212" s="301"/>
      <c r="AP212" s="301"/>
      <c r="AQ212" s="301"/>
      <c r="AR212" s="301"/>
      <c r="AS212" s="301"/>
      <c r="AT212" s="301"/>
      <c r="AU212" s="301"/>
      <c r="AV212" s="301"/>
      <c r="AW212" s="301"/>
      <c r="AX212" s="301"/>
    </row>
    <row r="213" spans="5:50" x14ac:dyDescent="0.45">
      <c r="E213" s="318">
        <f t="shared" si="100"/>
        <v>2050</v>
      </c>
      <c r="F213" s="438">
        <f t="shared" si="85"/>
        <v>-87.35132989110717</v>
      </c>
      <c r="G213" s="438"/>
      <c r="H213" s="438">
        <f t="shared" si="86"/>
        <v>0</v>
      </c>
      <c r="I213" s="438"/>
      <c r="J213" s="438">
        <f t="shared" si="87"/>
        <v>352.92865478691999</v>
      </c>
      <c r="K213" s="438"/>
      <c r="L213" s="438">
        <f t="shared" si="88"/>
        <v>0</v>
      </c>
      <c r="M213" s="438"/>
      <c r="N213" s="438">
        <f t="shared" si="89"/>
        <v>0</v>
      </c>
      <c r="O213" s="438"/>
      <c r="P213" s="438">
        <f t="shared" si="90"/>
        <v>0</v>
      </c>
      <c r="Q213" s="438"/>
      <c r="R213" s="438">
        <f t="shared" si="91"/>
        <v>0</v>
      </c>
      <c r="S213" s="438"/>
      <c r="T213" s="438">
        <f t="shared" si="92"/>
        <v>0</v>
      </c>
      <c r="U213" s="438"/>
      <c r="V213" s="438">
        <f t="shared" si="93"/>
        <v>0</v>
      </c>
      <c r="W213" s="438"/>
      <c r="X213" s="438">
        <f t="shared" si="94"/>
        <v>1209.1404235172745</v>
      </c>
      <c r="Y213" s="438"/>
      <c r="Z213" s="438">
        <f t="shared" si="95"/>
        <v>386.22921918579954</v>
      </c>
      <c r="AA213" s="438"/>
      <c r="AB213" s="438">
        <f t="shared" si="96"/>
        <v>0</v>
      </c>
      <c r="AC213" s="438"/>
      <c r="AD213" s="438">
        <f t="shared" si="97"/>
        <v>0</v>
      </c>
      <c r="AE213" s="438"/>
      <c r="AF213" s="438">
        <f t="shared" si="98"/>
        <v>0</v>
      </c>
      <c r="AG213" s="438"/>
      <c r="AH213" s="438">
        <f t="shared" si="99"/>
        <v>0</v>
      </c>
      <c r="AI213" s="438"/>
      <c r="AJ213" s="438">
        <f t="shared" si="84"/>
        <v>1860.9469675988869</v>
      </c>
      <c r="AK213" s="438"/>
      <c r="AL213" s="301"/>
      <c r="AM213" s="301"/>
      <c r="AN213" s="301"/>
      <c r="AO213" s="301"/>
      <c r="AP213" s="301"/>
      <c r="AQ213" s="301"/>
      <c r="AR213" s="301"/>
      <c r="AS213" s="301"/>
      <c r="AT213" s="301"/>
      <c r="AU213" s="301"/>
      <c r="AV213" s="301"/>
      <c r="AW213" s="301"/>
      <c r="AX213" s="301"/>
    </row>
    <row r="214" spans="5:50" x14ac:dyDescent="0.45">
      <c r="E214" s="318">
        <f t="shared" si="100"/>
        <v>2051</v>
      </c>
      <c r="F214" s="438">
        <f t="shared" si="85"/>
        <v>-188.70700277695107</v>
      </c>
      <c r="G214" s="438"/>
      <c r="H214" s="438">
        <f t="shared" si="86"/>
        <v>0</v>
      </c>
      <c r="I214" s="438"/>
      <c r="J214" s="438">
        <f t="shared" si="87"/>
        <v>319.39723955282716</v>
      </c>
      <c r="K214" s="438"/>
      <c r="L214" s="438">
        <f t="shared" si="88"/>
        <v>0</v>
      </c>
      <c r="M214" s="438"/>
      <c r="N214" s="438">
        <f t="shared" si="89"/>
        <v>0</v>
      </c>
      <c r="O214" s="438"/>
      <c r="P214" s="438">
        <f t="shared" si="90"/>
        <v>0</v>
      </c>
      <c r="Q214" s="438"/>
      <c r="R214" s="438">
        <f t="shared" si="91"/>
        <v>0</v>
      </c>
      <c r="S214" s="438"/>
      <c r="T214" s="438">
        <f t="shared" si="92"/>
        <v>0</v>
      </c>
      <c r="U214" s="438"/>
      <c r="V214" s="438">
        <f t="shared" si="93"/>
        <v>0</v>
      </c>
      <c r="W214" s="438"/>
      <c r="X214" s="438">
        <f t="shared" si="94"/>
        <v>1354.2372743393476</v>
      </c>
      <c r="Y214" s="438"/>
      <c r="Z214" s="438">
        <f t="shared" si="95"/>
        <v>405.54068014508954</v>
      </c>
      <c r="AA214" s="438"/>
      <c r="AB214" s="438">
        <f t="shared" si="96"/>
        <v>0</v>
      </c>
      <c r="AC214" s="438"/>
      <c r="AD214" s="438">
        <f t="shared" si="97"/>
        <v>0</v>
      </c>
      <c r="AE214" s="438"/>
      <c r="AF214" s="438">
        <f t="shared" si="98"/>
        <v>0</v>
      </c>
      <c r="AG214" s="438"/>
      <c r="AH214" s="438">
        <f t="shared" si="99"/>
        <v>0</v>
      </c>
      <c r="AI214" s="438"/>
      <c r="AJ214" s="438">
        <f t="shared" si="84"/>
        <v>1890.4681912603132</v>
      </c>
      <c r="AK214" s="438"/>
      <c r="AL214" s="301"/>
      <c r="AM214" s="301"/>
      <c r="AN214" s="301"/>
      <c r="AO214" s="301"/>
      <c r="AP214" s="301"/>
      <c r="AQ214" s="301"/>
      <c r="AR214" s="301"/>
      <c r="AS214" s="301"/>
      <c r="AT214" s="301"/>
      <c r="AU214" s="301"/>
      <c r="AV214" s="301"/>
      <c r="AW214" s="301"/>
      <c r="AX214" s="301"/>
    </row>
    <row r="215" spans="5:50" x14ac:dyDescent="0.45">
      <c r="E215" s="318">
        <f t="shared" si="100"/>
        <v>2052</v>
      </c>
      <c r="F215" s="438">
        <f t="shared" si="85"/>
        <v>-209.60826679534989</v>
      </c>
      <c r="G215" s="438"/>
      <c r="H215" s="438">
        <f t="shared" si="86"/>
        <v>0</v>
      </c>
      <c r="I215" s="438"/>
      <c r="J215" s="438">
        <f t="shared" si="87"/>
        <v>374.13144422388427</v>
      </c>
      <c r="K215" s="438"/>
      <c r="L215" s="438">
        <f t="shared" si="88"/>
        <v>0</v>
      </c>
      <c r="M215" s="438"/>
      <c r="N215" s="438">
        <f t="shared" si="89"/>
        <v>0</v>
      </c>
      <c r="O215" s="438"/>
      <c r="P215" s="438">
        <f t="shared" si="90"/>
        <v>0</v>
      </c>
      <c r="Q215" s="438"/>
      <c r="R215" s="438">
        <f t="shared" si="91"/>
        <v>0</v>
      </c>
      <c r="S215" s="438"/>
      <c r="T215" s="438">
        <f t="shared" si="92"/>
        <v>0</v>
      </c>
      <c r="U215" s="438"/>
      <c r="V215" s="438">
        <f t="shared" si="93"/>
        <v>0</v>
      </c>
      <c r="W215" s="438"/>
      <c r="X215" s="438">
        <f t="shared" si="94"/>
        <v>1516.7457472600695</v>
      </c>
      <c r="Y215" s="438"/>
      <c r="Z215" s="438">
        <f t="shared" si="95"/>
        <v>425.81771415234402</v>
      </c>
      <c r="AA215" s="438"/>
      <c r="AB215" s="438">
        <f t="shared" si="96"/>
        <v>0</v>
      </c>
      <c r="AC215" s="438"/>
      <c r="AD215" s="438">
        <f t="shared" si="97"/>
        <v>0</v>
      </c>
      <c r="AE215" s="438"/>
      <c r="AF215" s="438">
        <f t="shared" si="98"/>
        <v>0</v>
      </c>
      <c r="AG215" s="438"/>
      <c r="AH215" s="438">
        <f t="shared" si="99"/>
        <v>0</v>
      </c>
      <c r="AI215" s="438"/>
      <c r="AJ215" s="438">
        <f t="shared" si="84"/>
        <v>2107.0866388409477</v>
      </c>
      <c r="AK215" s="438"/>
      <c r="AL215" s="301"/>
      <c r="AM215" s="301"/>
      <c r="AN215" s="301"/>
      <c r="AO215" s="301"/>
      <c r="AP215" s="301"/>
      <c r="AQ215" s="301"/>
      <c r="AR215" s="301"/>
      <c r="AS215" s="301"/>
      <c r="AT215" s="301"/>
      <c r="AU215" s="301"/>
      <c r="AV215" s="301"/>
      <c r="AW215" s="301"/>
      <c r="AX215" s="301"/>
    </row>
    <row r="216" spans="5:50" ht="15" customHeight="1" x14ac:dyDescent="0.45">
      <c r="E216" s="301"/>
      <c r="F216" s="301"/>
      <c r="G216" s="301"/>
      <c r="H216" s="301"/>
      <c r="I216" s="301"/>
      <c r="J216" s="301"/>
      <c r="K216" s="301"/>
      <c r="L216" s="301"/>
      <c r="M216" s="301"/>
      <c r="N216" s="301"/>
      <c r="O216" s="301"/>
      <c r="P216" s="301"/>
      <c r="Q216" s="301"/>
      <c r="R216" s="301"/>
      <c r="S216" s="301"/>
      <c r="T216" s="301"/>
      <c r="U216" s="301"/>
      <c r="V216" s="301"/>
      <c r="W216" s="301"/>
      <c r="X216" s="301"/>
      <c r="Y216" s="301"/>
      <c r="Z216" s="301"/>
      <c r="AA216" s="301"/>
      <c r="AB216" s="301"/>
      <c r="AC216" s="301"/>
      <c r="AD216" s="301"/>
      <c r="AE216" s="301"/>
      <c r="AF216" s="301"/>
      <c r="AG216" s="301"/>
      <c r="AH216" s="301"/>
      <c r="AI216" s="301"/>
      <c r="AJ216" s="301"/>
      <c r="AK216" s="301"/>
      <c r="AL216" s="301"/>
      <c r="AM216" s="301"/>
      <c r="AN216" s="301"/>
      <c r="AO216" s="301"/>
      <c r="AP216" s="301"/>
      <c r="AQ216" s="301"/>
      <c r="AR216" s="301"/>
      <c r="AS216" s="301"/>
      <c r="AT216" s="301"/>
      <c r="AU216" s="301"/>
      <c r="AV216" s="301"/>
      <c r="AW216" s="301"/>
      <c r="AX216" s="301"/>
    </row>
    <row r="217" spans="5:50" ht="16.899999999999999" x14ac:dyDescent="0.45">
      <c r="E217" s="306" t="s">
        <v>90</v>
      </c>
      <c r="F217" s="307"/>
      <c r="G217" s="307"/>
      <c r="H217" s="307"/>
      <c r="I217" s="301"/>
      <c r="J217" s="301"/>
      <c r="K217" s="301"/>
      <c r="L217" s="303"/>
      <c r="M217" s="303"/>
      <c r="N217" s="303"/>
      <c r="O217" s="303"/>
      <c r="P217" s="303"/>
      <c r="Q217" s="303"/>
      <c r="R217" s="303"/>
      <c r="S217" s="303"/>
      <c r="T217" s="303"/>
      <c r="U217" s="303"/>
      <c r="V217" s="303"/>
      <c r="W217" s="303"/>
      <c r="X217" s="303"/>
      <c r="Y217" s="303"/>
      <c r="Z217" s="303"/>
      <c r="AA217" s="303"/>
      <c r="AB217" s="303"/>
      <c r="AC217" s="303"/>
      <c r="AD217" s="303"/>
      <c r="AE217" s="303"/>
      <c r="AF217" s="303"/>
      <c r="AG217" s="303"/>
      <c r="AH217" s="303"/>
      <c r="AI217" s="303"/>
      <c r="AJ217" s="301"/>
      <c r="AK217" s="301"/>
      <c r="AL217" s="301"/>
      <c r="AM217" s="301"/>
      <c r="AN217" s="301"/>
      <c r="AO217" s="301"/>
      <c r="AP217" s="301"/>
      <c r="AQ217" s="301"/>
      <c r="AR217" s="301"/>
      <c r="AS217" s="301"/>
      <c r="AT217" s="301"/>
      <c r="AU217" s="301"/>
      <c r="AV217" s="301"/>
      <c r="AW217" s="301"/>
      <c r="AX217" s="301"/>
    </row>
    <row r="218" spans="5:50" x14ac:dyDescent="0.45">
      <c r="E218" s="434" t="s">
        <v>84</v>
      </c>
      <c r="F218" s="440" t="s">
        <v>92</v>
      </c>
      <c r="G218" s="440"/>
      <c r="H218" s="440" t="s">
        <v>93</v>
      </c>
      <c r="I218" s="440"/>
      <c r="J218" s="442" t="s">
        <v>94</v>
      </c>
      <c r="K218" s="442"/>
      <c r="L218" s="440" t="s">
        <v>95</v>
      </c>
      <c r="M218" s="440"/>
      <c r="N218" s="440" t="s">
        <v>35</v>
      </c>
      <c r="O218" s="440"/>
      <c r="P218" s="440" t="s">
        <v>96</v>
      </c>
      <c r="Q218" s="440"/>
      <c r="R218" s="440" t="s">
        <v>97</v>
      </c>
      <c r="S218" s="440"/>
      <c r="T218" s="440" t="s">
        <v>67</v>
      </c>
      <c r="U218" s="440"/>
      <c r="V218" s="440" t="s">
        <v>98</v>
      </c>
      <c r="W218" s="303"/>
      <c r="X218" s="303"/>
      <c r="Y218" s="303"/>
      <c r="Z218" s="303"/>
      <c r="AA218" s="303"/>
      <c r="AB218" s="303"/>
      <c r="AC218" s="303"/>
      <c r="AD218" s="303"/>
      <c r="AE218" s="303"/>
      <c r="AF218" s="303"/>
      <c r="AG218" s="303"/>
      <c r="AH218" s="303"/>
      <c r="AI218" s="303"/>
      <c r="AJ218" s="301"/>
      <c r="AK218" s="301"/>
      <c r="AL218" s="301"/>
      <c r="AM218" s="301"/>
      <c r="AN218" s="301"/>
      <c r="AO218" s="301"/>
      <c r="AP218" s="301"/>
      <c r="AQ218" s="301"/>
      <c r="AR218" s="301"/>
      <c r="AS218" s="301"/>
      <c r="AT218" s="301"/>
      <c r="AU218" s="301"/>
      <c r="AV218" s="301"/>
      <c r="AW218" s="301"/>
      <c r="AX218" s="301"/>
    </row>
    <row r="219" spans="5:50" x14ac:dyDescent="0.45">
      <c r="E219" s="434"/>
      <c r="F219" s="440"/>
      <c r="G219" s="440"/>
      <c r="H219" s="440"/>
      <c r="I219" s="440"/>
      <c r="J219" s="442"/>
      <c r="K219" s="442"/>
      <c r="L219" s="440"/>
      <c r="M219" s="440"/>
      <c r="N219" s="440"/>
      <c r="O219" s="440"/>
      <c r="P219" s="440"/>
      <c r="Q219" s="440"/>
      <c r="R219" s="440"/>
      <c r="S219" s="440"/>
      <c r="T219" s="440"/>
      <c r="U219" s="440"/>
      <c r="V219" s="440"/>
      <c r="W219" s="303"/>
      <c r="X219" s="303"/>
      <c r="Y219" s="303"/>
      <c r="Z219" s="303"/>
      <c r="AA219" s="303"/>
      <c r="AB219" s="303"/>
      <c r="AC219" s="303"/>
      <c r="AD219" s="303"/>
      <c r="AE219" s="303"/>
      <c r="AF219" s="303"/>
      <c r="AG219" s="303"/>
      <c r="AH219" s="303"/>
      <c r="AI219" s="303"/>
      <c r="AJ219" s="301"/>
      <c r="AK219" s="301"/>
      <c r="AL219" s="301"/>
      <c r="AM219" s="301"/>
      <c r="AN219" s="301"/>
      <c r="AO219" s="301"/>
      <c r="AP219" s="301"/>
      <c r="AQ219" s="301"/>
      <c r="AR219" s="301"/>
      <c r="AS219" s="301"/>
      <c r="AT219" s="301"/>
      <c r="AU219" s="301"/>
      <c r="AV219" s="301"/>
      <c r="AW219" s="301"/>
      <c r="AX219" s="301"/>
    </row>
    <row r="220" spans="5:50" x14ac:dyDescent="0.45">
      <c r="E220" s="308" t="s">
        <v>91</v>
      </c>
      <c r="F220" s="441">
        <f>AVERAGE('Từ khóa'!Z12:AB13)</f>
        <v>0.14000000000000001</v>
      </c>
      <c r="G220" s="441"/>
      <c r="H220" s="441">
        <f>AVERAGE('Từ khóa'!Z14:AB15)</f>
        <v>0.13500000000000001</v>
      </c>
      <c r="I220" s="441"/>
      <c r="J220" s="441">
        <f>AVERAGE('Từ khóa'!Z16:AB18)</f>
        <v>9.8333333333333342E-2</v>
      </c>
      <c r="K220" s="441"/>
      <c r="L220" s="441">
        <f>AVERAGE('Từ khóa'!Z20:AB21)</f>
        <v>0.08</v>
      </c>
      <c r="M220" s="441"/>
      <c r="N220" s="441">
        <f>'Từ khóa'!Z19</f>
        <v>0.06</v>
      </c>
      <c r="O220" s="441"/>
      <c r="P220" s="441">
        <f>'Từ khóa'!Z22</f>
        <v>0.05</v>
      </c>
      <c r="Q220" s="441"/>
      <c r="R220" s="441">
        <f>AVERAGE('Từ khóa'!Z23:AB26)</f>
        <v>0.03</v>
      </c>
      <c r="S220" s="441"/>
      <c r="T220" s="440"/>
      <c r="U220" s="440"/>
      <c r="V220" s="440"/>
      <c r="W220" s="303"/>
      <c r="X220" s="303"/>
      <c r="Y220" s="303"/>
      <c r="Z220" s="303"/>
      <c r="AA220" s="303"/>
      <c r="AB220" s="303"/>
      <c r="AC220" s="303"/>
      <c r="AD220" s="303"/>
      <c r="AE220" s="303"/>
      <c r="AF220" s="303"/>
      <c r="AG220" s="303"/>
      <c r="AH220" s="303"/>
      <c r="AI220" s="303"/>
      <c r="AJ220" s="301"/>
      <c r="AK220" s="301"/>
      <c r="AL220" s="301"/>
      <c r="AM220" s="301"/>
      <c r="AN220" s="301"/>
      <c r="AO220" s="301"/>
      <c r="AP220" s="301"/>
      <c r="AQ220" s="301"/>
      <c r="AR220" s="301"/>
      <c r="AS220" s="301"/>
      <c r="AT220" s="301"/>
      <c r="AU220" s="301"/>
      <c r="AV220" s="301"/>
      <c r="AW220" s="301"/>
      <c r="AX220" s="301"/>
    </row>
    <row r="221" spans="5:50" x14ac:dyDescent="0.45">
      <c r="E221" s="318">
        <f>E186</f>
        <v>2023</v>
      </c>
      <c r="F221" s="439">
        <f>IFERROR(SUM(F186:I186)/AJ186,"")</f>
        <v>3.0583803633290638E-2</v>
      </c>
      <c r="G221" s="439"/>
      <c r="H221" s="439">
        <f t="shared" ref="H221:H250" si="101">IFERROR(SUM(J186:M186)/AJ186,"")</f>
        <v>0.20508969321737877</v>
      </c>
      <c r="I221" s="439"/>
      <c r="J221" s="439">
        <f t="shared" ref="J221:J250" si="102">IFERROR(SUM(N186:S186)/AJ186,"")</f>
        <v>0.34543071659577962</v>
      </c>
      <c r="K221" s="439"/>
      <c r="L221" s="439">
        <f t="shared" ref="L221:L250" si="103">IFERROR(SUM(V186:Y186)/AJ186,"")</f>
        <v>8.5081082337448877E-2</v>
      </c>
      <c r="M221" s="439"/>
      <c r="N221" s="439">
        <f t="shared" ref="N221:N250" si="104">IFERROR(T186/AJ186,"")</f>
        <v>0</v>
      </c>
      <c r="O221" s="439"/>
      <c r="P221" s="439">
        <f>IFERROR(SUM(Z186)/AJ186,"")</f>
        <v>0.33381470421610204</v>
      </c>
      <c r="Q221" s="439"/>
      <c r="R221" s="439">
        <f>IFERROR(SUM(AB186:AI186)/AJ186,"")</f>
        <v>0</v>
      </c>
      <c r="S221" s="439"/>
      <c r="T221" s="439">
        <f>SUM(F221:S221)</f>
        <v>0.99999999999999989</v>
      </c>
      <c r="U221" s="439"/>
      <c r="V221" s="309">
        <f>SUMPRODUCT($F$220:$S$220,F221:S221)</f>
        <v>8.9433416689392836E-2</v>
      </c>
      <c r="W221" s="303"/>
      <c r="X221" s="303">
        <f>F107</f>
        <v>21</v>
      </c>
      <c r="Y221" s="310">
        <f>SUM(F221:I221)</f>
        <v>0.23567349685066941</v>
      </c>
      <c r="Z221" s="310">
        <f>J221</f>
        <v>0.34543071659577962</v>
      </c>
      <c r="AA221" s="310">
        <f>L221</f>
        <v>8.5081082337448877E-2</v>
      </c>
      <c r="AB221" s="310">
        <f>SUM(N221:Q221)</f>
        <v>0.33381470421610204</v>
      </c>
      <c r="AC221" s="303"/>
      <c r="AD221" s="303"/>
      <c r="AE221" s="303"/>
      <c r="AF221" s="303"/>
      <c r="AG221" s="303"/>
      <c r="AH221" s="303"/>
      <c r="AI221" s="303"/>
      <c r="AJ221" s="301"/>
      <c r="AK221" s="301"/>
      <c r="AL221" s="301"/>
      <c r="AM221" s="301"/>
      <c r="AN221" s="301"/>
      <c r="AO221" s="301"/>
      <c r="AP221" s="301"/>
      <c r="AQ221" s="301"/>
      <c r="AR221" s="301"/>
      <c r="AS221" s="301"/>
      <c r="AT221" s="301"/>
      <c r="AU221" s="301"/>
      <c r="AV221" s="301"/>
      <c r="AW221" s="301"/>
      <c r="AX221" s="301"/>
    </row>
    <row r="222" spans="5:50" x14ac:dyDescent="0.45">
      <c r="E222" s="318">
        <f>E221+1</f>
        <v>2024</v>
      </c>
      <c r="F222" s="439">
        <f t="shared" ref="F222:F250" si="105">IFERROR(SUM(F187:I187)/AJ187,"")</f>
        <v>0.13463805418394439</v>
      </c>
      <c r="G222" s="439"/>
      <c r="H222" s="439">
        <f t="shared" si="101"/>
        <v>5.8545619585533393E-2</v>
      </c>
      <c r="I222" s="439"/>
      <c r="J222" s="439">
        <f t="shared" si="102"/>
        <v>0.43931277281334241</v>
      </c>
      <c r="K222" s="439"/>
      <c r="L222" s="439">
        <f t="shared" si="103"/>
        <v>0.13332712113974401</v>
      </c>
      <c r="M222" s="439"/>
      <c r="N222" s="439">
        <f t="shared" si="104"/>
        <v>0</v>
      </c>
      <c r="O222" s="439"/>
      <c r="P222" s="439">
        <f t="shared" ref="P222:P250" si="106">IFERROR(SUM(Z187)/AJ187,"")</f>
        <v>0.23417643227743573</v>
      </c>
      <c r="Q222" s="439"/>
      <c r="R222" s="439">
        <f t="shared" ref="R222:R250" si="107">IFERROR(SUM(AB187:AI187)/AJ187,"")</f>
        <v>0</v>
      </c>
      <c r="S222" s="439"/>
      <c r="T222" s="439">
        <f>SUM(F222:S222)</f>
        <v>1</v>
      </c>
      <c r="U222" s="439"/>
      <c r="V222" s="309">
        <f>SUMPRODUCT($F$220:$S$220,F222:S222)</f>
        <v>9.232706686149586E-2</v>
      </c>
      <c r="W222" s="303"/>
      <c r="X222" s="303">
        <f t="shared" ref="X222:X250" si="108">F108</f>
        <v>22</v>
      </c>
      <c r="Y222" s="310">
        <f t="shared" ref="Y222:Y250" si="109">SUM(F222:I222)</f>
        <v>0.19318367376947779</v>
      </c>
      <c r="Z222" s="310">
        <f t="shared" ref="Z222:Z250" si="110">J222</f>
        <v>0.43931277281334241</v>
      </c>
      <c r="AA222" s="310">
        <f t="shared" ref="AA222:AA250" si="111">L222</f>
        <v>0.13332712113974401</v>
      </c>
      <c r="AB222" s="310">
        <f t="shared" ref="AB222:AB250" si="112">SUM(N222:Q222)</f>
        <v>0.23417643227743573</v>
      </c>
      <c r="AC222" s="303"/>
      <c r="AD222" s="303"/>
      <c r="AE222" s="303"/>
      <c r="AF222" s="303"/>
      <c r="AG222" s="303"/>
      <c r="AH222" s="303"/>
      <c r="AI222" s="303"/>
      <c r="AJ222" s="301"/>
      <c r="AK222" s="301"/>
      <c r="AL222" s="301"/>
      <c r="AM222" s="301"/>
      <c r="AN222" s="301"/>
      <c r="AO222" s="301"/>
      <c r="AP222" s="301"/>
      <c r="AQ222" s="301"/>
      <c r="AR222" s="301"/>
      <c r="AS222" s="301"/>
      <c r="AT222" s="301"/>
      <c r="AU222" s="301"/>
      <c r="AV222" s="301"/>
      <c r="AW222" s="301"/>
      <c r="AX222" s="301"/>
    </row>
    <row r="223" spans="5:50" x14ac:dyDescent="0.45">
      <c r="E223" s="318">
        <f t="shared" ref="E223:E250" si="113">E222+1</f>
        <v>2025</v>
      </c>
      <c r="F223" s="439">
        <f t="shared" si="105"/>
        <v>0.13390845598850545</v>
      </c>
      <c r="G223" s="439"/>
      <c r="H223" s="439">
        <f t="shared" si="101"/>
        <v>0.1982884202075989</v>
      </c>
      <c r="I223" s="439"/>
      <c r="J223" s="439">
        <f t="shared" si="102"/>
        <v>0.40897274366523106</v>
      </c>
      <c r="K223" s="439"/>
      <c r="L223" s="439">
        <f t="shared" si="103"/>
        <v>8.3439011336643082E-2</v>
      </c>
      <c r="M223" s="439"/>
      <c r="N223" s="439">
        <f t="shared" si="104"/>
        <v>0</v>
      </c>
      <c r="O223" s="439"/>
      <c r="P223" s="439">
        <f t="shared" si="106"/>
        <v>0.17539136880202139</v>
      </c>
      <c r="Q223" s="439"/>
      <c r="R223" s="439">
        <f t="shared" si="107"/>
        <v>0</v>
      </c>
      <c r="S223" s="439"/>
      <c r="T223" s="439">
        <f t="shared" ref="T223:T227" si="114">SUM(F223:S223)</f>
        <v>1</v>
      </c>
      <c r="U223" s="439"/>
      <c r="V223" s="309">
        <f t="shared" ref="V223:V227" si="115">SUMPRODUCT($F$220:$S$220,F223:S223)</f>
        <v>0.10117646304053018</v>
      </c>
      <c r="W223" s="303"/>
      <c r="X223" s="303">
        <f t="shared" si="108"/>
        <v>23</v>
      </c>
      <c r="Y223" s="310">
        <f t="shared" si="109"/>
        <v>0.33219687619610438</v>
      </c>
      <c r="Z223" s="310">
        <f t="shared" si="110"/>
        <v>0.40897274366523106</v>
      </c>
      <c r="AA223" s="310">
        <f t="shared" si="111"/>
        <v>8.3439011336643082E-2</v>
      </c>
      <c r="AB223" s="310">
        <f t="shared" si="112"/>
        <v>0.17539136880202139</v>
      </c>
      <c r="AC223" s="303"/>
      <c r="AD223" s="303"/>
      <c r="AE223" s="303"/>
      <c r="AF223" s="303"/>
      <c r="AG223" s="303"/>
      <c r="AH223" s="303"/>
      <c r="AI223" s="303"/>
      <c r="AJ223" s="301"/>
      <c r="AK223" s="301"/>
      <c r="AL223" s="301"/>
      <c r="AM223" s="301"/>
      <c r="AN223" s="301"/>
      <c r="AO223" s="301"/>
      <c r="AP223" s="301"/>
      <c r="AQ223" s="301"/>
      <c r="AR223" s="301"/>
      <c r="AS223" s="301"/>
      <c r="AT223" s="301"/>
      <c r="AU223" s="301"/>
      <c r="AV223" s="301"/>
      <c r="AW223" s="301"/>
      <c r="AX223" s="301"/>
    </row>
    <row r="224" spans="5:50" x14ac:dyDescent="0.45">
      <c r="E224" s="318">
        <f t="shared" si="113"/>
        <v>2026</v>
      </c>
      <c r="F224" s="439">
        <f t="shared" si="105"/>
        <v>0.13430404560337184</v>
      </c>
      <c r="G224" s="439"/>
      <c r="H224" s="439">
        <f t="shared" si="101"/>
        <v>0.2608273174841193</v>
      </c>
      <c r="I224" s="439"/>
      <c r="J224" s="439">
        <f t="shared" si="102"/>
        <v>0.39398403199275472</v>
      </c>
      <c r="K224" s="439"/>
      <c r="L224" s="439">
        <f t="shared" si="103"/>
        <v>6.2442479206819786E-2</v>
      </c>
      <c r="M224" s="439"/>
      <c r="N224" s="439">
        <f t="shared" si="104"/>
        <v>0</v>
      </c>
      <c r="O224" s="439"/>
      <c r="P224" s="439">
        <f t="shared" si="106"/>
        <v>0.14844212571293422</v>
      </c>
      <c r="Q224" s="439"/>
      <c r="R224" s="439">
        <f t="shared" si="107"/>
        <v>0</v>
      </c>
      <c r="S224" s="439"/>
      <c r="T224" s="439">
        <f t="shared" si="114"/>
        <v>0.99999999999999989</v>
      </c>
      <c r="U224" s="439"/>
      <c r="V224" s="309">
        <f t="shared" si="115"/>
        <v>0.10517352201297468</v>
      </c>
      <c r="W224" s="303"/>
      <c r="X224" s="303">
        <f t="shared" si="108"/>
        <v>24</v>
      </c>
      <c r="Y224" s="310">
        <f t="shared" si="109"/>
        <v>0.39513136308749114</v>
      </c>
      <c r="Z224" s="310">
        <f t="shared" si="110"/>
        <v>0.39398403199275472</v>
      </c>
      <c r="AA224" s="310">
        <f t="shared" si="111"/>
        <v>6.2442479206819786E-2</v>
      </c>
      <c r="AB224" s="310">
        <f t="shared" si="112"/>
        <v>0.14844212571293422</v>
      </c>
      <c r="AC224" s="303"/>
      <c r="AD224" s="303"/>
      <c r="AE224" s="303"/>
      <c r="AF224" s="303"/>
      <c r="AG224" s="303"/>
      <c r="AH224" s="303"/>
      <c r="AI224" s="303"/>
      <c r="AJ224" s="301"/>
      <c r="AK224" s="301"/>
      <c r="AL224" s="301"/>
      <c r="AM224" s="301"/>
      <c r="AN224" s="301"/>
      <c r="AO224" s="301"/>
      <c r="AP224" s="301"/>
      <c r="AQ224" s="301"/>
      <c r="AR224" s="301"/>
      <c r="AS224" s="301"/>
      <c r="AT224" s="301"/>
      <c r="AU224" s="301"/>
      <c r="AV224" s="301"/>
      <c r="AW224" s="301"/>
      <c r="AX224" s="301"/>
    </row>
    <row r="225" spans="5:50" x14ac:dyDescent="0.45">
      <c r="E225" s="318">
        <f t="shared" si="113"/>
        <v>2027</v>
      </c>
      <c r="F225" s="439">
        <f t="shared" si="105"/>
        <v>0.17151724561882134</v>
      </c>
      <c r="G225" s="439"/>
      <c r="H225" s="439">
        <f t="shared" si="101"/>
        <v>0.48105096613607057</v>
      </c>
      <c r="I225" s="439"/>
      <c r="J225" s="439">
        <f t="shared" si="102"/>
        <v>0.14749347920431924</v>
      </c>
      <c r="K225" s="439"/>
      <c r="L225" s="439">
        <f t="shared" si="103"/>
        <v>8.2115940916680091E-2</v>
      </c>
      <c r="M225" s="439"/>
      <c r="N225" s="439">
        <f t="shared" si="104"/>
        <v>0</v>
      </c>
      <c r="O225" s="439"/>
      <c r="P225" s="439">
        <f t="shared" si="106"/>
        <v>0.11782236812410876</v>
      </c>
      <c r="Q225" s="439"/>
      <c r="R225" s="439">
        <f t="shared" si="107"/>
        <v>0</v>
      </c>
      <c r="S225" s="439"/>
      <c r="T225" s="439">
        <f t="shared" si="114"/>
        <v>0.99999999999999989</v>
      </c>
      <c r="U225" s="439"/>
      <c r="V225" s="309">
        <f t="shared" si="115"/>
        <v>0.11591821394963578</v>
      </c>
      <c r="W225" s="303"/>
      <c r="X225" s="303">
        <f t="shared" si="108"/>
        <v>25</v>
      </c>
      <c r="Y225" s="310">
        <f t="shared" si="109"/>
        <v>0.65256821175489188</v>
      </c>
      <c r="Z225" s="310">
        <f t="shared" si="110"/>
        <v>0.14749347920431924</v>
      </c>
      <c r="AA225" s="310">
        <f t="shared" si="111"/>
        <v>8.2115940916680091E-2</v>
      </c>
      <c r="AB225" s="310">
        <f t="shared" si="112"/>
        <v>0.11782236812410876</v>
      </c>
      <c r="AC225" s="303"/>
      <c r="AD225" s="303"/>
      <c r="AE225" s="303"/>
      <c r="AF225" s="303"/>
      <c r="AG225" s="303"/>
      <c r="AH225" s="303"/>
      <c r="AI225" s="303"/>
      <c r="AJ225" s="301"/>
      <c r="AK225" s="301"/>
      <c r="AL225" s="301"/>
      <c r="AM225" s="301"/>
      <c r="AN225" s="301"/>
      <c r="AO225" s="301"/>
      <c r="AP225" s="301"/>
      <c r="AQ225" s="301"/>
      <c r="AR225" s="301"/>
      <c r="AS225" s="301"/>
      <c r="AT225" s="301"/>
      <c r="AU225" s="301"/>
      <c r="AV225" s="301"/>
      <c r="AW225" s="301"/>
      <c r="AX225" s="301"/>
    </row>
    <row r="226" spans="5:50" x14ac:dyDescent="0.45">
      <c r="E226" s="318">
        <f t="shared" si="113"/>
        <v>2028</v>
      </c>
      <c r="F226" s="439">
        <f t="shared" si="105"/>
        <v>0.14122737520043052</v>
      </c>
      <c r="G226" s="439"/>
      <c r="H226" s="439">
        <f t="shared" si="101"/>
        <v>0.42634320540568948</v>
      </c>
      <c r="I226" s="439"/>
      <c r="J226" s="439">
        <f t="shared" si="102"/>
        <v>0.20568590718127155</v>
      </c>
      <c r="K226" s="439"/>
      <c r="L226" s="439">
        <f t="shared" si="103"/>
        <v>5.73411312258785E-2</v>
      </c>
      <c r="M226" s="439"/>
      <c r="N226" s="439">
        <f t="shared" si="104"/>
        <v>0</v>
      </c>
      <c r="O226" s="439"/>
      <c r="P226" s="439">
        <f t="shared" si="106"/>
        <v>0.16940238098672977</v>
      </c>
      <c r="Q226" s="439"/>
      <c r="R226" s="439">
        <f t="shared" si="107"/>
        <v>0</v>
      </c>
      <c r="S226" s="439"/>
      <c r="T226" s="439">
        <f t="shared" si="114"/>
        <v>0.99999999999999978</v>
      </c>
      <c r="U226" s="439"/>
      <c r="V226" s="309">
        <f t="shared" si="115"/>
        <v>0.11061135567806017</v>
      </c>
      <c r="W226" s="303"/>
      <c r="X226" s="303">
        <f t="shared" si="108"/>
        <v>26</v>
      </c>
      <c r="Y226" s="310">
        <f t="shared" si="109"/>
        <v>0.56757058060611998</v>
      </c>
      <c r="Z226" s="310">
        <f t="shared" si="110"/>
        <v>0.20568590718127155</v>
      </c>
      <c r="AA226" s="310">
        <f t="shared" si="111"/>
        <v>5.73411312258785E-2</v>
      </c>
      <c r="AB226" s="310">
        <f t="shared" si="112"/>
        <v>0.16940238098672977</v>
      </c>
      <c r="AC226" s="303"/>
      <c r="AD226" s="303"/>
      <c r="AE226" s="303"/>
      <c r="AF226" s="303"/>
      <c r="AG226" s="303"/>
      <c r="AH226" s="303"/>
      <c r="AI226" s="303"/>
      <c r="AJ226" s="301"/>
      <c r="AK226" s="301"/>
      <c r="AL226" s="301"/>
      <c r="AM226" s="301"/>
      <c r="AN226" s="301"/>
      <c r="AO226" s="301"/>
      <c r="AP226" s="301"/>
      <c r="AQ226" s="301"/>
      <c r="AR226" s="301"/>
      <c r="AS226" s="301"/>
      <c r="AT226" s="301"/>
      <c r="AU226" s="301"/>
      <c r="AV226" s="301"/>
      <c r="AW226" s="301"/>
      <c r="AX226" s="301"/>
    </row>
    <row r="227" spans="5:50" x14ac:dyDescent="0.45">
      <c r="E227" s="318">
        <f t="shared" si="113"/>
        <v>2029</v>
      </c>
      <c r="F227" s="439">
        <f t="shared" si="105"/>
        <v>0.12715267151150092</v>
      </c>
      <c r="G227" s="439"/>
      <c r="H227" s="439">
        <f t="shared" si="101"/>
        <v>0.40389057490034808</v>
      </c>
      <c r="I227" s="439"/>
      <c r="J227" s="439">
        <f t="shared" si="102"/>
        <v>0.23326876336198163</v>
      </c>
      <c r="K227" s="439"/>
      <c r="L227" s="439">
        <f t="shared" si="103"/>
        <v>4.5269086443492423E-2</v>
      </c>
      <c r="M227" s="439"/>
      <c r="N227" s="439">
        <f t="shared" si="104"/>
        <v>0</v>
      </c>
      <c r="O227" s="439"/>
      <c r="P227" s="439">
        <f t="shared" si="106"/>
        <v>0.19041890378267695</v>
      </c>
      <c r="Q227" s="439"/>
      <c r="R227" s="439">
        <f t="shared" si="107"/>
        <v>0</v>
      </c>
      <c r="S227" s="439"/>
      <c r="T227" s="439">
        <f t="shared" si="114"/>
        <v>1</v>
      </c>
      <c r="U227" s="439"/>
      <c r="V227" s="309">
        <f t="shared" si="115"/>
        <v>0.10840716879169857</v>
      </c>
      <c r="W227" s="303"/>
      <c r="X227" s="303">
        <f t="shared" si="108"/>
        <v>27</v>
      </c>
      <c r="Y227" s="310">
        <f t="shared" si="109"/>
        <v>0.53104324641184897</v>
      </c>
      <c r="Z227" s="310">
        <f t="shared" si="110"/>
        <v>0.23326876336198163</v>
      </c>
      <c r="AA227" s="310">
        <f t="shared" si="111"/>
        <v>4.5269086443492423E-2</v>
      </c>
      <c r="AB227" s="310">
        <f t="shared" si="112"/>
        <v>0.19041890378267695</v>
      </c>
      <c r="AC227" s="303"/>
      <c r="AD227" s="303"/>
      <c r="AE227" s="303"/>
      <c r="AF227" s="303"/>
      <c r="AG227" s="303"/>
      <c r="AH227" s="303"/>
      <c r="AI227" s="303"/>
      <c r="AJ227" s="301"/>
      <c r="AK227" s="301"/>
      <c r="AL227" s="301"/>
      <c r="AM227" s="301"/>
      <c r="AN227" s="301"/>
      <c r="AO227" s="301"/>
      <c r="AP227" s="301"/>
      <c r="AQ227" s="301"/>
      <c r="AR227" s="301"/>
      <c r="AS227" s="301"/>
      <c r="AT227" s="301"/>
      <c r="AU227" s="301"/>
      <c r="AV227" s="301"/>
      <c r="AW227" s="301"/>
      <c r="AX227" s="301"/>
    </row>
    <row r="228" spans="5:50" x14ac:dyDescent="0.45">
      <c r="E228" s="318">
        <f t="shared" si="113"/>
        <v>2030</v>
      </c>
      <c r="F228" s="439">
        <f t="shared" si="105"/>
        <v>0.11942888224736087</v>
      </c>
      <c r="G228" s="439"/>
      <c r="H228" s="439">
        <f t="shared" si="101"/>
        <v>0.39423197350442107</v>
      </c>
      <c r="I228" s="439"/>
      <c r="J228" s="439">
        <f t="shared" si="102"/>
        <v>0.24874468948410269</v>
      </c>
      <c r="K228" s="439"/>
      <c r="L228" s="439">
        <f t="shared" si="103"/>
        <v>3.8159968784819663E-2</v>
      </c>
      <c r="M228" s="439"/>
      <c r="N228" s="439">
        <f t="shared" si="104"/>
        <v>0</v>
      </c>
      <c r="O228" s="439"/>
      <c r="P228" s="439">
        <f t="shared" si="106"/>
        <v>0.19943448597929575</v>
      </c>
      <c r="Q228" s="439"/>
      <c r="R228" s="439">
        <f t="shared" si="107"/>
        <v>0</v>
      </c>
      <c r="S228" s="439"/>
      <c r="T228" s="439">
        <f>SUM(F228:S228)</f>
        <v>1</v>
      </c>
      <c r="U228" s="439"/>
      <c r="V228" s="309">
        <f>SUMPRODUCT($F$220:$S$220,F228:S228)</f>
        <v>0.10742577620541451</v>
      </c>
      <c r="W228" s="303"/>
      <c r="X228" s="303">
        <f t="shared" si="108"/>
        <v>28</v>
      </c>
      <c r="Y228" s="310">
        <f t="shared" si="109"/>
        <v>0.51366085575178189</v>
      </c>
      <c r="Z228" s="310">
        <f t="shared" si="110"/>
        <v>0.24874468948410269</v>
      </c>
      <c r="AA228" s="310">
        <f t="shared" si="111"/>
        <v>3.8159968784819663E-2</v>
      </c>
      <c r="AB228" s="310">
        <f t="shared" si="112"/>
        <v>0.19943448597929575</v>
      </c>
      <c r="AC228" s="303"/>
      <c r="AD228" s="303"/>
      <c r="AE228" s="303"/>
      <c r="AF228" s="303"/>
      <c r="AG228" s="303"/>
      <c r="AH228" s="303"/>
      <c r="AI228" s="303"/>
      <c r="AJ228" s="301"/>
      <c r="AK228" s="301"/>
      <c r="AL228" s="301"/>
      <c r="AM228" s="301"/>
      <c r="AN228" s="301"/>
      <c r="AO228" s="301"/>
      <c r="AP228" s="301"/>
      <c r="AQ228" s="301"/>
      <c r="AR228" s="301"/>
      <c r="AS228" s="301"/>
      <c r="AT228" s="301"/>
      <c r="AU228" s="301"/>
      <c r="AV228" s="301"/>
      <c r="AW228" s="301"/>
      <c r="AX228" s="301"/>
    </row>
    <row r="229" spans="5:50" x14ac:dyDescent="0.45">
      <c r="E229" s="318">
        <f t="shared" si="113"/>
        <v>2031</v>
      </c>
      <c r="F229" s="439">
        <f t="shared" si="105"/>
        <v>5.6992719039268717E-2</v>
      </c>
      <c r="G229" s="439"/>
      <c r="H229" s="439">
        <f t="shared" si="101"/>
        <v>0.46931409361647647</v>
      </c>
      <c r="I229" s="439"/>
      <c r="J229" s="439">
        <f t="shared" si="102"/>
        <v>0.19548095660127626</v>
      </c>
      <c r="K229" s="439"/>
      <c r="L229" s="439">
        <f t="shared" si="103"/>
        <v>5.6440508046814629E-2</v>
      </c>
      <c r="M229" s="439"/>
      <c r="N229" s="439">
        <f t="shared" si="104"/>
        <v>0</v>
      </c>
      <c r="O229" s="439"/>
      <c r="P229" s="439">
        <f t="shared" si="106"/>
        <v>0.22177172269616394</v>
      </c>
      <c r="Q229" s="439"/>
      <c r="R229" s="439">
        <f t="shared" si="107"/>
        <v>0</v>
      </c>
      <c r="S229" s="439"/>
      <c r="T229" s="439">
        <f>SUM(F229:S229)</f>
        <v>1</v>
      </c>
      <c r="U229" s="439"/>
      <c r="V229" s="309">
        <f>SUMPRODUCT($F$220:$S$220,F229:S229)</f>
        <v>0.10616250414806749</v>
      </c>
      <c r="W229" s="303"/>
      <c r="X229" s="303">
        <f t="shared" si="108"/>
        <v>29</v>
      </c>
      <c r="Y229" s="310">
        <f t="shared" si="109"/>
        <v>0.52630681265574519</v>
      </c>
      <c r="Z229" s="310">
        <f t="shared" si="110"/>
        <v>0.19548095660127626</v>
      </c>
      <c r="AA229" s="310">
        <f t="shared" si="111"/>
        <v>5.6440508046814629E-2</v>
      </c>
      <c r="AB229" s="310">
        <f t="shared" si="112"/>
        <v>0.22177172269616394</v>
      </c>
      <c r="AC229" s="301"/>
      <c r="AD229" s="301"/>
      <c r="AE229" s="301"/>
      <c r="AF229" s="301"/>
      <c r="AG229" s="301"/>
      <c r="AH229" s="301"/>
      <c r="AI229" s="301"/>
      <c r="AJ229" s="301"/>
      <c r="AK229" s="301"/>
      <c r="AL229" s="301"/>
      <c r="AM229" s="301"/>
      <c r="AN229" s="301"/>
      <c r="AO229" s="301"/>
      <c r="AP229" s="301"/>
      <c r="AQ229" s="301"/>
      <c r="AR229" s="301"/>
      <c r="AS229" s="301"/>
      <c r="AT229" s="301"/>
      <c r="AU229" s="301"/>
      <c r="AV229" s="301"/>
      <c r="AW229" s="301"/>
      <c r="AX229" s="301"/>
    </row>
    <row r="230" spans="5:50" x14ac:dyDescent="0.45">
      <c r="E230" s="318">
        <f t="shared" si="113"/>
        <v>2032</v>
      </c>
      <c r="F230" s="439">
        <f t="shared" si="105"/>
        <v>5.3224578069633946E-2</v>
      </c>
      <c r="G230" s="439"/>
      <c r="H230" s="439">
        <f t="shared" si="101"/>
        <v>0.45608610945630934</v>
      </c>
      <c r="I230" s="439"/>
      <c r="J230" s="439">
        <f t="shared" si="102"/>
        <v>0.20098250796322051</v>
      </c>
      <c r="K230" s="439"/>
      <c r="L230" s="439">
        <f t="shared" si="103"/>
        <v>6.2096989468303082E-2</v>
      </c>
      <c r="M230" s="439"/>
      <c r="N230" s="439">
        <f t="shared" si="104"/>
        <v>0</v>
      </c>
      <c r="O230" s="439"/>
      <c r="P230" s="439">
        <f t="shared" si="106"/>
        <v>0.22760981504253316</v>
      </c>
      <c r="Q230" s="439"/>
      <c r="R230" s="439">
        <f t="shared" si="107"/>
        <v>0</v>
      </c>
      <c r="S230" s="439"/>
      <c r="T230" s="439">
        <f t="shared" ref="T230:T232" si="116">SUM(F230:S230)</f>
        <v>1</v>
      </c>
      <c r="U230" s="439"/>
      <c r="V230" s="309">
        <f t="shared" ref="V230:V232" si="117">SUMPRODUCT($F$220:$S$220,F230:S230)</f>
        <v>0.10513459556565811</v>
      </c>
      <c r="W230" s="303"/>
      <c r="X230" s="303">
        <f t="shared" si="108"/>
        <v>30</v>
      </c>
      <c r="Y230" s="310">
        <f t="shared" si="109"/>
        <v>0.50931068752594333</v>
      </c>
      <c r="Z230" s="310">
        <f t="shared" si="110"/>
        <v>0.20098250796322051</v>
      </c>
      <c r="AA230" s="310">
        <f t="shared" si="111"/>
        <v>6.2096989468303082E-2</v>
      </c>
      <c r="AB230" s="310">
        <f t="shared" si="112"/>
        <v>0.22760981504253316</v>
      </c>
      <c r="AC230" s="301"/>
      <c r="AD230" s="301"/>
      <c r="AE230" s="301"/>
      <c r="AF230" s="301"/>
      <c r="AG230" s="301"/>
      <c r="AH230" s="301"/>
      <c r="AI230" s="301"/>
      <c r="AJ230" s="301"/>
      <c r="AK230" s="301"/>
      <c r="AL230" s="301"/>
      <c r="AM230" s="301"/>
      <c r="AN230" s="301"/>
      <c r="AO230" s="301"/>
      <c r="AP230" s="301"/>
      <c r="AQ230" s="301"/>
      <c r="AR230" s="301"/>
      <c r="AS230" s="301"/>
      <c r="AT230" s="301"/>
      <c r="AU230" s="301"/>
      <c r="AV230" s="301"/>
      <c r="AW230" s="301"/>
      <c r="AX230" s="301"/>
    </row>
    <row r="231" spans="5:50" x14ac:dyDescent="0.45">
      <c r="E231" s="318">
        <f t="shared" si="113"/>
        <v>2033</v>
      </c>
      <c r="F231" s="439">
        <f t="shared" si="105"/>
        <v>8.2331522240676774E-2</v>
      </c>
      <c r="G231" s="439"/>
      <c r="H231" s="439">
        <f t="shared" si="101"/>
        <v>0.73099350026131249</v>
      </c>
      <c r="I231" s="439"/>
      <c r="J231" s="439">
        <f t="shared" si="102"/>
        <v>0</v>
      </c>
      <c r="K231" s="439"/>
      <c r="L231" s="439">
        <f t="shared" si="103"/>
        <v>0.10741773701981489</v>
      </c>
      <c r="M231" s="439"/>
      <c r="N231" s="439">
        <f t="shared" si="104"/>
        <v>0</v>
      </c>
      <c r="O231" s="439"/>
      <c r="P231" s="439">
        <f t="shared" si="106"/>
        <v>7.9257240478195864E-2</v>
      </c>
      <c r="Q231" s="439"/>
      <c r="R231" s="439">
        <f t="shared" si="107"/>
        <v>0</v>
      </c>
      <c r="S231" s="439"/>
      <c r="T231" s="439">
        <f t="shared" si="116"/>
        <v>0.99999999999999989</v>
      </c>
      <c r="U231" s="439"/>
      <c r="V231" s="309">
        <f t="shared" si="117"/>
        <v>0.12276681663446692</v>
      </c>
      <c r="W231" s="303"/>
      <c r="X231" s="303">
        <f t="shared" si="108"/>
        <v>31</v>
      </c>
      <c r="Y231" s="310">
        <f t="shared" si="109"/>
        <v>0.81332502250198924</v>
      </c>
      <c r="Z231" s="310">
        <f t="shared" si="110"/>
        <v>0</v>
      </c>
      <c r="AA231" s="310">
        <f t="shared" si="111"/>
        <v>0.10741773701981489</v>
      </c>
      <c r="AB231" s="310">
        <f t="shared" si="112"/>
        <v>7.9257240478195864E-2</v>
      </c>
      <c r="AC231" s="301"/>
      <c r="AD231" s="301"/>
      <c r="AE231" s="301"/>
      <c r="AF231" s="301"/>
      <c r="AG231" s="301"/>
      <c r="AH231" s="301"/>
      <c r="AI231" s="301"/>
      <c r="AJ231" s="301"/>
      <c r="AK231" s="301"/>
      <c r="AL231" s="301"/>
      <c r="AM231" s="301"/>
      <c r="AN231" s="301"/>
      <c r="AO231" s="301"/>
      <c r="AP231" s="301"/>
      <c r="AQ231" s="301"/>
      <c r="AR231" s="301"/>
      <c r="AS231" s="301"/>
      <c r="AT231" s="301"/>
      <c r="AU231" s="301"/>
      <c r="AV231" s="301"/>
      <c r="AW231" s="301"/>
      <c r="AX231" s="301"/>
    </row>
    <row r="232" spans="5:50" x14ac:dyDescent="0.45">
      <c r="E232" s="318">
        <f t="shared" si="113"/>
        <v>2034</v>
      </c>
      <c r="F232" s="439">
        <f t="shared" si="105"/>
        <v>7.926061169965222E-2</v>
      </c>
      <c r="G232" s="439"/>
      <c r="H232" s="439">
        <f t="shared" si="101"/>
        <v>0.7269613048702438</v>
      </c>
      <c r="I232" s="439"/>
      <c r="J232" s="439">
        <f t="shared" si="102"/>
        <v>0</v>
      </c>
      <c r="K232" s="439"/>
      <c r="L232" s="439">
        <f t="shared" si="103"/>
        <v>0.112071536832586</v>
      </c>
      <c r="M232" s="439"/>
      <c r="N232" s="439">
        <f t="shared" si="104"/>
        <v>0</v>
      </c>
      <c r="O232" s="439"/>
      <c r="P232" s="439">
        <f t="shared" si="106"/>
        <v>8.1706546597517971E-2</v>
      </c>
      <c r="Q232" s="439"/>
      <c r="R232" s="439">
        <f t="shared" si="107"/>
        <v>0</v>
      </c>
      <c r="S232" s="439"/>
      <c r="T232" s="439">
        <f t="shared" si="116"/>
        <v>1</v>
      </c>
      <c r="U232" s="439"/>
      <c r="V232" s="309">
        <f t="shared" si="117"/>
        <v>0.12228731207191701</v>
      </c>
      <c r="W232" s="303"/>
      <c r="X232" s="303">
        <f t="shared" si="108"/>
        <v>32</v>
      </c>
      <c r="Y232" s="310">
        <f t="shared" si="109"/>
        <v>0.80622191656989606</v>
      </c>
      <c r="Z232" s="310">
        <f t="shared" si="110"/>
        <v>0</v>
      </c>
      <c r="AA232" s="310">
        <f t="shared" si="111"/>
        <v>0.112071536832586</v>
      </c>
      <c r="AB232" s="310">
        <f t="shared" si="112"/>
        <v>8.1706546597517971E-2</v>
      </c>
      <c r="AC232" s="301"/>
      <c r="AD232" s="301"/>
      <c r="AE232" s="301"/>
      <c r="AF232" s="301"/>
      <c r="AG232" s="301"/>
      <c r="AH232" s="301"/>
      <c r="AI232" s="301"/>
      <c r="AJ232" s="301"/>
      <c r="AK232" s="301"/>
      <c r="AL232" s="301"/>
      <c r="AM232" s="301"/>
      <c r="AN232" s="301"/>
      <c r="AO232" s="301"/>
      <c r="AP232" s="301"/>
      <c r="AQ232" s="301"/>
      <c r="AR232" s="301"/>
      <c r="AS232" s="301"/>
      <c r="AT232" s="301"/>
      <c r="AU232" s="301"/>
      <c r="AV232" s="301"/>
      <c r="AW232" s="301"/>
      <c r="AX232" s="301"/>
    </row>
    <row r="233" spans="5:50" x14ac:dyDescent="0.45">
      <c r="E233" s="318">
        <f t="shared" si="113"/>
        <v>2035</v>
      </c>
      <c r="F233" s="439">
        <f t="shared" si="105"/>
        <v>7.6758045116792392E-2</v>
      </c>
      <c r="G233" s="439"/>
      <c r="H233" s="439">
        <f t="shared" si="101"/>
        <v>0.7256981307878021</v>
      </c>
      <c r="I233" s="439"/>
      <c r="J233" s="439">
        <f t="shared" si="102"/>
        <v>0</v>
      </c>
      <c r="K233" s="439"/>
      <c r="L233" s="439">
        <f t="shared" si="103"/>
        <v>0.11522799828479213</v>
      </c>
      <c r="M233" s="439"/>
      <c r="N233" s="439">
        <f t="shared" si="104"/>
        <v>0</v>
      </c>
      <c r="O233" s="439"/>
      <c r="P233" s="439">
        <f t="shared" si="106"/>
        <v>8.2315825810613488E-2</v>
      </c>
      <c r="Q233" s="439"/>
      <c r="R233" s="439">
        <f t="shared" si="107"/>
        <v>0</v>
      </c>
      <c r="S233" s="439"/>
      <c r="T233" s="439">
        <f t="shared" ref="T233:T250" si="118">SUM(F233:S233)</f>
        <v>1.0000000000000002</v>
      </c>
      <c r="U233" s="439"/>
      <c r="V233" s="309">
        <f t="shared" ref="V233:V250" si="119">SUMPRODUCT($F$220:$S$220,F233:S233)</f>
        <v>0.12204940512601828</v>
      </c>
      <c r="W233" s="303"/>
      <c r="X233" s="303">
        <f t="shared" si="108"/>
        <v>33</v>
      </c>
      <c r="Y233" s="310">
        <f t="shared" si="109"/>
        <v>0.8024561759045945</v>
      </c>
      <c r="Z233" s="310">
        <f t="shared" si="110"/>
        <v>0</v>
      </c>
      <c r="AA233" s="310">
        <f t="shared" si="111"/>
        <v>0.11522799828479213</v>
      </c>
      <c r="AB233" s="310">
        <f t="shared" si="112"/>
        <v>8.2315825810613488E-2</v>
      </c>
      <c r="AC233" s="301"/>
      <c r="AD233" s="301"/>
      <c r="AE233" s="301"/>
      <c r="AF233" s="301"/>
      <c r="AG233" s="301"/>
      <c r="AH233" s="301"/>
      <c r="AI233" s="301"/>
      <c r="AJ233" s="301"/>
      <c r="AK233" s="301"/>
      <c r="AL233" s="301"/>
      <c r="AM233" s="301"/>
      <c r="AN233" s="301"/>
      <c r="AO233" s="301"/>
      <c r="AP233" s="301"/>
      <c r="AQ233" s="301"/>
      <c r="AR233" s="301"/>
      <c r="AS233" s="301"/>
      <c r="AT233" s="301"/>
      <c r="AU233" s="301"/>
      <c r="AV233" s="301"/>
      <c r="AW233" s="301"/>
      <c r="AX233" s="301"/>
    </row>
    <row r="234" spans="5:50" x14ac:dyDescent="0.45">
      <c r="E234" s="318">
        <f t="shared" si="113"/>
        <v>2036</v>
      </c>
      <c r="F234" s="439">
        <f t="shared" si="105"/>
        <v>7.4651326636561585E-2</v>
      </c>
      <c r="G234" s="439"/>
      <c r="H234" s="439">
        <f t="shared" si="101"/>
        <v>0.7264046424301227</v>
      </c>
      <c r="I234" s="439"/>
      <c r="J234" s="439">
        <f t="shared" si="102"/>
        <v>0</v>
      </c>
      <c r="K234" s="439"/>
      <c r="L234" s="439">
        <f t="shared" si="103"/>
        <v>0.11728860896426807</v>
      </c>
      <c r="M234" s="439"/>
      <c r="N234" s="439">
        <f t="shared" si="104"/>
        <v>0</v>
      </c>
      <c r="O234" s="439"/>
      <c r="P234" s="439">
        <f t="shared" si="106"/>
        <v>8.1655421969047626E-2</v>
      </c>
      <c r="Q234" s="439"/>
      <c r="R234" s="439">
        <f t="shared" si="107"/>
        <v>0</v>
      </c>
      <c r="S234" s="439"/>
      <c r="T234" s="439">
        <f t="shared" si="118"/>
        <v>1</v>
      </c>
      <c r="U234" s="439"/>
      <c r="V234" s="309">
        <f t="shared" si="119"/>
        <v>0.12198167227277902</v>
      </c>
      <c r="W234" s="303"/>
      <c r="X234" s="303">
        <f t="shared" si="108"/>
        <v>34</v>
      </c>
      <c r="Y234" s="310">
        <f t="shared" si="109"/>
        <v>0.8010559690666843</v>
      </c>
      <c r="Z234" s="310">
        <f t="shared" si="110"/>
        <v>0</v>
      </c>
      <c r="AA234" s="310">
        <f t="shared" si="111"/>
        <v>0.11728860896426807</v>
      </c>
      <c r="AB234" s="310">
        <f t="shared" si="112"/>
        <v>8.1655421969047626E-2</v>
      </c>
      <c r="AC234" s="301"/>
      <c r="AD234" s="301"/>
      <c r="AE234" s="301"/>
      <c r="AF234" s="301"/>
      <c r="AG234" s="301"/>
      <c r="AH234" s="301"/>
      <c r="AI234" s="301"/>
      <c r="AJ234" s="301"/>
      <c r="AK234" s="301"/>
      <c r="AL234" s="301"/>
      <c r="AM234" s="301"/>
      <c r="AN234" s="301"/>
      <c r="AO234" s="301"/>
      <c r="AP234" s="301"/>
      <c r="AQ234" s="301"/>
      <c r="AR234" s="301"/>
      <c r="AS234" s="301"/>
      <c r="AT234" s="301"/>
      <c r="AU234" s="301"/>
      <c r="AV234" s="301"/>
      <c r="AW234" s="301"/>
      <c r="AX234" s="301"/>
    </row>
    <row r="235" spans="5:50" x14ac:dyDescent="0.45">
      <c r="E235" s="318">
        <f t="shared" si="113"/>
        <v>2037</v>
      </c>
      <c r="F235" s="439">
        <f t="shared" si="105"/>
        <v>7.2827637139516843E-2</v>
      </c>
      <c r="G235" s="439"/>
      <c r="H235" s="439">
        <f t="shared" si="101"/>
        <v>0.72855043082415616</v>
      </c>
      <c r="I235" s="439"/>
      <c r="J235" s="439">
        <f t="shared" si="102"/>
        <v>0</v>
      </c>
      <c r="K235" s="439"/>
      <c r="L235" s="439">
        <f t="shared" si="103"/>
        <v>0.1185185709201288</v>
      </c>
      <c r="M235" s="439"/>
      <c r="N235" s="439">
        <f t="shared" si="104"/>
        <v>0</v>
      </c>
      <c r="O235" s="439"/>
      <c r="P235" s="439">
        <f t="shared" si="106"/>
        <v>8.0103361116198188E-2</v>
      </c>
      <c r="Q235" s="439"/>
      <c r="R235" s="439">
        <f t="shared" si="107"/>
        <v>0</v>
      </c>
      <c r="S235" s="439"/>
      <c r="T235" s="439">
        <f t="shared" si="118"/>
        <v>1</v>
      </c>
      <c r="U235" s="439"/>
      <c r="V235" s="309">
        <f t="shared" si="119"/>
        <v>0.12203683109021367</v>
      </c>
      <c r="W235" s="303"/>
      <c r="X235" s="303">
        <f t="shared" si="108"/>
        <v>35</v>
      </c>
      <c r="Y235" s="310">
        <f t="shared" si="109"/>
        <v>0.80137806796367306</v>
      </c>
      <c r="Z235" s="310">
        <f t="shared" si="110"/>
        <v>0</v>
      </c>
      <c r="AA235" s="310">
        <f t="shared" si="111"/>
        <v>0.1185185709201288</v>
      </c>
      <c r="AB235" s="310">
        <f t="shared" si="112"/>
        <v>8.0103361116198188E-2</v>
      </c>
      <c r="AC235" s="301"/>
      <c r="AD235" s="301"/>
      <c r="AE235" s="301"/>
      <c r="AF235" s="301"/>
      <c r="AG235" s="301"/>
      <c r="AH235" s="301"/>
      <c r="AI235" s="301"/>
      <c r="AJ235" s="301"/>
      <c r="AK235" s="301"/>
      <c r="AL235" s="301"/>
      <c r="AM235" s="301"/>
      <c r="AN235" s="301"/>
      <c r="AO235" s="301"/>
      <c r="AP235" s="301"/>
      <c r="AQ235" s="301"/>
      <c r="AR235" s="301"/>
      <c r="AS235" s="301"/>
      <c r="AT235" s="301"/>
      <c r="AU235" s="301"/>
      <c r="AV235" s="301"/>
      <c r="AW235" s="301"/>
      <c r="AX235" s="301"/>
    </row>
    <row r="236" spans="5:50" x14ac:dyDescent="0.45">
      <c r="E236" s="318">
        <f t="shared" si="113"/>
        <v>2038</v>
      </c>
      <c r="F236" s="439">
        <f t="shared" si="105"/>
        <v>0.19715466323192807</v>
      </c>
      <c r="G236" s="439"/>
      <c r="H236" s="439">
        <f t="shared" si="101"/>
        <v>0.25736461444027353</v>
      </c>
      <c r="I236" s="439"/>
      <c r="J236" s="439">
        <f t="shared" si="102"/>
        <v>0</v>
      </c>
      <c r="K236" s="439"/>
      <c r="L236" s="439">
        <f t="shared" si="103"/>
        <v>0.3297463525620617</v>
      </c>
      <c r="M236" s="439"/>
      <c r="N236" s="439">
        <f t="shared" si="104"/>
        <v>0</v>
      </c>
      <c r="O236" s="439"/>
      <c r="P236" s="439">
        <f t="shared" si="106"/>
        <v>0.21573436976573654</v>
      </c>
      <c r="Q236" s="439"/>
      <c r="R236" s="439">
        <f t="shared" si="107"/>
        <v>0</v>
      </c>
      <c r="S236" s="439"/>
      <c r="T236" s="439">
        <f t="shared" si="118"/>
        <v>0.99999999999999978</v>
      </c>
      <c r="U236" s="439"/>
      <c r="V236" s="309">
        <f t="shared" si="119"/>
        <v>9.9512302495158633E-2</v>
      </c>
      <c r="W236" s="303"/>
      <c r="X236" s="303">
        <f t="shared" si="108"/>
        <v>36</v>
      </c>
      <c r="Y236" s="310">
        <f t="shared" si="109"/>
        <v>0.45451927767220157</v>
      </c>
      <c r="Z236" s="310">
        <f t="shared" si="110"/>
        <v>0</v>
      </c>
      <c r="AA236" s="310">
        <f t="shared" si="111"/>
        <v>0.3297463525620617</v>
      </c>
      <c r="AB236" s="310">
        <f t="shared" si="112"/>
        <v>0.21573436976573654</v>
      </c>
      <c r="AC236" s="301"/>
      <c r="AD236" s="301"/>
      <c r="AE236" s="301"/>
      <c r="AF236" s="301"/>
      <c r="AG236" s="301"/>
      <c r="AH236" s="301"/>
      <c r="AI236" s="301"/>
      <c r="AJ236" s="301"/>
      <c r="AK236" s="301"/>
      <c r="AL236" s="301"/>
      <c r="AM236" s="301"/>
      <c r="AN236" s="301"/>
      <c r="AO236" s="301"/>
      <c r="AP236" s="301"/>
      <c r="AQ236" s="301"/>
      <c r="AR236" s="301"/>
      <c r="AS236" s="301"/>
      <c r="AT236" s="301"/>
      <c r="AU236" s="301"/>
      <c r="AV236" s="301"/>
      <c r="AW236" s="301"/>
      <c r="AX236" s="301"/>
    </row>
    <row r="237" spans="5:50" x14ac:dyDescent="0.45">
      <c r="E237" s="318">
        <f t="shared" si="113"/>
        <v>2039</v>
      </c>
      <c r="F237" s="439">
        <f t="shared" si="105"/>
        <v>0.19523979258689952</v>
      </c>
      <c r="G237" s="439"/>
      <c r="H237" s="439">
        <f t="shared" si="101"/>
        <v>0.26039583710698633</v>
      </c>
      <c r="I237" s="439"/>
      <c r="J237" s="439">
        <f t="shared" si="102"/>
        <v>0</v>
      </c>
      <c r="K237" s="439"/>
      <c r="L237" s="439">
        <f t="shared" si="103"/>
        <v>0.33358773683795256</v>
      </c>
      <c r="M237" s="439"/>
      <c r="N237" s="439">
        <f t="shared" si="104"/>
        <v>0</v>
      </c>
      <c r="O237" s="439"/>
      <c r="P237" s="439">
        <f t="shared" si="106"/>
        <v>0.21077663346816169</v>
      </c>
      <c r="Q237" s="439"/>
      <c r="R237" s="439">
        <f t="shared" si="107"/>
        <v>0</v>
      </c>
      <c r="S237" s="439"/>
      <c r="T237" s="439">
        <f t="shared" si="118"/>
        <v>1.0000000000000002</v>
      </c>
      <c r="U237" s="439"/>
      <c r="V237" s="309">
        <f t="shared" si="119"/>
        <v>9.9712859592053393E-2</v>
      </c>
      <c r="W237" s="303"/>
      <c r="X237" s="303">
        <f t="shared" si="108"/>
        <v>37</v>
      </c>
      <c r="Y237" s="310">
        <f t="shared" si="109"/>
        <v>0.45563562969388582</v>
      </c>
      <c r="Z237" s="310">
        <f t="shared" si="110"/>
        <v>0</v>
      </c>
      <c r="AA237" s="310">
        <f t="shared" si="111"/>
        <v>0.33358773683795256</v>
      </c>
      <c r="AB237" s="310">
        <f t="shared" si="112"/>
        <v>0.21077663346816169</v>
      </c>
      <c r="AC237" s="301"/>
      <c r="AD237" s="301"/>
      <c r="AE237" s="301"/>
      <c r="AF237" s="301"/>
      <c r="AG237" s="301"/>
      <c r="AH237" s="301"/>
      <c r="AI237" s="301"/>
      <c r="AJ237" s="301"/>
      <c r="AK237" s="301"/>
      <c r="AL237" s="301"/>
      <c r="AM237" s="301"/>
      <c r="AN237" s="301"/>
      <c r="AO237" s="301"/>
      <c r="AP237" s="301"/>
      <c r="AQ237" s="301"/>
      <c r="AR237" s="301"/>
      <c r="AS237" s="301"/>
      <c r="AT237" s="301"/>
      <c r="AU237" s="301"/>
      <c r="AV237" s="301"/>
      <c r="AW237" s="301"/>
      <c r="AX237" s="301"/>
    </row>
    <row r="238" spans="5:50" x14ac:dyDescent="0.45">
      <c r="E238" s="318">
        <f t="shared" si="113"/>
        <v>2040</v>
      </c>
      <c r="F238" s="439">
        <f t="shared" si="105"/>
        <v>0.19385840925595307</v>
      </c>
      <c r="G238" s="439"/>
      <c r="H238" s="439">
        <f t="shared" si="101"/>
        <v>0.26425838337182672</v>
      </c>
      <c r="I238" s="439"/>
      <c r="J238" s="439">
        <f t="shared" si="102"/>
        <v>0</v>
      </c>
      <c r="K238" s="439"/>
      <c r="L238" s="439">
        <f t="shared" si="103"/>
        <v>0.33677135233166866</v>
      </c>
      <c r="M238" s="439"/>
      <c r="N238" s="439">
        <f t="shared" si="104"/>
        <v>0</v>
      </c>
      <c r="O238" s="439"/>
      <c r="P238" s="439">
        <f t="shared" si="106"/>
        <v>0.20511185504055141</v>
      </c>
      <c r="Q238" s="439"/>
      <c r="R238" s="439">
        <f t="shared" si="107"/>
        <v>0</v>
      </c>
      <c r="S238" s="439"/>
      <c r="T238" s="439">
        <f t="shared" si="118"/>
        <v>0.99999999999999989</v>
      </c>
      <c r="U238" s="439"/>
      <c r="V238" s="309">
        <f t="shared" si="119"/>
        <v>0.10001235998959111</v>
      </c>
      <c r="W238" s="303"/>
      <c r="X238" s="303">
        <f t="shared" si="108"/>
        <v>38</v>
      </c>
      <c r="Y238" s="310">
        <f t="shared" si="109"/>
        <v>0.45811679262777982</v>
      </c>
      <c r="Z238" s="310">
        <f t="shared" si="110"/>
        <v>0</v>
      </c>
      <c r="AA238" s="310">
        <f t="shared" si="111"/>
        <v>0.33677135233166866</v>
      </c>
      <c r="AB238" s="310">
        <f t="shared" si="112"/>
        <v>0.20511185504055141</v>
      </c>
      <c r="AC238" s="301"/>
      <c r="AD238" s="301"/>
      <c r="AE238" s="301"/>
      <c r="AF238" s="301"/>
      <c r="AG238" s="301"/>
      <c r="AH238" s="301"/>
      <c r="AI238" s="301"/>
      <c r="AJ238" s="301"/>
      <c r="AK238" s="301"/>
      <c r="AL238" s="301"/>
      <c r="AM238" s="301"/>
      <c r="AN238" s="301"/>
      <c r="AO238" s="301"/>
      <c r="AP238" s="301"/>
      <c r="AQ238" s="301"/>
      <c r="AR238" s="301"/>
      <c r="AS238" s="301"/>
      <c r="AT238" s="301"/>
      <c r="AU238" s="301"/>
      <c r="AV238" s="301"/>
      <c r="AW238" s="301"/>
      <c r="AX238" s="301"/>
    </row>
    <row r="239" spans="5:50" x14ac:dyDescent="0.45">
      <c r="E239" s="318">
        <f t="shared" si="113"/>
        <v>2041</v>
      </c>
      <c r="F239" s="439">
        <f t="shared" si="105"/>
        <v>0.14671618294907401</v>
      </c>
      <c r="G239" s="439"/>
      <c r="H239" s="439">
        <f t="shared" si="101"/>
        <v>0.23760958735102483</v>
      </c>
      <c r="I239" s="439"/>
      <c r="J239" s="439">
        <f t="shared" si="102"/>
        <v>0</v>
      </c>
      <c r="K239" s="439"/>
      <c r="L239" s="439">
        <f t="shared" si="103"/>
        <v>0.39190259413370826</v>
      </c>
      <c r="M239" s="439"/>
      <c r="N239" s="439">
        <f t="shared" si="104"/>
        <v>0</v>
      </c>
      <c r="O239" s="439"/>
      <c r="P239" s="439">
        <f t="shared" si="106"/>
        <v>0.22377163556619298</v>
      </c>
      <c r="Q239" s="439"/>
      <c r="R239" s="439">
        <f t="shared" si="107"/>
        <v>0</v>
      </c>
      <c r="S239" s="439"/>
      <c r="T239" s="439">
        <f t="shared" si="118"/>
        <v>1</v>
      </c>
      <c r="U239" s="439"/>
      <c r="V239" s="309">
        <f t="shared" si="119"/>
        <v>9.5158349214265026E-2</v>
      </c>
      <c r="W239" s="303"/>
      <c r="X239" s="303">
        <f t="shared" si="108"/>
        <v>39</v>
      </c>
      <c r="Y239" s="310">
        <f t="shared" si="109"/>
        <v>0.38432577030009885</v>
      </c>
      <c r="Z239" s="310">
        <f t="shared" si="110"/>
        <v>0</v>
      </c>
      <c r="AA239" s="310">
        <f t="shared" si="111"/>
        <v>0.39190259413370826</v>
      </c>
      <c r="AB239" s="310">
        <f t="shared" si="112"/>
        <v>0.22377163556619298</v>
      </c>
      <c r="AC239" s="301"/>
      <c r="AD239" s="301"/>
      <c r="AE239" s="301"/>
      <c r="AF239" s="301"/>
      <c r="AG239" s="301"/>
      <c r="AH239" s="301"/>
      <c r="AI239" s="301"/>
      <c r="AJ239" s="301"/>
      <c r="AK239" s="301"/>
      <c r="AL239" s="301"/>
      <c r="AM239" s="301"/>
      <c r="AN239" s="301"/>
      <c r="AO239" s="301"/>
      <c r="AP239" s="301"/>
      <c r="AQ239" s="301"/>
      <c r="AR239" s="301"/>
      <c r="AS239" s="301"/>
      <c r="AT239" s="301"/>
      <c r="AU239" s="301"/>
      <c r="AV239" s="301"/>
      <c r="AW239" s="301"/>
      <c r="AX239" s="301"/>
    </row>
    <row r="240" spans="5:50" x14ac:dyDescent="0.45">
      <c r="E240" s="318">
        <f t="shared" si="113"/>
        <v>2042</v>
      </c>
      <c r="F240" s="439">
        <f t="shared" si="105"/>
        <v>0.15069298790857638</v>
      </c>
      <c r="G240" s="439"/>
      <c r="H240" s="439">
        <f t="shared" si="101"/>
        <v>0.24860215779730652</v>
      </c>
      <c r="I240" s="439"/>
      <c r="J240" s="439">
        <f t="shared" si="102"/>
        <v>0</v>
      </c>
      <c r="K240" s="439"/>
      <c r="L240" s="439">
        <f t="shared" si="103"/>
        <v>0.39126190667997557</v>
      </c>
      <c r="M240" s="439"/>
      <c r="N240" s="439">
        <f t="shared" si="104"/>
        <v>0</v>
      </c>
      <c r="O240" s="439"/>
      <c r="P240" s="439">
        <f t="shared" si="106"/>
        <v>0.20944294761414162</v>
      </c>
      <c r="Q240" s="439"/>
      <c r="R240" s="439">
        <f t="shared" si="107"/>
        <v>0</v>
      </c>
      <c r="S240" s="439"/>
      <c r="T240" s="439">
        <f t="shared" si="118"/>
        <v>1</v>
      </c>
      <c r="U240" s="439"/>
      <c r="V240" s="309">
        <f t="shared" si="119"/>
        <v>9.6431409524942197E-2</v>
      </c>
      <c r="W240" s="303"/>
      <c r="X240" s="303">
        <f t="shared" si="108"/>
        <v>40</v>
      </c>
      <c r="Y240" s="310">
        <f t="shared" si="109"/>
        <v>0.39929514570588287</v>
      </c>
      <c r="Z240" s="310">
        <f t="shared" si="110"/>
        <v>0</v>
      </c>
      <c r="AA240" s="310">
        <f t="shared" si="111"/>
        <v>0.39126190667997557</v>
      </c>
      <c r="AB240" s="310">
        <f t="shared" si="112"/>
        <v>0.20944294761414162</v>
      </c>
      <c r="AC240" s="301"/>
      <c r="AD240" s="301"/>
      <c r="AE240" s="301"/>
      <c r="AF240" s="301"/>
      <c r="AG240" s="301"/>
      <c r="AH240" s="301"/>
      <c r="AI240" s="301"/>
      <c r="AJ240" s="301"/>
      <c r="AK240" s="301"/>
      <c r="AL240" s="301"/>
      <c r="AM240" s="301"/>
      <c r="AN240" s="301"/>
      <c r="AO240" s="301"/>
      <c r="AP240" s="301"/>
      <c r="AQ240" s="301"/>
      <c r="AR240" s="301"/>
      <c r="AS240" s="301"/>
      <c r="AT240" s="301"/>
      <c r="AU240" s="301"/>
      <c r="AV240" s="301"/>
      <c r="AW240" s="301"/>
      <c r="AX240" s="301"/>
    </row>
    <row r="241" spans="5:50" x14ac:dyDescent="0.45">
      <c r="E241" s="318">
        <f t="shared" si="113"/>
        <v>2043</v>
      </c>
      <c r="F241" s="439">
        <f t="shared" si="105"/>
        <v>0.100944361585113</v>
      </c>
      <c r="G241" s="439"/>
      <c r="H241" s="439">
        <f t="shared" si="101"/>
        <v>0.22236976087609372</v>
      </c>
      <c r="I241" s="439"/>
      <c r="J241" s="439">
        <f t="shared" si="102"/>
        <v>0</v>
      </c>
      <c r="K241" s="439"/>
      <c r="L241" s="439">
        <f t="shared" si="103"/>
        <v>0.45056976987742126</v>
      </c>
      <c r="M241" s="439"/>
      <c r="N241" s="439">
        <f t="shared" si="104"/>
        <v>0</v>
      </c>
      <c r="O241" s="439"/>
      <c r="P241" s="439">
        <f t="shared" si="106"/>
        <v>0.22611610766137202</v>
      </c>
      <c r="Q241" s="439"/>
      <c r="R241" s="439">
        <f t="shared" si="107"/>
        <v>0</v>
      </c>
      <c r="S241" s="439"/>
      <c r="T241" s="439">
        <f t="shared" si="118"/>
        <v>1</v>
      </c>
      <c r="U241" s="439"/>
      <c r="V241" s="309">
        <f t="shared" si="119"/>
        <v>9.1503515313450773E-2</v>
      </c>
      <c r="W241" s="303"/>
      <c r="X241" s="303">
        <f t="shared" si="108"/>
        <v>41</v>
      </c>
      <c r="Y241" s="310">
        <f t="shared" si="109"/>
        <v>0.32331412246120672</v>
      </c>
      <c r="Z241" s="310">
        <f t="shared" si="110"/>
        <v>0</v>
      </c>
      <c r="AA241" s="310">
        <f t="shared" si="111"/>
        <v>0.45056976987742126</v>
      </c>
      <c r="AB241" s="310">
        <f t="shared" si="112"/>
        <v>0.22611610766137202</v>
      </c>
      <c r="AC241" s="301"/>
      <c r="AD241" s="301"/>
      <c r="AE241" s="301"/>
      <c r="AF241" s="301"/>
      <c r="AG241" s="301"/>
      <c r="AH241" s="301"/>
      <c r="AI241" s="301"/>
      <c r="AJ241" s="301"/>
      <c r="AK241" s="301"/>
      <c r="AL241" s="301"/>
      <c r="AM241" s="301"/>
      <c r="AN241" s="301"/>
      <c r="AO241" s="301"/>
      <c r="AP241" s="301"/>
      <c r="AQ241" s="301"/>
      <c r="AR241" s="301"/>
      <c r="AS241" s="301"/>
      <c r="AT241" s="301"/>
      <c r="AU241" s="301"/>
      <c r="AV241" s="301"/>
      <c r="AW241" s="301"/>
      <c r="AX241" s="301"/>
    </row>
    <row r="242" spans="5:50" x14ac:dyDescent="0.45">
      <c r="E242" s="318">
        <f t="shared" si="113"/>
        <v>2044</v>
      </c>
      <c r="F242" s="439">
        <f t="shared" si="105"/>
        <v>0.10451066201575152</v>
      </c>
      <c r="G242" s="439"/>
      <c r="H242" s="439">
        <f t="shared" si="101"/>
        <v>0.23296991813929732</v>
      </c>
      <c r="I242" s="439"/>
      <c r="J242" s="439">
        <f t="shared" si="102"/>
        <v>0</v>
      </c>
      <c r="K242" s="439"/>
      <c r="L242" s="439">
        <f t="shared" si="103"/>
        <v>0.45054651150187475</v>
      </c>
      <c r="M242" s="439"/>
      <c r="N242" s="439">
        <f t="shared" si="104"/>
        <v>0</v>
      </c>
      <c r="O242" s="439"/>
      <c r="P242" s="439">
        <f t="shared" si="106"/>
        <v>0.21197290834307642</v>
      </c>
      <c r="Q242" s="439"/>
      <c r="R242" s="439">
        <f t="shared" si="107"/>
        <v>0</v>
      </c>
      <c r="S242" s="439"/>
      <c r="T242" s="439">
        <f t="shared" si="118"/>
        <v>1</v>
      </c>
      <c r="U242" s="439"/>
      <c r="V242" s="309">
        <f t="shared" si="119"/>
        <v>9.2724797968314149E-2</v>
      </c>
      <c r="W242" s="303"/>
      <c r="X242" s="303">
        <f t="shared" si="108"/>
        <v>42</v>
      </c>
      <c r="Y242" s="310">
        <f t="shared" si="109"/>
        <v>0.33748058015504884</v>
      </c>
      <c r="Z242" s="310">
        <f t="shared" si="110"/>
        <v>0</v>
      </c>
      <c r="AA242" s="310">
        <f t="shared" si="111"/>
        <v>0.45054651150187475</v>
      </c>
      <c r="AB242" s="310">
        <f t="shared" si="112"/>
        <v>0.21197290834307642</v>
      </c>
      <c r="AC242" s="301"/>
      <c r="AD242" s="301"/>
      <c r="AE242" s="301"/>
      <c r="AF242" s="301"/>
      <c r="AG242" s="301"/>
      <c r="AH242" s="301"/>
      <c r="AI242" s="301"/>
      <c r="AJ242" s="301"/>
      <c r="AK242" s="301"/>
      <c r="AL242" s="301"/>
      <c r="AM242" s="301"/>
      <c r="AN242" s="301"/>
      <c r="AO242" s="301"/>
      <c r="AP242" s="301"/>
      <c r="AQ242" s="301"/>
      <c r="AR242" s="301"/>
      <c r="AS242" s="301"/>
      <c r="AT242" s="301"/>
      <c r="AU242" s="301"/>
      <c r="AV242" s="301"/>
      <c r="AW242" s="301"/>
      <c r="AX242" s="301"/>
    </row>
    <row r="243" spans="5:50" x14ac:dyDescent="0.45">
      <c r="E243" s="318">
        <f t="shared" si="113"/>
        <v>2045</v>
      </c>
      <c r="F243" s="439">
        <f t="shared" si="105"/>
        <v>5.2793964271729305E-2</v>
      </c>
      <c r="G243" s="439"/>
      <c r="H243" s="439">
        <f t="shared" si="101"/>
        <v>0.20755133084795355</v>
      </c>
      <c r="I243" s="439"/>
      <c r="J243" s="439">
        <f t="shared" si="102"/>
        <v>0</v>
      </c>
      <c r="K243" s="439"/>
      <c r="L243" s="439">
        <f t="shared" si="103"/>
        <v>0.51326609222185737</v>
      </c>
      <c r="M243" s="439"/>
      <c r="N243" s="439">
        <f t="shared" si="104"/>
        <v>0</v>
      </c>
      <c r="O243" s="439"/>
      <c r="P243" s="439">
        <f t="shared" si="106"/>
        <v>0.2263886126584598</v>
      </c>
      <c r="Q243" s="439"/>
      <c r="R243" s="439">
        <f t="shared" si="107"/>
        <v>0</v>
      </c>
      <c r="S243" s="439"/>
      <c r="T243" s="439">
        <f t="shared" si="118"/>
        <v>1</v>
      </c>
      <c r="U243" s="439"/>
      <c r="V243" s="309">
        <f t="shared" si="119"/>
        <v>8.779130267318741E-2</v>
      </c>
      <c r="W243" s="303"/>
      <c r="X243" s="303">
        <f t="shared" si="108"/>
        <v>43</v>
      </c>
      <c r="Y243" s="310">
        <f t="shared" si="109"/>
        <v>0.26034529511968285</v>
      </c>
      <c r="Z243" s="310">
        <f t="shared" si="110"/>
        <v>0</v>
      </c>
      <c r="AA243" s="310">
        <f t="shared" si="111"/>
        <v>0.51326609222185737</v>
      </c>
      <c r="AB243" s="310">
        <f t="shared" si="112"/>
        <v>0.2263886126584598</v>
      </c>
      <c r="AC243" s="301"/>
      <c r="AD243" s="301"/>
      <c r="AE243" s="301"/>
      <c r="AF243" s="301"/>
      <c r="AG243" s="301"/>
      <c r="AH243" s="301"/>
      <c r="AI243" s="301"/>
      <c r="AJ243" s="301"/>
      <c r="AK243" s="301"/>
      <c r="AL243" s="301"/>
      <c r="AM243" s="301"/>
      <c r="AN243" s="301"/>
      <c r="AO243" s="301"/>
      <c r="AP243" s="301"/>
      <c r="AQ243" s="301"/>
      <c r="AR243" s="301"/>
      <c r="AS243" s="301"/>
      <c r="AT243" s="301"/>
      <c r="AU243" s="301"/>
      <c r="AV243" s="301"/>
      <c r="AW243" s="301"/>
      <c r="AX243" s="301"/>
    </row>
    <row r="244" spans="5:50" x14ac:dyDescent="0.45">
      <c r="E244" s="318">
        <f t="shared" si="113"/>
        <v>2046</v>
      </c>
      <c r="F244" s="439">
        <f t="shared" si="105"/>
        <v>5.5769323208734824E-2</v>
      </c>
      <c r="G244" s="439"/>
      <c r="H244" s="439">
        <f t="shared" si="101"/>
        <v>0.21769703130377319</v>
      </c>
      <c r="I244" s="439"/>
      <c r="J244" s="439">
        <f t="shared" si="102"/>
        <v>0</v>
      </c>
      <c r="K244" s="439"/>
      <c r="L244" s="439">
        <f t="shared" si="103"/>
        <v>0.5139935230810726</v>
      </c>
      <c r="M244" s="439"/>
      <c r="N244" s="439">
        <f t="shared" si="104"/>
        <v>0</v>
      </c>
      <c r="O244" s="439"/>
      <c r="P244" s="439">
        <f t="shared" si="106"/>
        <v>0.21254012240641953</v>
      </c>
      <c r="Q244" s="439"/>
      <c r="R244" s="439">
        <f t="shared" si="107"/>
        <v>0</v>
      </c>
      <c r="S244" s="439"/>
      <c r="T244" s="439">
        <f t="shared" si="118"/>
        <v>1.0000000000000002</v>
      </c>
      <c r="U244" s="439"/>
      <c r="V244" s="309">
        <f t="shared" si="119"/>
        <v>8.8943292442039051E-2</v>
      </c>
      <c r="W244" s="303"/>
      <c r="X244" s="303">
        <f t="shared" si="108"/>
        <v>44</v>
      </c>
      <c r="Y244" s="310">
        <f t="shared" si="109"/>
        <v>0.273466354512508</v>
      </c>
      <c r="Z244" s="310">
        <f t="shared" si="110"/>
        <v>0</v>
      </c>
      <c r="AA244" s="310">
        <f t="shared" si="111"/>
        <v>0.5139935230810726</v>
      </c>
      <c r="AB244" s="310">
        <f t="shared" si="112"/>
        <v>0.21254012240641953</v>
      </c>
      <c r="AC244" s="301"/>
      <c r="AD244" s="301"/>
      <c r="AE244" s="301"/>
      <c r="AF244" s="301"/>
      <c r="AG244" s="301"/>
      <c r="AH244" s="301"/>
      <c r="AI244" s="301"/>
      <c r="AJ244" s="301"/>
      <c r="AK244" s="301"/>
      <c r="AL244" s="301"/>
      <c r="AM244" s="301"/>
      <c r="AN244" s="301"/>
      <c r="AO244" s="301"/>
      <c r="AP244" s="301"/>
      <c r="AQ244" s="301"/>
      <c r="AR244" s="301"/>
      <c r="AS244" s="301"/>
      <c r="AT244" s="301"/>
      <c r="AU244" s="301"/>
      <c r="AV244" s="301"/>
      <c r="AW244" s="301"/>
      <c r="AX244" s="301"/>
    </row>
    <row r="245" spans="5:50" x14ac:dyDescent="0.45">
      <c r="E245" s="318">
        <f t="shared" si="113"/>
        <v>2047</v>
      </c>
      <c r="F245" s="439">
        <f t="shared" si="105"/>
        <v>2.8365248808879828E-3</v>
      </c>
      <c r="G245" s="439"/>
      <c r="H245" s="439">
        <f t="shared" si="101"/>
        <v>0.19349195898789648</v>
      </c>
      <c r="I245" s="439"/>
      <c r="J245" s="439">
        <f t="shared" si="102"/>
        <v>0</v>
      </c>
      <c r="K245" s="439"/>
      <c r="L245" s="439">
        <f t="shared" si="103"/>
        <v>0.57915460068118518</v>
      </c>
      <c r="M245" s="439"/>
      <c r="N245" s="439">
        <f t="shared" si="104"/>
        <v>0</v>
      </c>
      <c r="O245" s="439"/>
      <c r="P245" s="439">
        <f t="shared" si="106"/>
        <v>0.22451691545003027</v>
      </c>
      <c r="Q245" s="439"/>
      <c r="R245" s="439">
        <f t="shared" si="107"/>
        <v>0</v>
      </c>
      <c r="S245" s="439"/>
      <c r="T245" s="439">
        <f t="shared" si="118"/>
        <v>0.99999999999999989</v>
      </c>
      <c r="U245" s="439"/>
      <c r="V245" s="309">
        <f t="shared" si="119"/>
        <v>8.4076741773686681E-2</v>
      </c>
      <c r="W245" s="303"/>
      <c r="X245" s="303">
        <f t="shared" si="108"/>
        <v>45</v>
      </c>
      <c r="Y245" s="310">
        <f t="shared" si="109"/>
        <v>0.19632848386878446</v>
      </c>
      <c r="Z245" s="310">
        <f t="shared" si="110"/>
        <v>0</v>
      </c>
      <c r="AA245" s="310">
        <f t="shared" si="111"/>
        <v>0.57915460068118518</v>
      </c>
      <c r="AB245" s="310">
        <f t="shared" si="112"/>
        <v>0.22451691545003027</v>
      </c>
      <c r="AC245" s="301"/>
      <c r="AD245" s="301"/>
      <c r="AE245" s="301"/>
      <c r="AF245" s="301"/>
      <c r="AG245" s="301"/>
      <c r="AH245" s="301"/>
      <c r="AI245" s="301"/>
      <c r="AJ245" s="301"/>
      <c r="AK245" s="301"/>
      <c r="AL245" s="301"/>
      <c r="AM245" s="301"/>
      <c r="AN245" s="301"/>
      <c r="AO245" s="301"/>
      <c r="AP245" s="301"/>
      <c r="AQ245" s="301"/>
      <c r="AR245" s="301"/>
      <c r="AS245" s="301"/>
      <c r="AT245" s="301"/>
      <c r="AU245" s="301"/>
      <c r="AV245" s="301"/>
      <c r="AW245" s="301"/>
      <c r="AX245" s="301"/>
    </row>
    <row r="246" spans="5:50" x14ac:dyDescent="0.45">
      <c r="E246" s="318">
        <f t="shared" si="113"/>
        <v>2048</v>
      </c>
      <c r="F246" s="439">
        <f t="shared" si="105"/>
        <v>5.057088029022409E-3</v>
      </c>
      <c r="G246" s="439"/>
      <c r="H246" s="439">
        <f t="shared" si="101"/>
        <v>0.20313912580763577</v>
      </c>
      <c r="I246" s="439"/>
      <c r="J246" s="439">
        <f t="shared" si="102"/>
        <v>0</v>
      </c>
      <c r="K246" s="439"/>
      <c r="L246" s="439">
        <f t="shared" si="103"/>
        <v>0.58074219265662386</v>
      </c>
      <c r="M246" s="439"/>
      <c r="N246" s="439">
        <f t="shared" si="104"/>
        <v>0</v>
      </c>
      <c r="O246" s="439"/>
      <c r="P246" s="439">
        <f t="shared" si="106"/>
        <v>0.21106159350671796</v>
      </c>
      <c r="Q246" s="439"/>
      <c r="R246" s="439">
        <f t="shared" si="107"/>
        <v>0</v>
      </c>
      <c r="S246" s="439"/>
      <c r="T246" s="439">
        <f t="shared" si="118"/>
        <v>1</v>
      </c>
      <c r="U246" s="439"/>
      <c r="V246" s="309">
        <f t="shared" si="119"/>
        <v>8.5144229395959781E-2</v>
      </c>
      <c r="W246" s="303"/>
      <c r="X246" s="303">
        <f t="shared" si="108"/>
        <v>46</v>
      </c>
      <c r="Y246" s="310">
        <f t="shared" si="109"/>
        <v>0.20819621383665818</v>
      </c>
      <c r="Z246" s="310">
        <f t="shared" si="110"/>
        <v>0</v>
      </c>
      <c r="AA246" s="310">
        <f t="shared" si="111"/>
        <v>0.58074219265662386</v>
      </c>
      <c r="AB246" s="310">
        <f t="shared" si="112"/>
        <v>0.21106159350671796</v>
      </c>
      <c r="AC246" s="301"/>
      <c r="AD246" s="301"/>
      <c r="AE246" s="301"/>
      <c r="AF246" s="301"/>
      <c r="AG246" s="301"/>
      <c r="AH246" s="301"/>
      <c r="AI246" s="301"/>
      <c r="AJ246" s="301"/>
      <c r="AK246" s="301"/>
      <c r="AL246" s="301"/>
      <c r="AM246" s="301"/>
      <c r="AN246" s="301"/>
      <c r="AO246" s="301"/>
      <c r="AP246" s="301"/>
      <c r="AQ246" s="301"/>
      <c r="AR246" s="301"/>
      <c r="AS246" s="301"/>
      <c r="AT246" s="301"/>
      <c r="AU246" s="301"/>
      <c r="AV246" s="301"/>
      <c r="AW246" s="301"/>
      <c r="AX246" s="301"/>
    </row>
    <row r="247" spans="5:50" x14ac:dyDescent="0.45">
      <c r="E247" s="318">
        <f t="shared" si="113"/>
        <v>2049</v>
      </c>
      <c r="F247" s="439">
        <f t="shared" si="105"/>
        <v>-4.8269501527914878E-2</v>
      </c>
      <c r="G247" s="439"/>
      <c r="H247" s="439">
        <f t="shared" si="101"/>
        <v>0.1805236108367767</v>
      </c>
      <c r="I247" s="439"/>
      <c r="J247" s="439">
        <f t="shared" si="102"/>
        <v>0</v>
      </c>
      <c r="K247" s="439"/>
      <c r="L247" s="439">
        <f t="shared" si="103"/>
        <v>0.64722399432670363</v>
      </c>
      <c r="M247" s="439"/>
      <c r="N247" s="439">
        <f t="shared" si="104"/>
        <v>0</v>
      </c>
      <c r="O247" s="439"/>
      <c r="P247" s="439">
        <f t="shared" si="106"/>
        <v>0.22052189636443456</v>
      </c>
      <c r="Q247" s="439"/>
      <c r="R247" s="439">
        <f t="shared" si="107"/>
        <v>0</v>
      </c>
      <c r="S247" s="439"/>
      <c r="T247" s="439">
        <f t="shared" si="118"/>
        <v>1</v>
      </c>
      <c r="U247" s="439"/>
      <c r="V247" s="309">
        <f t="shared" si="119"/>
        <v>8.0416971613414795E-2</v>
      </c>
      <c r="W247" s="303"/>
      <c r="X247" s="303">
        <f t="shared" si="108"/>
        <v>47</v>
      </c>
      <c r="Y247" s="310">
        <f t="shared" si="109"/>
        <v>0.13225410930886183</v>
      </c>
      <c r="Z247" s="310">
        <f t="shared" si="110"/>
        <v>0</v>
      </c>
      <c r="AA247" s="310">
        <f t="shared" si="111"/>
        <v>0.64722399432670363</v>
      </c>
      <c r="AB247" s="310">
        <f t="shared" si="112"/>
        <v>0.22052189636443456</v>
      </c>
      <c r="AC247" s="301"/>
      <c r="AD247" s="301"/>
      <c r="AE247" s="301"/>
      <c r="AF247" s="301"/>
      <c r="AG247" s="301"/>
      <c r="AH247" s="301"/>
      <c r="AI247" s="301"/>
      <c r="AJ247" s="301"/>
      <c r="AK247" s="301"/>
      <c r="AL247" s="301"/>
      <c r="AM247" s="301"/>
      <c r="AN247" s="301"/>
      <c r="AO247" s="301"/>
      <c r="AP247" s="301"/>
      <c r="AQ247" s="301"/>
      <c r="AR247" s="301"/>
      <c r="AS247" s="301"/>
      <c r="AT247" s="301"/>
      <c r="AU247" s="301"/>
      <c r="AV247" s="301"/>
      <c r="AW247" s="301"/>
      <c r="AX247" s="301"/>
    </row>
    <row r="248" spans="5:50" x14ac:dyDescent="0.45">
      <c r="E248" s="318">
        <f t="shared" si="113"/>
        <v>2050</v>
      </c>
      <c r="F248" s="439">
        <f t="shared" si="105"/>
        <v>-4.6939182798859364E-2</v>
      </c>
      <c r="G248" s="439"/>
      <c r="H248" s="439">
        <f t="shared" si="101"/>
        <v>0.18965003352153081</v>
      </c>
      <c r="I248" s="439"/>
      <c r="J248" s="439">
        <f t="shared" si="102"/>
        <v>0</v>
      </c>
      <c r="K248" s="439"/>
      <c r="L248" s="439">
        <f t="shared" si="103"/>
        <v>0.64974469695790682</v>
      </c>
      <c r="M248" s="439"/>
      <c r="N248" s="439">
        <f t="shared" si="104"/>
        <v>0</v>
      </c>
      <c r="O248" s="439"/>
      <c r="P248" s="439">
        <f t="shared" si="106"/>
        <v>0.20754445231942167</v>
      </c>
      <c r="Q248" s="439"/>
      <c r="R248" s="439">
        <f t="shared" si="107"/>
        <v>0</v>
      </c>
      <c r="S248" s="439"/>
      <c r="T248" s="439">
        <f t="shared" si="118"/>
        <v>0.99999999999999989</v>
      </c>
      <c r="U248" s="439"/>
      <c r="V248" s="309">
        <f t="shared" si="119"/>
        <v>8.1388067306169987E-2</v>
      </c>
      <c r="W248" s="303"/>
      <c r="X248" s="303">
        <f t="shared" si="108"/>
        <v>48</v>
      </c>
      <c r="Y248" s="310">
        <f t="shared" si="109"/>
        <v>0.14271085072267145</v>
      </c>
      <c r="Z248" s="310">
        <f t="shared" si="110"/>
        <v>0</v>
      </c>
      <c r="AA248" s="310">
        <f t="shared" si="111"/>
        <v>0.64974469695790682</v>
      </c>
      <c r="AB248" s="310">
        <f t="shared" si="112"/>
        <v>0.20754445231942167</v>
      </c>
      <c r="AC248" s="301"/>
      <c r="AD248" s="301"/>
      <c r="AE248" s="301"/>
      <c r="AF248" s="301"/>
      <c r="AG248" s="301"/>
      <c r="AH248" s="301"/>
      <c r="AI248" s="301"/>
      <c r="AJ248" s="301"/>
      <c r="AK248" s="301"/>
      <c r="AL248" s="301"/>
      <c r="AM248" s="301"/>
      <c r="AN248" s="301"/>
      <c r="AO248" s="301"/>
      <c r="AP248" s="301"/>
      <c r="AQ248" s="301"/>
      <c r="AR248" s="301"/>
      <c r="AS248" s="301"/>
      <c r="AT248" s="301"/>
      <c r="AU248" s="301"/>
      <c r="AV248" s="301"/>
      <c r="AW248" s="301"/>
      <c r="AX248" s="301"/>
    </row>
    <row r="249" spans="5:50" x14ac:dyDescent="0.45">
      <c r="E249" s="318">
        <f t="shared" si="113"/>
        <v>2051</v>
      </c>
      <c r="F249" s="439">
        <f t="shared" si="105"/>
        <v>-9.9820247518233193E-2</v>
      </c>
      <c r="G249" s="439"/>
      <c r="H249" s="439">
        <f t="shared" si="101"/>
        <v>0.16895139575974324</v>
      </c>
      <c r="I249" s="439"/>
      <c r="J249" s="439">
        <f t="shared" si="102"/>
        <v>0</v>
      </c>
      <c r="K249" s="439"/>
      <c r="L249" s="439">
        <f t="shared" si="103"/>
        <v>0.71635020393362026</v>
      </c>
      <c r="M249" s="439"/>
      <c r="N249" s="439">
        <f t="shared" si="104"/>
        <v>0</v>
      </c>
      <c r="O249" s="439"/>
      <c r="P249" s="439">
        <f t="shared" si="106"/>
        <v>0.21451864782486971</v>
      </c>
      <c r="Q249" s="439"/>
      <c r="R249" s="439">
        <f t="shared" si="107"/>
        <v>0</v>
      </c>
      <c r="S249" s="439"/>
      <c r="T249" s="439">
        <f t="shared" si="118"/>
        <v>1</v>
      </c>
      <c r="U249" s="439"/>
      <c r="V249" s="309">
        <f t="shared" si="119"/>
        <v>7.6867552480945803E-2</v>
      </c>
      <c r="W249" s="303"/>
      <c r="X249" s="303">
        <f t="shared" si="108"/>
        <v>49</v>
      </c>
      <c r="Y249" s="310">
        <f t="shared" si="109"/>
        <v>6.9131148241510051E-2</v>
      </c>
      <c r="Z249" s="310">
        <f t="shared" si="110"/>
        <v>0</v>
      </c>
      <c r="AA249" s="310">
        <f t="shared" si="111"/>
        <v>0.71635020393362026</v>
      </c>
      <c r="AB249" s="310">
        <f t="shared" si="112"/>
        <v>0.21451864782486971</v>
      </c>
      <c r="AC249" s="301"/>
      <c r="AD249" s="301"/>
      <c r="AE249" s="301"/>
      <c r="AF249" s="301"/>
      <c r="AG249" s="301"/>
      <c r="AH249" s="301"/>
      <c r="AI249" s="301"/>
      <c r="AJ249" s="301"/>
      <c r="AK249" s="301"/>
      <c r="AL249" s="301"/>
      <c r="AM249" s="301"/>
      <c r="AN249" s="301"/>
      <c r="AO249" s="301"/>
      <c r="AP249" s="301"/>
      <c r="AQ249" s="301"/>
      <c r="AR249" s="301"/>
      <c r="AS249" s="301"/>
      <c r="AT249" s="301"/>
      <c r="AU249" s="301"/>
      <c r="AV249" s="301"/>
      <c r="AW249" s="301"/>
      <c r="AX249" s="301"/>
    </row>
    <row r="250" spans="5:50" x14ac:dyDescent="0.45">
      <c r="E250" s="318">
        <f t="shared" si="113"/>
        <v>2052</v>
      </c>
      <c r="F250" s="439">
        <f t="shared" si="105"/>
        <v>-9.9477763719601875E-2</v>
      </c>
      <c r="G250" s="439"/>
      <c r="H250" s="439">
        <f t="shared" si="101"/>
        <v>0.17755864297525234</v>
      </c>
      <c r="I250" s="439"/>
      <c r="J250" s="439">
        <f t="shared" si="102"/>
        <v>0</v>
      </c>
      <c r="K250" s="439"/>
      <c r="L250" s="439">
        <f t="shared" si="103"/>
        <v>0.71983074606480868</v>
      </c>
      <c r="M250" s="439"/>
      <c r="N250" s="439">
        <f t="shared" si="104"/>
        <v>0</v>
      </c>
      <c r="O250" s="439"/>
      <c r="P250" s="439">
        <f t="shared" si="106"/>
        <v>0.20208837467954097</v>
      </c>
      <c r="Q250" s="439"/>
      <c r="R250" s="439">
        <f t="shared" si="107"/>
        <v>0</v>
      </c>
      <c r="S250" s="439"/>
      <c r="T250" s="439">
        <f t="shared" si="118"/>
        <v>1</v>
      </c>
      <c r="U250" s="439"/>
      <c r="V250" s="309">
        <f t="shared" si="119"/>
        <v>7.7734408300076552E-2</v>
      </c>
      <c r="W250" s="303"/>
      <c r="X250" s="303">
        <f t="shared" si="108"/>
        <v>50</v>
      </c>
      <c r="Y250" s="310">
        <f t="shared" si="109"/>
        <v>7.8080879255650465E-2</v>
      </c>
      <c r="Z250" s="310">
        <f t="shared" si="110"/>
        <v>0</v>
      </c>
      <c r="AA250" s="310">
        <f t="shared" si="111"/>
        <v>0.71983074606480868</v>
      </c>
      <c r="AB250" s="310">
        <f t="shared" si="112"/>
        <v>0.20208837467954097</v>
      </c>
      <c r="AC250" s="301"/>
      <c r="AD250" s="301"/>
      <c r="AE250" s="301"/>
      <c r="AF250" s="301"/>
      <c r="AG250" s="301"/>
      <c r="AH250" s="301"/>
      <c r="AI250" s="301"/>
      <c r="AJ250" s="301"/>
      <c r="AK250" s="301"/>
      <c r="AL250" s="301"/>
      <c r="AM250" s="301"/>
      <c r="AN250" s="301"/>
      <c r="AO250" s="301"/>
      <c r="AP250" s="301"/>
      <c r="AQ250" s="301"/>
      <c r="AR250" s="301"/>
      <c r="AS250" s="301"/>
      <c r="AT250" s="301"/>
      <c r="AU250" s="301"/>
      <c r="AV250" s="301"/>
      <c r="AW250" s="301"/>
      <c r="AX250" s="301"/>
    </row>
    <row r="251" spans="5:50" ht="18" x14ac:dyDescent="0.45">
      <c r="E251" s="434" t="s">
        <v>100</v>
      </c>
      <c r="F251" s="434"/>
      <c r="G251" s="434"/>
      <c r="H251" s="434"/>
      <c r="I251" s="434"/>
      <c r="J251" s="434"/>
      <c r="K251" s="434"/>
      <c r="L251" s="434"/>
      <c r="M251" s="434"/>
      <c r="N251" s="434"/>
      <c r="O251" s="434"/>
      <c r="P251" s="434"/>
      <c r="Q251" s="434"/>
      <c r="R251" s="434"/>
      <c r="S251" s="434"/>
      <c r="T251" s="434"/>
      <c r="U251" s="434"/>
      <c r="V251" s="311">
        <f>AVERAGE(V221:W250)</f>
        <v>9.9677009340719283E-2</v>
      </c>
      <c r="W251" s="303"/>
      <c r="X251" s="301"/>
      <c r="Y251" s="301"/>
      <c r="Z251" s="301"/>
      <c r="AA251" s="301"/>
      <c r="AB251" s="301"/>
      <c r="AC251" s="301"/>
      <c r="AD251" s="301"/>
      <c r="AE251" s="301"/>
      <c r="AF251" s="301"/>
      <c r="AG251" s="301"/>
      <c r="AH251" s="301"/>
      <c r="AI251" s="301"/>
      <c r="AJ251" s="301"/>
      <c r="AK251" s="301"/>
      <c r="AL251" s="301"/>
      <c r="AM251" s="301"/>
      <c r="AN251" s="301"/>
      <c r="AO251" s="301"/>
      <c r="AP251" s="301"/>
      <c r="AQ251" s="301"/>
      <c r="AR251" s="301"/>
      <c r="AS251" s="301"/>
      <c r="AT251" s="301"/>
      <c r="AU251" s="301"/>
      <c r="AV251" s="301"/>
      <c r="AW251" s="301"/>
      <c r="AX251" s="301"/>
    </row>
    <row r="252" spans="5:50" x14ac:dyDescent="0.45">
      <c r="E252" s="301"/>
      <c r="F252" s="301"/>
      <c r="G252" s="301"/>
      <c r="H252" s="301"/>
      <c r="I252" s="301"/>
      <c r="J252" s="301"/>
      <c r="K252" s="301"/>
      <c r="L252" s="301"/>
      <c r="M252" s="301"/>
      <c r="N252" s="301"/>
      <c r="O252" s="301"/>
      <c r="P252" s="301"/>
      <c r="Q252" s="301"/>
      <c r="R252" s="301"/>
      <c r="S252" s="301"/>
      <c r="T252" s="301"/>
      <c r="U252" s="301"/>
      <c r="V252" s="301"/>
      <c r="W252" s="301"/>
      <c r="X252" s="301"/>
      <c r="Y252" s="301"/>
      <c r="Z252" s="301"/>
      <c r="AA252" s="301"/>
      <c r="AB252" s="301"/>
      <c r="AC252" s="301"/>
      <c r="AD252" s="301"/>
      <c r="AE252" s="301"/>
      <c r="AF252" s="301"/>
      <c r="AG252" s="301"/>
      <c r="AH252" s="301"/>
      <c r="AI252" s="301"/>
      <c r="AJ252" s="301"/>
      <c r="AK252" s="301"/>
      <c r="AL252" s="301"/>
      <c r="AM252" s="301"/>
      <c r="AN252" s="301"/>
      <c r="AO252" s="301"/>
      <c r="AP252" s="301"/>
      <c r="AQ252" s="301"/>
      <c r="AR252" s="301"/>
      <c r="AS252" s="301"/>
      <c r="AT252" s="301"/>
      <c r="AU252" s="301"/>
      <c r="AV252" s="301"/>
      <c r="AW252" s="301"/>
      <c r="AX252" s="301"/>
    </row>
    <row r="253" spans="5:50" x14ac:dyDescent="0.45">
      <c r="E253" s="301"/>
      <c r="F253" s="301"/>
      <c r="G253" s="301"/>
      <c r="H253" s="301"/>
      <c r="I253" s="301"/>
      <c r="J253" s="301"/>
      <c r="K253" s="301"/>
      <c r="L253" s="301"/>
      <c r="M253" s="301"/>
      <c r="N253" s="301"/>
      <c r="O253" s="301"/>
      <c r="P253" s="301"/>
      <c r="Q253" s="301"/>
      <c r="R253" s="301"/>
      <c r="S253" s="301"/>
      <c r="T253" s="301"/>
      <c r="U253" s="301"/>
      <c r="V253" s="301"/>
      <c r="W253" s="301"/>
      <c r="X253" s="301"/>
      <c r="Y253" s="301"/>
      <c r="Z253" s="301"/>
      <c r="AA253" s="301"/>
      <c r="AB253" s="301"/>
      <c r="AC253" s="301"/>
      <c r="AD253" s="301"/>
      <c r="AE253" s="301"/>
      <c r="AF253" s="301"/>
      <c r="AG253" s="301"/>
      <c r="AH253" s="301"/>
      <c r="AI253" s="301"/>
      <c r="AJ253" s="301"/>
      <c r="AK253" s="301"/>
      <c r="AL253" s="301"/>
      <c r="AM253" s="301"/>
      <c r="AN253" s="301"/>
      <c r="AO253" s="301"/>
      <c r="AP253" s="301"/>
      <c r="AQ253" s="301"/>
      <c r="AR253" s="301"/>
      <c r="AS253" s="301"/>
      <c r="AT253" s="301"/>
      <c r="AU253" s="301"/>
      <c r="AV253" s="301"/>
      <c r="AW253" s="301"/>
      <c r="AX253" s="301"/>
    </row>
    <row r="254" spans="5:50" x14ac:dyDescent="0.45">
      <c r="E254" s="301"/>
      <c r="F254" s="301"/>
      <c r="G254" s="301"/>
      <c r="H254" s="301"/>
      <c r="I254" s="301"/>
      <c r="J254" s="301"/>
      <c r="K254" s="301"/>
      <c r="L254" s="301"/>
      <c r="M254" s="301"/>
      <c r="N254" s="301"/>
      <c r="O254" s="301"/>
      <c r="P254" s="301"/>
      <c r="Q254" s="301"/>
      <c r="R254" s="301"/>
      <c r="S254" s="301"/>
      <c r="T254" s="301"/>
      <c r="U254" s="301"/>
      <c r="V254" s="301"/>
      <c r="W254" s="301"/>
      <c r="X254" s="301"/>
      <c r="Y254" s="301"/>
      <c r="Z254" s="301"/>
      <c r="AA254" s="301"/>
      <c r="AB254" s="301"/>
      <c r="AC254" s="301"/>
      <c r="AD254" s="301"/>
      <c r="AE254" s="301"/>
      <c r="AF254" s="301"/>
      <c r="AG254" s="301"/>
      <c r="AH254" s="301"/>
      <c r="AI254" s="301"/>
      <c r="AJ254" s="301"/>
      <c r="AK254" s="301"/>
      <c r="AL254" s="301"/>
      <c r="AM254" s="301"/>
      <c r="AN254" s="301"/>
      <c r="AO254" s="301"/>
      <c r="AP254" s="301"/>
      <c r="AQ254" s="301"/>
      <c r="AR254" s="301"/>
      <c r="AS254" s="301"/>
      <c r="AT254" s="301"/>
      <c r="AU254" s="301"/>
      <c r="AV254" s="301"/>
      <c r="AW254" s="301"/>
      <c r="AX254" s="301"/>
    </row>
    <row r="255" spans="5:50" x14ac:dyDescent="0.45">
      <c r="E255" s="301"/>
      <c r="F255" s="301"/>
      <c r="G255" s="301"/>
      <c r="H255" s="301"/>
      <c r="I255" s="301"/>
      <c r="J255" s="301"/>
      <c r="K255" s="301"/>
      <c r="L255" s="301"/>
      <c r="M255" s="301"/>
      <c r="N255" s="301"/>
      <c r="O255" s="301"/>
      <c r="P255" s="301"/>
      <c r="Q255" s="301"/>
      <c r="R255" s="301"/>
      <c r="S255" s="301"/>
      <c r="T255" s="301"/>
      <c r="U255" s="301"/>
      <c r="V255" s="301"/>
      <c r="W255" s="301"/>
      <c r="X255" s="301"/>
      <c r="Y255" s="301"/>
      <c r="Z255" s="301"/>
      <c r="AA255" s="301"/>
      <c r="AB255" s="301"/>
      <c r="AC255" s="301"/>
      <c r="AD255" s="301"/>
      <c r="AE255" s="301"/>
      <c r="AF255" s="301"/>
      <c r="AG255" s="301"/>
      <c r="AH255" s="301"/>
      <c r="AI255" s="301"/>
      <c r="AJ255" s="301"/>
      <c r="AK255" s="301"/>
      <c r="AL255" s="301"/>
      <c r="AM255" s="301"/>
      <c r="AN255" s="301"/>
      <c r="AO255" s="301"/>
      <c r="AP255" s="301"/>
      <c r="AQ255" s="301"/>
      <c r="AR255" s="301"/>
      <c r="AS255" s="301"/>
      <c r="AT255" s="301"/>
      <c r="AU255" s="301"/>
      <c r="AV255" s="301"/>
      <c r="AW255" s="301"/>
      <c r="AX255" s="301"/>
    </row>
    <row r="256" spans="5:50" x14ac:dyDescent="0.45">
      <c r="E256" s="301"/>
      <c r="F256" s="301"/>
      <c r="G256" s="301"/>
      <c r="H256" s="301"/>
      <c r="I256" s="301"/>
      <c r="J256" s="301"/>
      <c r="K256" s="301"/>
      <c r="L256" s="301"/>
      <c r="M256" s="301"/>
      <c r="N256" s="301"/>
      <c r="O256" s="301"/>
      <c r="P256" s="301"/>
      <c r="Q256" s="301"/>
      <c r="R256" s="301"/>
      <c r="S256" s="301"/>
      <c r="T256" s="301"/>
      <c r="U256" s="301"/>
      <c r="V256" s="301"/>
      <c r="W256" s="301"/>
      <c r="X256" s="301"/>
      <c r="Y256" s="301"/>
      <c r="Z256" s="301"/>
      <c r="AA256" s="301"/>
      <c r="AB256" s="301"/>
      <c r="AC256" s="301"/>
      <c r="AD256" s="301"/>
      <c r="AE256" s="301"/>
      <c r="AF256" s="301"/>
      <c r="AG256" s="301"/>
      <c r="AH256" s="301"/>
      <c r="AI256" s="301"/>
      <c r="AJ256" s="301"/>
      <c r="AK256" s="301"/>
      <c r="AL256" s="301"/>
      <c r="AM256" s="301"/>
      <c r="AN256" s="301"/>
      <c r="AO256" s="301"/>
      <c r="AP256" s="301"/>
      <c r="AQ256" s="301"/>
      <c r="AR256" s="301"/>
      <c r="AS256" s="301"/>
      <c r="AT256" s="301"/>
      <c r="AU256" s="301"/>
      <c r="AV256" s="301"/>
      <c r="AW256" s="301"/>
      <c r="AX256" s="301"/>
    </row>
    <row r="257" spans="5:50" x14ac:dyDescent="0.45">
      <c r="E257" s="301"/>
      <c r="F257" s="301"/>
      <c r="G257" s="301"/>
      <c r="H257" s="301"/>
      <c r="I257" s="301"/>
      <c r="J257" s="301"/>
      <c r="K257" s="301"/>
      <c r="L257" s="301"/>
      <c r="M257" s="301"/>
      <c r="N257" s="301"/>
      <c r="O257" s="301"/>
      <c r="P257" s="301"/>
      <c r="Q257" s="301"/>
      <c r="R257" s="301"/>
      <c r="S257" s="301"/>
      <c r="T257" s="301"/>
      <c r="U257" s="301"/>
      <c r="V257" s="301"/>
      <c r="W257" s="301"/>
      <c r="X257" s="301"/>
      <c r="Y257" s="301"/>
      <c r="Z257" s="301"/>
      <c r="AA257" s="301"/>
      <c r="AB257" s="301"/>
      <c r="AC257" s="301"/>
      <c r="AD257" s="301"/>
      <c r="AE257" s="301"/>
      <c r="AF257" s="301"/>
      <c r="AG257" s="301"/>
      <c r="AH257" s="301"/>
      <c r="AI257" s="301"/>
      <c r="AJ257" s="301"/>
      <c r="AK257" s="301"/>
      <c r="AL257" s="301"/>
      <c r="AM257" s="301"/>
      <c r="AN257" s="301"/>
      <c r="AO257" s="301"/>
      <c r="AP257" s="301"/>
      <c r="AQ257" s="301"/>
      <c r="AR257" s="301"/>
      <c r="AS257" s="301"/>
      <c r="AT257" s="301"/>
      <c r="AU257" s="301"/>
      <c r="AV257" s="301"/>
      <c r="AW257" s="301"/>
      <c r="AX257" s="301"/>
    </row>
    <row r="258" spans="5:50" x14ac:dyDescent="0.45">
      <c r="E258" s="301"/>
      <c r="F258" s="301"/>
      <c r="G258" s="301"/>
      <c r="H258" s="301"/>
      <c r="I258" s="301"/>
      <c r="J258" s="301"/>
      <c r="K258" s="301"/>
      <c r="L258" s="301"/>
      <c r="M258" s="301"/>
      <c r="N258" s="301"/>
      <c r="O258" s="301"/>
      <c r="P258" s="301"/>
      <c r="Q258" s="301"/>
      <c r="R258" s="301"/>
      <c r="S258" s="301"/>
      <c r="T258" s="301"/>
      <c r="U258" s="301"/>
      <c r="V258" s="301"/>
      <c r="W258" s="301"/>
      <c r="X258" s="301"/>
      <c r="Y258" s="301"/>
      <c r="Z258" s="301"/>
      <c r="AA258" s="301"/>
      <c r="AB258" s="301"/>
      <c r="AC258" s="301"/>
      <c r="AD258" s="301"/>
      <c r="AE258" s="301"/>
      <c r="AF258" s="301"/>
      <c r="AG258" s="301"/>
      <c r="AH258" s="301"/>
      <c r="AI258" s="301"/>
      <c r="AJ258" s="301"/>
      <c r="AK258" s="301"/>
      <c r="AL258" s="301"/>
      <c r="AM258" s="301"/>
      <c r="AN258" s="301"/>
      <c r="AO258" s="301"/>
      <c r="AP258" s="301"/>
      <c r="AQ258" s="301"/>
      <c r="AR258" s="301"/>
      <c r="AS258" s="301"/>
      <c r="AT258" s="301"/>
      <c r="AU258" s="301"/>
      <c r="AV258" s="301"/>
      <c r="AW258" s="301"/>
      <c r="AX258" s="301"/>
    </row>
    <row r="259" spans="5:50" x14ac:dyDescent="0.45">
      <c r="E259" s="301"/>
      <c r="F259" s="301"/>
      <c r="G259" s="301"/>
      <c r="H259" s="301"/>
      <c r="I259" s="301"/>
      <c r="J259" s="301"/>
      <c r="K259" s="301"/>
      <c r="L259" s="301"/>
      <c r="M259" s="301"/>
      <c r="N259" s="301"/>
      <c r="O259" s="301"/>
      <c r="P259" s="301"/>
      <c r="Q259" s="301"/>
      <c r="R259" s="301"/>
      <c r="S259" s="301"/>
      <c r="T259" s="301"/>
      <c r="U259" s="301"/>
      <c r="V259" s="301"/>
      <c r="W259" s="301"/>
      <c r="X259" s="301"/>
      <c r="Y259" s="301"/>
      <c r="Z259" s="301"/>
      <c r="AA259" s="301"/>
      <c r="AB259" s="301"/>
      <c r="AC259" s="301"/>
      <c r="AD259" s="301"/>
      <c r="AE259" s="301"/>
      <c r="AF259" s="301"/>
      <c r="AG259" s="301"/>
      <c r="AH259" s="301"/>
      <c r="AI259" s="301"/>
      <c r="AJ259" s="301"/>
      <c r="AK259" s="301"/>
      <c r="AL259" s="301"/>
      <c r="AM259" s="301"/>
      <c r="AN259" s="301"/>
      <c r="AO259" s="301"/>
      <c r="AP259" s="301"/>
      <c r="AQ259" s="301"/>
      <c r="AR259" s="301"/>
      <c r="AS259" s="301"/>
      <c r="AT259" s="301"/>
      <c r="AU259" s="301"/>
      <c r="AV259" s="301"/>
      <c r="AW259" s="301"/>
      <c r="AX259" s="301"/>
    </row>
    <row r="260" spans="5:50" x14ac:dyDescent="0.45">
      <c r="E260" s="301"/>
      <c r="F260" s="301"/>
      <c r="G260" s="301"/>
      <c r="H260" s="301"/>
      <c r="I260" s="301"/>
      <c r="J260" s="301"/>
      <c r="K260" s="301"/>
      <c r="L260" s="301"/>
      <c r="M260" s="301"/>
      <c r="N260" s="301"/>
      <c r="O260" s="301"/>
      <c r="P260" s="301"/>
      <c r="Q260" s="301"/>
      <c r="R260" s="301"/>
      <c r="S260" s="301"/>
      <c r="T260" s="301"/>
      <c r="U260" s="301"/>
      <c r="V260" s="301"/>
      <c r="W260" s="301"/>
      <c r="X260" s="301"/>
      <c r="Y260" s="301"/>
      <c r="Z260" s="301"/>
      <c r="AA260" s="301"/>
      <c r="AB260" s="301"/>
      <c r="AC260" s="301"/>
      <c r="AD260" s="301"/>
      <c r="AE260" s="301"/>
      <c r="AF260" s="301"/>
      <c r="AG260" s="301"/>
      <c r="AH260" s="301"/>
      <c r="AI260" s="301"/>
      <c r="AJ260" s="301"/>
      <c r="AK260" s="301"/>
      <c r="AL260" s="301"/>
      <c r="AM260" s="301"/>
      <c r="AN260" s="301"/>
      <c r="AO260" s="301"/>
      <c r="AP260" s="301"/>
      <c r="AQ260" s="301"/>
      <c r="AR260" s="301"/>
      <c r="AS260" s="301"/>
      <c r="AT260" s="301"/>
      <c r="AU260" s="301"/>
      <c r="AV260" s="301"/>
      <c r="AW260" s="301"/>
      <c r="AX260" s="301"/>
    </row>
    <row r="261" spans="5:50" x14ac:dyDescent="0.45">
      <c r="E261" s="301"/>
      <c r="F261" s="301"/>
      <c r="G261" s="301"/>
      <c r="H261" s="301"/>
      <c r="I261" s="301"/>
      <c r="J261" s="301"/>
      <c r="K261" s="301"/>
      <c r="L261" s="301"/>
      <c r="M261" s="301"/>
      <c r="N261" s="301"/>
      <c r="O261" s="301"/>
      <c r="P261" s="301"/>
      <c r="Q261" s="301"/>
      <c r="R261" s="301"/>
      <c r="S261" s="301"/>
      <c r="T261" s="301"/>
      <c r="U261" s="301"/>
      <c r="V261" s="301"/>
      <c r="W261" s="301"/>
      <c r="X261" s="301"/>
      <c r="Y261" s="301"/>
      <c r="Z261" s="301"/>
      <c r="AA261" s="301"/>
      <c r="AB261" s="301"/>
      <c r="AC261" s="301"/>
      <c r="AD261" s="301"/>
      <c r="AE261" s="301"/>
      <c r="AF261" s="301"/>
      <c r="AG261" s="301"/>
      <c r="AH261" s="301"/>
      <c r="AI261" s="301"/>
      <c r="AJ261" s="301"/>
      <c r="AK261" s="301"/>
      <c r="AL261" s="301"/>
      <c r="AM261" s="301"/>
      <c r="AN261" s="301"/>
      <c r="AO261" s="301"/>
      <c r="AP261" s="301"/>
      <c r="AQ261" s="301"/>
      <c r="AR261" s="301"/>
      <c r="AS261" s="301"/>
      <c r="AT261" s="301"/>
      <c r="AU261" s="301"/>
      <c r="AV261" s="301"/>
      <c r="AW261" s="301"/>
      <c r="AX261" s="301"/>
    </row>
    <row r="262" spans="5:50" x14ac:dyDescent="0.45">
      <c r="E262" s="301"/>
      <c r="F262" s="301"/>
      <c r="G262" s="301"/>
      <c r="H262" s="301"/>
      <c r="I262" s="301"/>
      <c r="J262" s="301"/>
      <c r="K262" s="301"/>
      <c r="L262" s="301"/>
      <c r="M262" s="301"/>
      <c r="N262" s="301"/>
      <c r="O262" s="301"/>
      <c r="P262" s="301"/>
      <c r="Q262" s="301"/>
      <c r="R262" s="301"/>
      <c r="S262" s="301"/>
      <c r="T262" s="301"/>
      <c r="U262" s="301"/>
      <c r="V262" s="301"/>
      <c r="W262" s="301"/>
      <c r="X262" s="301"/>
      <c r="Y262" s="301"/>
      <c r="Z262" s="301"/>
      <c r="AA262" s="301"/>
      <c r="AB262" s="301"/>
      <c r="AC262" s="301"/>
      <c r="AD262" s="301"/>
      <c r="AE262" s="301"/>
      <c r="AF262" s="301"/>
      <c r="AG262" s="301"/>
      <c r="AH262" s="301"/>
      <c r="AI262" s="301"/>
      <c r="AJ262" s="301"/>
      <c r="AK262" s="301"/>
      <c r="AL262" s="301"/>
      <c r="AM262" s="301"/>
      <c r="AN262" s="301"/>
      <c r="AO262" s="301"/>
      <c r="AP262" s="301"/>
      <c r="AQ262" s="301"/>
      <c r="AR262" s="301"/>
      <c r="AS262" s="301"/>
      <c r="AT262" s="301"/>
      <c r="AU262" s="301"/>
      <c r="AV262" s="301"/>
      <c r="AW262" s="301"/>
      <c r="AX262" s="301"/>
    </row>
    <row r="263" spans="5:50" x14ac:dyDescent="0.45">
      <c r="E263" s="301"/>
      <c r="F263" s="301"/>
      <c r="G263" s="301"/>
      <c r="H263" s="301"/>
      <c r="I263" s="301"/>
      <c r="J263" s="301"/>
      <c r="K263" s="301"/>
      <c r="L263" s="301"/>
      <c r="M263" s="301"/>
      <c r="N263" s="301"/>
      <c r="O263" s="301"/>
      <c r="P263" s="301"/>
      <c r="Q263" s="301"/>
      <c r="R263" s="301"/>
      <c r="S263" s="301"/>
      <c r="T263" s="301"/>
      <c r="U263" s="301"/>
      <c r="V263" s="301"/>
      <c r="W263" s="301"/>
      <c r="X263" s="301"/>
      <c r="Y263" s="301"/>
      <c r="Z263" s="301"/>
      <c r="AA263" s="301"/>
      <c r="AB263" s="301"/>
      <c r="AC263" s="301"/>
      <c r="AD263" s="301"/>
      <c r="AE263" s="301"/>
      <c r="AF263" s="301"/>
      <c r="AG263" s="301"/>
      <c r="AH263" s="301"/>
      <c r="AI263" s="301"/>
      <c r="AJ263" s="301"/>
      <c r="AK263" s="301"/>
      <c r="AL263" s="301"/>
      <c r="AM263" s="301"/>
      <c r="AN263" s="301"/>
      <c r="AO263" s="301"/>
      <c r="AP263" s="301"/>
      <c r="AQ263" s="301"/>
      <c r="AR263" s="301"/>
      <c r="AS263" s="301"/>
      <c r="AT263" s="301"/>
      <c r="AU263" s="301"/>
      <c r="AV263" s="301"/>
      <c r="AW263" s="301"/>
      <c r="AX263" s="301"/>
    </row>
    <row r="264" spans="5:50" x14ac:dyDescent="0.45">
      <c r="E264" s="301"/>
      <c r="F264" s="301"/>
      <c r="G264" s="301"/>
      <c r="H264" s="301"/>
      <c r="I264" s="301"/>
      <c r="J264" s="301"/>
      <c r="K264" s="301"/>
      <c r="L264" s="301"/>
      <c r="M264" s="301"/>
      <c r="N264" s="301"/>
      <c r="O264" s="301"/>
      <c r="P264" s="301"/>
      <c r="Q264" s="301"/>
      <c r="R264" s="301"/>
      <c r="S264" s="301"/>
      <c r="T264" s="301"/>
      <c r="U264" s="301"/>
      <c r="V264" s="301"/>
      <c r="W264" s="301"/>
      <c r="X264" s="301"/>
      <c r="Y264" s="301"/>
      <c r="Z264" s="301"/>
      <c r="AA264" s="301"/>
      <c r="AB264" s="301"/>
      <c r="AC264" s="301"/>
      <c r="AD264" s="301"/>
      <c r="AE264" s="301"/>
      <c r="AF264" s="301"/>
      <c r="AG264" s="301"/>
      <c r="AH264" s="301"/>
      <c r="AI264" s="301"/>
      <c r="AJ264" s="301"/>
      <c r="AK264" s="301"/>
      <c r="AL264" s="301"/>
      <c r="AM264" s="301"/>
      <c r="AN264" s="301"/>
      <c r="AO264" s="301"/>
      <c r="AP264" s="301"/>
      <c r="AQ264" s="301"/>
      <c r="AR264" s="301"/>
      <c r="AS264" s="301"/>
      <c r="AT264" s="301"/>
      <c r="AU264" s="301"/>
      <c r="AV264" s="301"/>
      <c r="AW264" s="301"/>
      <c r="AX264" s="301"/>
    </row>
  </sheetData>
  <sheetProtection algorithmName="SHA-512" hashValue="eX5gCPV96oz4ocH1gTux/MX/IzH+xVFrq6rgAmXgxoT+cfrG82cP/eCTx0YOcpdwUl8maj6m8sLpjWVgoy9ZYw==" saltValue="T1Fo3O5XDFtOpxsCuy8Tlg==" spinCount="100000" sheet="1" formatCells="0" formatColumns="0" formatRows="0" sort="0" autoFilter="0" pivotTables="0"/>
  <mergeCells count="2070">
    <mergeCell ref="E102:O103"/>
    <mergeCell ref="F4:G4"/>
    <mergeCell ref="H4:I4"/>
    <mergeCell ref="V163:W163"/>
    <mergeCell ref="V162:W162"/>
    <mergeCell ref="V161:W161"/>
    <mergeCell ref="V160:W160"/>
    <mergeCell ref="V159:W159"/>
    <mergeCell ref="V158:W158"/>
    <mergeCell ref="V157:W157"/>
    <mergeCell ref="V156:W156"/>
    <mergeCell ref="V155:W155"/>
    <mergeCell ref="V154:W154"/>
    <mergeCell ref="V153:W153"/>
    <mergeCell ref="V152:W152"/>
    <mergeCell ref="R151:W151"/>
    <mergeCell ref="X158:Y158"/>
    <mergeCell ref="T163:U163"/>
    <mergeCell ref="R160:S160"/>
    <mergeCell ref="T160:U160"/>
    <mergeCell ref="R161:S161"/>
    <mergeCell ref="T161:U161"/>
    <mergeCell ref="R158:S158"/>
    <mergeCell ref="T158:U158"/>
    <mergeCell ref="R159:S159"/>
    <mergeCell ref="T159:U159"/>
    <mergeCell ref="R156:S156"/>
    <mergeCell ref="T156:U156"/>
    <mergeCell ref="R157:S157"/>
    <mergeCell ref="T157:U157"/>
    <mergeCell ref="R154:S154"/>
    <mergeCell ref="T154:U154"/>
    <mergeCell ref="AJ182:AK182"/>
    <mergeCell ref="AL182:AM182"/>
    <mergeCell ref="AB198:AC198"/>
    <mergeCell ref="AB197:AC197"/>
    <mergeCell ref="AB196:AC196"/>
    <mergeCell ref="AB195:AC195"/>
    <mergeCell ref="AB194:AC194"/>
    <mergeCell ref="AB193:AC193"/>
    <mergeCell ref="G105:H106"/>
    <mergeCell ref="M105:N106"/>
    <mergeCell ref="O105:P106"/>
    <mergeCell ref="Q105:R106"/>
    <mergeCell ref="W105:X106"/>
    <mergeCell ref="Y105:Z106"/>
    <mergeCell ref="S105:T106"/>
    <mergeCell ref="U105:V106"/>
    <mergeCell ref="I105:J106"/>
    <mergeCell ref="K105:L106"/>
    <mergeCell ref="E150:N150"/>
    <mergeCell ref="Z158:AA158"/>
    <mergeCell ref="R162:S162"/>
    <mergeCell ref="T162:U162"/>
    <mergeCell ref="R163:S163"/>
    <mergeCell ref="AB181:AC181"/>
    <mergeCell ref="X178:Y178"/>
    <mergeCell ref="Z178:AA178"/>
    <mergeCell ref="AB178:AC178"/>
    <mergeCell ref="X179:Y179"/>
    <mergeCell ref="Z179:AA179"/>
    <mergeCell ref="AB179:AC179"/>
    <mergeCell ref="AD182:AE182"/>
    <mergeCell ref="AF182:AG182"/>
    <mergeCell ref="V218:V220"/>
    <mergeCell ref="AB185:AC185"/>
    <mergeCell ref="V179:W179"/>
    <mergeCell ref="V178:W178"/>
    <mergeCell ref="V177:W177"/>
    <mergeCell ref="V176:W176"/>
    <mergeCell ref="V175:W175"/>
    <mergeCell ref="V174:W174"/>
    <mergeCell ref="V173:W173"/>
    <mergeCell ref="V172:W172"/>
    <mergeCell ref="V171:W171"/>
    <mergeCell ref="V170:W170"/>
    <mergeCell ref="V169:W169"/>
    <mergeCell ref="V168:W168"/>
    <mergeCell ref="V167:W167"/>
    <mergeCell ref="V166:W166"/>
    <mergeCell ref="V165:W165"/>
    <mergeCell ref="AB187:AC187"/>
    <mergeCell ref="AB186:AC186"/>
    <mergeCell ref="AB192:AC192"/>
    <mergeCell ref="AB191:AC191"/>
    <mergeCell ref="AB190:AC190"/>
    <mergeCell ref="AB189:AC189"/>
    <mergeCell ref="AB188:AC188"/>
    <mergeCell ref="X182:Y182"/>
    <mergeCell ref="Z182:AA182"/>
    <mergeCell ref="AB182:AC182"/>
    <mergeCell ref="X180:Y180"/>
    <mergeCell ref="Z180:AA180"/>
    <mergeCell ref="AB180:AC180"/>
    <mergeCell ref="X181:Y181"/>
    <mergeCell ref="Z181:AA181"/>
    <mergeCell ref="AN182:AO182"/>
    <mergeCell ref="AJ180:AK180"/>
    <mergeCell ref="AL180:AM180"/>
    <mergeCell ref="AN180:AO180"/>
    <mergeCell ref="AJ181:AK181"/>
    <mergeCell ref="AL181:AM181"/>
    <mergeCell ref="AN181:AO181"/>
    <mergeCell ref="AJ178:AK178"/>
    <mergeCell ref="AL178:AM178"/>
    <mergeCell ref="AN178:AO178"/>
    <mergeCell ref="AJ179:AK179"/>
    <mergeCell ref="V164:W164"/>
    <mergeCell ref="R182:S182"/>
    <mergeCell ref="AA105:AA106"/>
    <mergeCell ref="AB105:AB106"/>
    <mergeCell ref="AB215:AC215"/>
    <mergeCell ref="AB214:AC214"/>
    <mergeCell ref="AB213:AC213"/>
    <mergeCell ref="AB212:AC212"/>
    <mergeCell ref="AB211:AC211"/>
    <mergeCell ref="AB210:AC210"/>
    <mergeCell ref="AB209:AC209"/>
    <mergeCell ref="AB208:AC208"/>
    <mergeCell ref="AB207:AC207"/>
    <mergeCell ref="AB206:AC206"/>
    <mergeCell ref="AB205:AC205"/>
    <mergeCell ref="AB204:AC204"/>
    <mergeCell ref="AB203:AC203"/>
    <mergeCell ref="AB202:AC202"/>
    <mergeCell ref="AB201:AC201"/>
    <mergeCell ref="AB200:AC200"/>
    <mergeCell ref="AB199:AC199"/>
    <mergeCell ref="AH182:AI182"/>
    <mergeCell ref="AD180:AE180"/>
    <mergeCell ref="AF180:AG180"/>
    <mergeCell ref="AH180:AI180"/>
    <mergeCell ref="AD181:AE181"/>
    <mergeCell ref="AF181:AG181"/>
    <mergeCell ref="AH181:AI181"/>
    <mergeCell ref="AD178:AE178"/>
    <mergeCell ref="AF178:AG178"/>
    <mergeCell ref="AH178:AI178"/>
    <mergeCell ref="AD179:AE179"/>
    <mergeCell ref="AF179:AG179"/>
    <mergeCell ref="AH179:AI179"/>
    <mergeCell ref="AD176:AE176"/>
    <mergeCell ref="AF176:AG176"/>
    <mergeCell ref="AH176:AI176"/>
    <mergeCell ref="AD177:AE177"/>
    <mergeCell ref="AF177:AG177"/>
    <mergeCell ref="AH177:AI177"/>
    <mergeCell ref="AD174:AE174"/>
    <mergeCell ref="AF174:AG174"/>
    <mergeCell ref="AH174:AI174"/>
    <mergeCell ref="AD175:AE175"/>
    <mergeCell ref="AF175:AG175"/>
    <mergeCell ref="AH175:AI175"/>
    <mergeCell ref="AD172:AE172"/>
    <mergeCell ref="AF172:AG172"/>
    <mergeCell ref="AH172:AI172"/>
    <mergeCell ref="AD173:AE173"/>
    <mergeCell ref="AF173:AG173"/>
    <mergeCell ref="AH173:AI173"/>
    <mergeCell ref="AD170:AE170"/>
    <mergeCell ref="AF170:AG170"/>
    <mergeCell ref="AH170:AI170"/>
    <mergeCell ref="AD171:AE171"/>
    <mergeCell ref="AF171:AG171"/>
    <mergeCell ref="AH171:AI171"/>
    <mergeCell ref="AD168:AE168"/>
    <mergeCell ref="AF168:AG168"/>
    <mergeCell ref="AH168:AI168"/>
    <mergeCell ref="AD169:AE169"/>
    <mergeCell ref="AF169:AG169"/>
    <mergeCell ref="AH169:AI169"/>
    <mergeCell ref="AD166:AE166"/>
    <mergeCell ref="AF166:AG166"/>
    <mergeCell ref="AH166:AI166"/>
    <mergeCell ref="AD167:AE167"/>
    <mergeCell ref="AF167:AG167"/>
    <mergeCell ref="AH167:AI167"/>
    <mergeCell ref="AD164:AE164"/>
    <mergeCell ref="AF164:AG164"/>
    <mergeCell ref="AH164:AI164"/>
    <mergeCell ref="AD165:AE165"/>
    <mergeCell ref="AF165:AG165"/>
    <mergeCell ref="AH165:AI165"/>
    <mergeCell ref="AD162:AE162"/>
    <mergeCell ref="AF162:AG162"/>
    <mergeCell ref="AH162:AI162"/>
    <mergeCell ref="AD163:AE163"/>
    <mergeCell ref="AF163:AG163"/>
    <mergeCell ref="AH163:AI163"/>
    <mergeCell ref="AD160:AE160"/>
    <mergeCell ref="AF160:AG160"/>
    <mergeCell ref="AH160:AI160"/>
    <mergeCell ref="AD161:AE161"/>
    <mergeCell ref="AF161:AG161"/>
    <mergeCell ref="AH161:AI161"/>
    <mergeCell ref="AD158:AE158"/>
    <mergeCell ref="AF158:AG158"/>
    <mergeCell ref="AH158:AI158"/>
    <mergeCell ref="AD159:AE159"/>
    <mergeCell ref="AF159:AG159"/>
    <mergeCell ref="AH159:AI159"/>
    <mergeCell ref="AD156:AE156"/>
    <mergeCell ref="AF156:AG156"/>
    <mergeCell ref="AH156:AI156"/>
    <mergeCell ref="AD157:AE157"/>
    <mergeCell ref="AF157:AG157"/>
    <mergeCell ref="AH157:AI157"/>
    <mergeCell ref="AD154:AE154"/>
    <mergeCell ref="AF154:AG154"/>
    <mergeCell ref="AH154:AI154"/>
    <mergeCell ref="AD155:AE155"/>
    <mergeCell ref="AF155:AG155"/>
    <mergeCell ref="AH155:AI155"/>
    <mergeCell ref="AD151:AI151"/>
    <mergeCell ref="AD152:AE152"/>
    <mergeCell ref="AF152:AG152"/>
    <mergeCell ref="AH152:AI152"/>
    <mergeCell ref="AD153:AE153"/>
    <mergeCell ref="AF153:AG153"/>
    <mergeCell ref="AH153:AI153"/>
    <mergeCell ref="X176:Y176"/>
    <mergeCell ref="Z176:AA176"/>
    <mergeCell ref="AB176:AC176"/>
    <mergeCell ref="X177:Y177"/>
    <mergeCell ref="Z177:AA177"/>
    <mergeCell ref="AB177:AC177"/>
    <mergeCell ref="X174:Y174"/>
    <mergeCell ref="Z174:AA174"/>
    <mergeCell ref="AB174:AC174"/>
    <mergeCell ref="X175:Y175"/>
    <mergeCell ref="Z175:AA175"/>
    <mergeCell ref="AB175:AC175"/>
    <mergeCell ref="X172:Y172"/>
    <mergeCell ref="Z172:AA172"/>
    <mergeCell ref="AB172:AC172"/>
    <mergeCell ref="X173:Y173"/>
    <mergeCell ref="Z173:AA173"/>
    <mergeCell ref="AB173:AC173"/>
    <mergeCell ref="X170:Y170"/>
    <mergeCell ref="Z170:AA170"/>
    <mergeCell ref="AB170:AC170"/>
    <mergeCell ref="X171:Y171"/>
    <mergeCell ref="Z171:AA171"/>
    <mergeCell ref="AB171:AC171"/>
    <mergeCell ref="X168:Y168"/>
    <mergeCell ref="Z168:AA168"/>
    <mergeCell ref="AB168:AC168"/>
    <mergeCell ref="X169:Y169"/>
    <mergeCell ref="Z169:AA169"/>
    <mergeCell ref="AB169:AC169"/>
    <mergeCell ref="X166:Y166"/>
    <mergeCell ref="Z166:AA166"/>
    <mergeCell ref="AB166:AC166"/>
    <mergeCell ref="X167:Y167"/>
    <mergeCell ref="Z167:AA167"/>
    <mergeCell ref="AB167:AC167"/>
    <mergeCell ref="X164:Y164"/>
    <mergeCell ref="Z164:AA164"/>
    <mergeCell ref="AB164:AC164"/>
    <mergeCell ref="X165:Y165"/>
    <mergeCell ref="Z165:AA165"/>
    <mergeCell ref="AB165:AC165"/>
    <mergeCell ref="X162:Y162"/>
    <mergeCell ref="Z162:AA162"/>
    <mergeCell ref="AB162:AC162"/>
    <mergeCell ref="X163:Y163"/>
    <mergeCell ref="Z163:AA163"/>
    <mergeCell ref="AB163:AC163"/>
    <mergeCell ref="X160:Y160"/>
    <mergeCell ref="Z160:AA160"/>
    <mergeCell ref="AB160:AC160"/>
    <mergeCell ref="X161:Y161"/>
    <mergeCell ref="Z161:AA161"/>
    <mergeCell ref="AB161:AC161"/>
    <mergeCell ref="AB158:AC158"/>
    <mergeCell ref="X159:Y159"/>
    <mergeCell ref="Z159:AA159"/>
    <mergeCell ref="AB159:AC159"/>
    <mergeCell ref="X156:Y156"/>
    <mergeCell ref="Z156:AA156"/>
    <mergeCell ref="AB156:AC156"/>
    <mergeCell ref="X157:Y157"/>
    <mergeCell ref="Z157:AA157"/>
    <mergeCell ref="AB157:AC157"/>
    <mergeCell ref="X154:Y154"/>
    <mergeCell ref="Z154:AA154"/>
    <mergeCell ref="AB154:AC154"/>
    <mergeCell ref="X155:Y155"/>
    <mergeCell ref="Z155:AA155"/>
    <mergeCell ref="AB155:AC155"/>
    <mergeCell ref="X151:AC151"/>
    <mergeCell ref="X152:Y152"/>
    <mergeCell ref="Z152:AA152"/>
    <mergeCell ref="AB152:AC152"/>
    <mergeCell ref="X153:Y153"/>
    <mergeCell ref="Z153:AA153"/>
    <mergeCell ref="AB153:AC153"/>
    <mergeCell ref="AP182:AQ182"/>
    <mergeCell ref="AR182:AS182"/>
    <mergeCell ref="AT182:AU182"/>
    <mergeCell ref="AP180:AQ180"/>
    <mergeCell ref="AR180:AS180"/>
    <mergeCell ref="AT180:AU180"/>
    <mergeCell ref="AP181:AQ181"/>
    <mergeCell ref="AR181:AS181"/>
    <mergeCell ref="AT181:AU181"/>
    <mergeCell ref="AP178:AQ178"/>
    <mergeCell ref="AR178:AS178"/>
    <mergeCell ref="AT178:AU178"/>
    <mergeCell ref="AP179:AQ179"/>
    <mergeCell ref="AR179:AS179"/>
    <mergeCell ref="AT179:AU179"/>
    <mergeCell ref="AP176:AQ176"/>
    <mergeCell ref="AR176:AS176"/>
    <mergeCell ref="AT176:AU176"/>
    <mergeCell ref="AP177:AQ177"/>
    <mergeCell ref="AR177:AS177"/>
    <mergeCell ref="AT177:AU177"/>
    <mergeCell ref="AP174:AQ174"/>
    <mergeCell ref="AR174:AS174"/>
    <mergeCell ref="AT174:AU174"/>
    <mergeCell ref="AP175:AQ175"/>
    <mergeCell ref="AR175:AS175"/>
    <mergeCell ref="AT175:AU175"/>
    <mergeCell ref="AP172:AQ172"/>
    <mergeCell ref="AR172:AS172"/>
    <mergeCell ref="AT172:AU172"/>
    <mergeCell ref="AP173:AQ173"/>
    <mergeCell ref="AR173:AS173"/>
    <mergeCell ref="AT173:AU173"/>
    <mergeCell ref="AP170:AQ170"/>
    <mergeCell ref="AR170:AS170"/>
    <mergeCell ref="AT170:AU170"/>
    <mergeCell ref="AP171:AQ171"/>
    <mergeCell ref="AR171:AS171"/>
    <mergeCell ref="AT171:AU171"/>
    <mergeCell ref="AP168:AQ168"/>
    <mergeCell ref="AR168:AS168"/>
    <mergeCell ref="AT168:AU168"/>
    <mergeCell ref="AP169:AQ169"/>
    <mergeCell ref="AR169:AS169"/>
    <mergeCell ref="AT169:AU169"/>
    <mergeCell ref="AP166:AQ166"/>
    <mergeCell ref="AR166:AS166"/>
    <mergeCell ref="AT166:AU166"/>
    <mergeCell ref="AP167:AQ167"/>
    <mergeCell ref="AR167:AS167"/>
    <mergeCell ref="AT167:AU167"/>
    <mergeCell ref="AP164:AQ164"/>
    <mergeCell ref="AR164:AS164"/>
    <mergeCell ref="AT164:AU164"/>
    <mergeCell ref="AP165:AQ165"/>
    <mergeCell ref="AR165:AS165"/>
    <mergeCell ref="AT165:AU165"/>
    <mergeCell ref="AP162:AQ162"/>
    <mergeCell ref="AR162:AS162"/>
    <mergeCell ref="AT162:AU162"/>
    <mergeCell ref="AP163:AQ163"/>
    <mergeCell ref="AR163:AS163"/>
    <mergeCell ref="AT163:AU163"/>
    <mergeCell ref="AP160:AQ160"/>
    <mergeCell ref="AR160:AS160"/>
    <mergeCell ref="AT160:AU160"/>
    <mergeCell ref="AP161:AQ161"/>
    <mergeCell ref="AR161:AS161"/>
    <mergeCell ref="AT161:AU161"/>
    <mergeCell ref="AP158:AQ158"/>
    <mergeCell ref="AR158:AS158"/>
    <mergeCell ref="AT158:AU158"/>
    <mergeCell ref="AP159:AQ159"/>
    <mergeCell ref="AR159:AS159"/>
    <mergeCell ref="AT159:AU159"/>
    <mergeCell ref="AP156:AQ156"/>
    <mergeCell ref="AR156:AS156"/>
    <mergeCell ref="AT156:AU156"/>
    <mergeCell ref="AP157:AQ157"/>
    <mergeCell ref="AR157:AS157"/>
    <mergeCell ref="AT157:AU157"/>
    <mergeCell ref="AP154:AQ154"/>
    <mergeCell ref="AR154:AS154"/>
    <mergeCell ref="AT154:AU154"/>
    <mergeCell ref="AP155:AQ155"/>
    <mergeCell ref="AR155:AS155"/>
    <mergeCell ref="AT155:AU155"/>
    <mergeCell ref="AP151:AU151"/>
    <mergeCell ref="AP152:AQ152"/>
    <mergeCell ref="AR152:AS152"/>
    <mergeCell ref="AT152:AU152"/>
    <mergeCell ref="AP153:AQ153"/>
    <mergeCell ref="AR153:AS153"/>
    <mergeCell ref="AT153:AU153"/>
    <mergeCell ref="AL179:AM179"/>
    <mergeCell ref="AN179:AO179"/>
    <mergeCell ref="AJ176:AK176"/>
    <mergeCell ref="AL176:AM176"/>
    <mergeCell ref="AN176:AO176"/>
    <mergeCell ref="AJ177:AK177"/>
    <mergeCell ref="AL177:AM177"/>
    <mergeCell ref="AN177:AO177"/>
    <mergeCell ref="AJ174:AK174"/>
    <mergeCell ref="AL174:AM174"/>
    <mergeCell ref="AN174:AO174"/>
    <mergeCell ref="AJ175:AK175"/>
    <mergeCell ref="AL175:AM175"/>
    <mergeCell ref="AN175:AO175"/>
    <mergeCell ref="AJ172:AK172"/>
    <mergeCell ref="AL172:AM172"/>
    <mergeCell ref="AN172:AO172"/>
    <mergeCell ref="AJ173:AK173"/>
    <mergeCell ref="AL173:AM173"/>
    <mergeCell ref="AN173:AO173"/>
    <mergeCell ref="AJ170:AK170"/>
    <mergeCell ref="AL170:AM170"/>
    <mergeCell ref="AN170:AO170"/>
    <mergeCell ref="AJ171:AK171"/>
    <mergeCell ref="AL171:AM171"/>
    <mergeCell ref="AN171:AO171"/>
    <mergeCell ref="AJ168:AK168"/>
    <mergeCell ref="AL168:AM168"/>
    <mergeCell ref="AN168:AO168"/>
    <mergeCell ref="AJ169:AK169"/>
    <mergeCell ref="AL169:AM169"/>
    <mergeCell ref="AN169:AO169"/>
    <mergeCell ref="AJ166:AK166"/>
    <mergeCell ref="AL166:AM166"/>
    <mergeCell ref="AN166:AO166"/>
    <mergeCell ref="AJ167:AK167"/>
    <mergeCell ref="AL167:AM167"/>
    <mergeCell ref="AN167:AO167"/>
    <mergeCell ref="AJ164:AK164"/>
    <mergeCell ref="AL164:AM164"/>
    <mergeCell ref="AN164:AO164"/>
    <mergeCell ref="AJ165:AK165"/>
    <mergeCell ref="AL165:AM165"/>
    <mergeCell ref="AN165:AO165"/>
    <mergeCell ref="AJ162:AK162"/>
    <mergeCell ref="AL162:AM162"/>
    <mergeCell ref="AN162:AO162"/>
    <mergeCell ref="AJ163:AK163"/>
    <mergeCell ref="AL163:AM163"/>
    <mergeCell ref="AN163:AO163"/>
    <mergeCell ref="AJ160:AK160"/>
    <mergeCell ref="AL160:AM160"/>
    <mergeCell ref="AN160:AO160"/>
    <mergeCell ref="AJ161:AK161"/>
    <mergeCell ref="AL161:AM161"/>
    <mergeCell ref="AN161:AO161"/>
    <mergeCell ref="AN158:AO158"/>
    <mergeCell ref="AJ159:AK159"/>
    <mergeCell ref="AL159:AM159"/>
    <mergeCell ref="AN159:AO159"/>
    <mergeCell ref="AJ156:AK156"/>
    <mergeCell ref="AL156:AM156"/>
    <mergeCell ref="AN156:AO156"/>
    <mergeCell ref="AJ157:AK157"/>
    <mergeCell ref="AL157:AM157"/>
    <mergeCell ref="AN157:AO157"/>
    <mergeCell ref="AJ154:AK154"/>
    <mergeCell ref="AL154:AM154"/>
    <mergeCell ref="AN154:AO154"/>
    <mergeCell ref="AJ155:AK155"/>
    <mergeCell ref="AL155:AM155"/>
    <mergeCell ref="AN155:AO155"/>
    <mergeCell ref="AJ151:AO151"/>
    <mergeCell ref="AJ152:AK152"/>
    <mergeCell ref="AL152:AM152"/>
    <mergeCell ref="AN152:AO152"/>
    <mergeCell ref="AJ153:AK153"/>
    <mergeCell ref="AL153:AM153"/>
    <mergeCell ref="AN153:AO153"/>
    <mergeCell ref="AJ158:AK158"/>
    <mergeCell ref="AL158:AM158"/>
    <mergeCell ref="T182:U182"/>
    <mergeCell ref="V182:W182"/>
    <mergeCell ref="R180:S180"/>
    <mergeCell ref="T180:U180"/>
    <mergeCell ref="V180:W180"/>
    <mergeCell ref="R181:S181"/>
    <mergeCell ref="T181:U181"/>
    <mergeCell ref="V181:W181"/>
    <mergeCell ref="R178:S178"/>
    <mergeCell ref="T178:U178"/>
    <mergeCell ref="R179:S179"/>
    <mergeCell ref="T179:U179"/>
    <mergeCell ref="R176:S176"/>
    <mergeCell ref="T176:U176"/>
    <mergeCell ref="R177:S177"/>
    <mergeCell ref="T177:U177"/>
    <mergeCell ref="R174:S174"/>
    <mergeCell ref="T174:U174"/>
    <mergeCell ref="R175:S175"/>
    <mergeCell ref="T175:U175"/>
    <mergeCell ref="R172:S172"/>
    <mergeCell ref="T172:U172"/>
    <mergeCell ref="R173:S173"/>
    <mergeCell ref="T173:U173"/>
    <mergeCell ref="R170:S170"/>
    <mergeCell ref="T170:U170"/>
    <mergeCell ref="R171:S171"/>
    <mergeCell ref="T171:U171"/>
    <mergeCell ref="R168:S168"/>
    <mergeCell ref="T168:U168"/>
    <mergeCell ref="R169:S169"/>
    <mergeCell ref="T169:U169"/>
    <mergeCell ref="R166:S166"/>
    <mergeCell ref="T166:U166"/>
    <mergeCell ref="R167:S167"/>
    <mergeCell ref="T167:U167"/>
    <mergeCell ref="R164:S164"/>
    <mergeCell ref="T164:U164"/>
    <mergeCell ref="R165:S165"/>
    <mergeCell ref="T165:U165"/>
    <mergeCell ref="R155:S155"/>
    <mergeCell ref="T155:U155"/>
    <mergeCell ref="R152:S152"/>
    <mergeCell ref="T152:U152"/>
    <mergeCell ref="R153:S153"/>
    <mergeCell ref="T153:U153"/>
    <mergeCell ref="L181:M181"/>
    <mergeCell ref="N181:O181"/>
    <mergeCell ref="P181:Q181"/>
    <mergeCell ref="L182:M182"/>
    <mergeCell ref="N182:O182"/>
    <mergeCell ref="P182:Q182"/>
    <mergeCell ref="L179:M179"/>
    <mergeCell ref="N179:O179"/>
    <mergeCell ref="P179:Q179"/>
    <mergeCell ref="L180:M180"/>
    <mergeCell ref="N180:O180"/>
    <mergeCell ref="P180:Q180"/>
    <mergeCell ref="L177:M177"/>
    <mergeCell ref="N177:O177"/>
    <mergeCell ref="P177:Q177"/>
    <mergeCell ref="L178:M178"/>
    <mergeCell ref="N178:O178"/>
    <mergeCell ref="P178:Q178"/>
    <mergeCell ref="L175:M175"/>
    <mergeCell ref="N175:O175"/>
    <mergeCell ref="P175:Q175"/>
    <mergeCell ref="L176:M176"/>
    <mergeCell ref="N176:O176"/>
    <mergeCell ref="P176:Q176"/>
    <mergeCell ref="L173:M173"/>
    <mergeCell ref="N173:O173"/>
    <mergeCell ref="P173:Q173"/>
    <mergeCell ref="L174:M174"/>
    <mergeCell ref="N174:O174"/>
    <mergeCell ref="P174:Q174"/>
    <mergeCell ref="L171:M171"/>
    <mergeCell ref="N171:O171"/>
    <mergeCell ref="P171:Q171"/>
    <mergeCell ref="L172:M172"/>
    <mergeCell ref="N172:O172"/>
    <mergeCell ref="P172:Q172"/>
    <mergeCell ref="L169:M169"/>
    <mergeCell ref="N169:O169"/>
    <mergeCell ref="P169:Q169"/>
    <mergeCell ref="L170:M170"/>
    <mergeCell ref="N170:O170"/>
    <mergeCell ref="P170:Q170"/>
    <mergeCell ref="L167:M167"/>
    <mergeCell ref="N167:O167"/>
    <mergeCell ref="P167:Q167"/>
    <mergeCell ref="L168:M168"/>
    <mergeCell ref="N168:O168"/>
    <mergeCell ref="P168:Q168"/>
    <mergeCell ref="P160:Q160"/>
    <mergeCell ref="L157:M157"/>
    <mergeCell ref="N157:O157"/>
    <mergeCell ref="P157:Q157"/>
    <mergeCell ref="L158:M158"/>
    <mergeCell ref="N158:O158"/>
    <mergeCell ref="P158:Q158"/>
    <mergeCell ref="L165:M165"/>
    <mergeCell ref="N165:O165"/>
    <mergeCell ref="P165:Q165"/>
    <mergeCell ref="L166:M166"/>
    <mergeCell ref="N166:O166"/>
    <mergeCell ref="P166:Q166"/>
    <mergeCell ref="L163:M163"/>
    <mergeCell ref="N163:O163"/>
    <mergeCell ref="P163:Q163"/>
    <mergeCell ref="L164:M164"/>
    <mergeCell ref="N164:O164"/>
    <mergeCell ref="P164:Q164"/>
    <mergeCell ref="L161:M161"/>
    <mergeCell ref="N161:O161"/>
    <mergeCell ref="P161:Q161"/>
    <mergeCell ref="L162:M162"/>
    <mergeCell ref="N162:O162"/>
    <mergeCell ref="P162:Q162"/>
    <mergeCell ref="J182:K182"/>
    <mergeCell ref="J171:K171"/>
    <mergeCell ref="J172:K172"/>
    <mergeCell ref="J173:K173"/>
    <mergeCell ref="J174:K174"/>
    <mergeCell ref="J175:K175"/>
    <mergeCell ref="J176:K176"/>
    <mergeCell ref="J152:K152"/>
    <mergeCell ref="J153:K153"/>
    <mergeCell ref="J154:K154"/>
    <mergeCell ref="J155:K155"/>
    <mergeCell ref="J156:K156"/>
    <mergeCell ref="J157:K157"/>
    <mergeCell ref="J158:K158"/>
    <mergeCell ref="H177:I177"/>
    <mergeCell ref="H178:I178"/>
    <mergeCell ref="J165:K165"/>
    <mergeCell ref="J170:K170"/>
    <mergeCell ref="J159:K159"/>
    <mergeCell ref="J160:K160"/>
    <mergeCell ref="J161:K161"/>
    <mergeCell ref="J162:K162"/>
    <mergeCell ref="J163:K163"/>
    <mergeCell ref="J164:K164"/>
    <mergeCell ref="H152:I152"/>
    <mergeCell ref="F180:G180"/>
    <mergeCell ref="F181:G181"/>
    <mergeCell ref="F159:G159"/>
    <mergeCell ref="F160:G160"/>
    <mergeCell ref="F161:G161"/>
    <mergeCell ref="F162:G162"/>
    <mergeCell ref="F163:G163"/>
    <mergeCell ref="F164:G164"/>
    <mergeCell ref="H159:I159"/>
    <mergeCell ref="H160:I160"/>
    <mergeCell ref="H161:I161"/>
    <mergeCell ref="H162:I162"/>
    <mergeCell ref="H163:I163"/>
    <mergeCell ref="H164:I164"/>
    <mergeCell ref="E151:E152"/>
    <mergeCell ref="F151:K151"/>
    <mergeCell ref="J177:K177"/>
    <mergeCell ref="J178:K178"/>
    <mergeCell ref="J179:K179"/>
    <mergeCell ref="J180:K180"/>
    <mergeCell ref="J181:K181"/>
    <mergeCell ref="F182:G182"/>
    <mergeCell ref="F171:G171"/>
    <mergeCell ref="F172:G172"/>
    <mergeCell ref="F173:G173"/>
    <mergeCell ref="F174:G174"/>
    <mergeCell ref="F175:G175"/>
    <mergeCell ref="F176:G176"/>
    <mergeCell ref="F165:G165"/>
    <mergeCell ref="F166:G166"/>
    <mergeCell ref="F167:G167"/>
    <mergeCell ref="F168:G168"/>
    <mergeCell ref="H182:I182"/>
    <mergeCell ref="F170:G170"/>
    <mergeCell ref="H179:I179"/>
    <mergeCell ref="H180:I180"/>
    <mergeCell ref="H181:I181"/>
    <mergeCell ref="H171:I171"/>
    <mergeCell ref="H172:I172"/>
    <mergeCell ref="H173:I173"/>
    <mergeCell ref="H174:I174"/>
    <mergeCell ref="H175:I175"/>
    <mergeCell ref="H176:I176"/>
    <mergeCell ref="H167:I167"/>
    <mergeCell ref="H168:I168"/>
    <mergeCell ref="H169:I169"/>
    <mergeCell ref="F169:G169"/>
    <mergeCell ref="H170:I170"/>
    <mergeCell ref="H165:I165"/>
    <mergeCell ref="H166:I166"/>
    <mergeCell ref="F177:G177"/>
    <mergeCell ref="F178:G178"/>
    <mergeCell ref="F179:G179"/>
    <mergeCell ref="L152:M152"/>
    <mergeCell ref="N152:O152"/>
    <mergeCell ref="P152:Q152"/>
    <mergeCell ref="F152:G152"/>
    <mergeCell ref="F153:G153"/>
    <mergeCell ref="F154:G154"/>
    <mergeCell ref="F155:G155"/>
    <mergeCell ref="F156:G156"/>
    <mergeCell ref="F157:G157"/>
    <mergeCell ref="F158:G158"/>
    <mergeCell ref="M145:N145"/>
    <mergeCell ref="K141:L141"/>
    <mergeCell ref="K142:L142"/>
    <mergeCell ref="K143:L143"/>
    <mergeCell ref="K144:L144"/>
    <mergeCell ref="K145:L145"/>
    <mergeCell ref="G142:H142"/>
    <mergeCell ref="G143:H143"/>
    <mergeCell ref="G144:H144"/>
    <mergeCell ref="G145:H145"/>
    <mergeCell ref="H153:I153"/>
    <mergeCell ref="H154:I154"/>
    <mergeCell ref="H155:I155"/>
    <mergeCell ref="H156:I156"/>
    <mergeCell ref="H157:I157"/>
    <mergeCell ref="H158:I158"/>
    <mergeCell ref="L155:M155"/>
    <mergeCell ref="N155:O155"/>
    <mergeCell ref="P155:Q155"/>
    <mergeCell ref="L156:M156"/>
    <mergeCell ref="N156:O156"/>
    <mergeCell ref="P156:Q156"/>
    <mergeCell ref="Y144:Z144"/>
    <mergeCell ref="Y145:Z145"/>
    <mergeCell ref="W141:X141"/>
    <mergeCell ref="W142:X142"/>
    <mergeCell ref="W143:X143"/>
    <mergeCell ref="W144:X144"/>
    <mergeCell ref="W145:X145"/>
    <mergeCell ref="I141:J141"/>
    <mergeCell ref="Y141:Z141"/>
    <mergeCell ref="Q143:R143"/>
    <mergeCell ref="Q144:R144"/>
    <mergeCell ref="Q145:R145"/>
    <mergeCell ref="O141:P141"/>
    <mergeCell ref="Y142:Z142"/>
    <mergeCell ref="Y143:Z143"/>
    <mergeCell ref="Q141:R141"/>
    <mergeCell ref="Q142:R142"/>
    <mergeCell ref="M142:N142"/>
    <mergeCell ref="M143:N143"/>
    <mergeCell ref="M144:N144"/>
    <mergeCell ref="K112:L112"/>
    <mergeCell ref="K113:L113"/>
    <mergeCell ref="K114:L114"/>
    <mergeCell ref="K115:L115"/>
    <mergeCell ref="K116:L116"/>
    <mergeCell ref="O142:P142"/>
    <mergeCell ref="O143:P143"/>
    <mergeCell ref="O144:P144"/>
    <mergeCell ref="O145:P145"/>
    <mergeCell ref="J166:K166"/>
    <mergeCell ref="J167:K167"/>
    <mergeCell ref="J168:K168"/>
    <mergeCell ref="J169:K169"/>
    <mergeCell ref="L153:M153"/>
    <mergeCell ref="N153:O153"/>
    <mergeCell ref="P153:Q153"/>
    <mergeCell ref="L154:M154"/>
    <mergeCell ref="N154:O154"/>
    <mergeCell ref="P154:Q154"/>
    <mergeCell ref="L159:M159"/>
    <mergeCell ref="N159:O159"/>
    <mergeCell ref="P159:Q159"/>
    <mergeCell ref="L160:M160"/>
    <mergeCell ref="N160:O160"/>
    <mergeCell ref="I142:J142"/>
    <mergeCell ref="I143:J143"/>
    <mergeCell ref="I144:J144"/>
    <mergeCell ref="I145:J145"/>
    <mergeCell ref="I139:J139"/>
    <mergeCell ref="I140:J140"/>
    <mergeCell ref="I129:J129"/>
    <mergeCell ref="L151:Q151"/>
    <mergeCell ref="K123:L123"/>
    <mergeCell ref="K124:L124"/>
    <mergeCell ref="K125:L125"/>
    <mergeCell ref="K126:L126"/>
    <mergeCell ref="K127:L127"/>
    <mergeCell ref="K128:L128"/>
    <mergeCell ref="K117:L117"/>
    <mergeCell ref="K118:L118"/>
    <mergeCell ref="K119:L119"/>
    <mergeCell ref="K120:L120"/>
    <mergeCell ref="K121:L121"/>
    <mergeCell ref="K122:L122"/>
    <mergeCell ref="I123:J123"/>
    <mergeCell ref="I124:J124"/>
    <mergeCell ref="I125:J125"/>
    <mergeCell ref="I126:J126"/>
    <mergeCell ref="I127:J127"/>
    <mergeCell ref="I128:J128"/>
    <mergeCell ref="I117:J117"/>
    <mergeCell ref="I118:J118"/>
    <mergeCell ref="I119:J119"/>
    <mergeCell ref="I120:J120"/>
    <mergeCell ref="I121:J121"/>
    <mergeCell ref="I122:J122"/>
    <mergeCell ref="U115:V115"/>
    <mergeCell ref="U116:V116"/>
    <mergeCell ref="S141:T141"/>
    <mergeCell ref="S142:T142"/>
    <mergeCell ref="S143:T143"/>
    <mergeCell ref="S144:T144"/>
    <mergeCell ref="S145:T145"/>
    <mergeCell ref="S115:T115"/>
    <mergeCell ref="S116:T116"/>
    <mergeCell ref="U135:V135"/>
    <mergeCell ref="U136:V136"/>
    <mergeCell ref="U137:V137"/>
    <mergeCell ref="U138:V138"/>
    <mergeCell ref="U139:V139"/>
    <mergeCell ref="U140:V140"/>
    <mergeCell ref="U129:V129"/>
    <mergeCell ref="U130:V130"/>
    <mergeCell ref="U131:V131"/>
    <mergeCell ref="U132:V132"/>
    <mergeCell ref="U133:V133"/>
    <mergeCell ref="U134:V134"/>
    <mergeCell ref="U141:V141"/>
    <mergeCell ref="U142:V142"/>
    <mergeCell ref="U143:V143"/>
    <mergeCell ref="U144:V144"/>
    <mergeCell ref="U145:V145"/>
    <mergeCell ref="U128:V128"/>
    <mergeCell ref="U108:V108"/>
    <mergeCell ref="U109:V109"/>
    <mergeCell ref="U110:V110"/>
    <mergeCell ref="S135:T135"/>
    <mergeCell ref="S136:T136"/>
    <mergeCell ref="S137:T137"/>
    <mergeCell ref="S138:T138"/>
    <mergeCell ref="S139:T139"/>
    <mergeCell ref="S140:T140"/>
    <mergeCell ref="S129:T129"/>
    <mergeCell ref="S130:T130"/>
    <mergeCell ref="S131:T131"/>
    <mergeCell ref="S132:T132"/>
    <mergeCell ref="S133:T133"/>
    <mergeCell ref="S134:T134"/>
    <mergeCell ref="S123:T123"/>
    <mergeCell ref="S124:T124"/>
    <mergeCell ref="S125:T125"/>
    <mergeCell ref="S126:T126"/>
    <mergeCell ref="S127:T127"/>
    <mergeCell ref="S128:T128"/>
    <mergeCell ref="S117:T117"/>
    <mergeCell ref="S118:T118"/>
    <mergeCell ref="S119:T119"/>
    <mergeCell ref="S120:T120"/>
    <mergeCell ref="U117:V117"/>
    <mergeCell ref="U118:V118"/>
    <mergeCell ref="U119:V119"/>
    <mergeCell ref="U120:V120"/>
    <mergeCell ref="U121:V121"/>
    <mergeCell ref="S113:T113"/>
    <mergeCell ref="U114:V114"/>
    <mergeCell ref="Y112:Z112"/>
    <mergeCell ref="Y113:Z113"/>
    <mergeCell ref="Y114:Z114"/>
    <mergeCell ref="Y115:Z115"/>
    <mergeCell ref="Y116:Z116"/>
    <mergeCell ref="S107:T107"/>
    <mergeCell ref="S108:T108"/>
    <mergeCell ref="S109:T109"/>
    <mergeCell ref="S110:T110"/>
    <mergeCell ref="Y117:Z117"/>
    <mergeCell ref="Y118:Z118"/>
    <mergeCell ref="Y119:Z119"/>
    <mergeCell ref="Y120:Z120"/>
    <mergeCell ref="Y121:Z121"/>
    <mergeCell ref="Y122:Z122"/>
    <mergeCell ref="Y111:Z111"/>
    <mergeCell ref="Y107:Z107"/>
    <mergeCell ref="Y108:Z108"/>
    <mergeCell ref="Y109:Z109"/>
    <mergeCell ref="Y110:Z110"/>
    <mergeCell ref="W117:X117"/>
    <mergeCell ref="W118:X118"/>
    <mergeCell ref="W119:X119"/>
    <mergeCell ref="W120:X120"/>
    <mergeCell ref="W121:X121"/>
    <mergeCell ref="W122:X122"/>
    <mergeCell ref="W111:X111"/>
    <mergeCell ref="U122:V122"/>
    <mergeCell ref="U111:V111"/>
    <mergeCell ref="U112:V112"/>
    <mergeCell ref="U113:V113"/>
    <mergeCell ref="W112:X112"/>
    <mergeCell ref="Y136:Z136"/>
    <mergeCell ref="Y137:Z137"/>
    <mergeCell ref="Y138:Z138"/>
    <mergeCell ref="Y139:Z139"/>
    <mergeCell ref="Y140:Z140"/>
    <mergeCell ref="Y129:Z129"/>
    <mergeCell ref="Y130:Z130"/>
    <mergeCell ref="Y131:Z131"/>
    <mergeCell ref="Y132:Z132"/>
    <mergeCell ref="Y133:Z133"/>
    <mergeCell ref="Y134:Z134"/>
    <mergeCell ref="Y123:Z123"/>
    <mergeCell ref="Y124:Z124"/>
    <mergeCell ref="Y125:Z125"/>
    <mergeCell ref="Y126:Z126"/>
    <mergeCell ref="Y127:Z127"/>
    <mergeCell ref="Y128:Z128"/>
    <mergeCell ref="Y135:Z135"/>
    <mergeCell ref="Q136:R136"/>
    <mergeCell ref="Q137:R137"/>
    <mergeCell ref="Q138:R138"/>
    <mergeCell ref="Q139:R139"/>
    <mergeCell ref="Q140:R140"/>
    <mergeCell ref="Q129:R129"/>
    <mergeCell ref="Q130:R130"/>
    <mergeCell ref="Q131:R131"/>
    <mergeCell ref="Q132:R132"/>
    <mergeCell ref="Q133:R133"/>
    <mergeCell ref="Q134:R134"/>
    <mergeCell ref="Q123:R123"/>
    <mergeCell ref="W135:X135"/>
    <mergeCell ref="W136:X136"/>
    <mergeCell ref="W137:X137"/>
    <mergeCell ref="W138:X138"/>
    <mergeCell ref="W139:X139"/>
    <mergeCell ref="W140:X140"/>
    <mergeCell ref="W129:X129"/>
    <mergeCell ref="W130:X130"/>
    <mergeCell ref="W131:X131"/>
    <mergeCell ref="W132:X132"/>
    <mergeCell ref="W133:X133"/>
    <mergeCell ref="W134:X134"/>
    <mergeCell ref="W123:X123"/>
    <mergeCell ref="W124:X124"/>
    <mergeCell ref="Q124:R124"/>
    <mergeCell ref="U123:V123"/>
    <mergeCell ref="U124:V124"/>
    <mergeCell ref="U125:V125"/>
    <mergeCell ref="U126:V126"/>
    <mergeCell ref="U127:V127"/>
    <mergeCell ref="W113:X113"/>
    <mergeCell ref="W114:X114"/>
    <mergeCell ref="W115:X115"/>
    <mergeCell ref="W107:X107"/>
    <mergeCell ref="W108:X108"/>
    <mergeCell ref="W109:X109"/>
    <mergeCell ref="W110:X110"/>
    <mergeCell ref="Q135:R135"/>
    <mergeCell ref="O126:P126"/>
    <mergeCell ref="O127:P127"/>
    <mergeCell ref="O128:P128"/>
    <mergeCell ref="O117:P117"/>
    <mergeCell ref="O118:P118"/>
    <mergeCell ref="O119:P119"/>
    <mergeCell ref="O120:P120"/>
    <mergeCell ref="O121:P121"/>
    <mergeCell ref="O122:P122"/>
    <mergeCell ref="O111:P111"/>
    <mergeCell ref="O112:P112"/>
    <mergeCell ref="O113:P113"/>
    <mergeCell ref="O114:P114"/>
    <mergeCell ref="O115:P115"/>
    <mergeCell ref="O116:P116"/>
    <mergeCell ref="Q120:R120"/>
    <mergeCell ref="Q121:R121"/>
    <mergeCell ref="Q122:R122"/>
    <mergeCell ref="O135:P135"/>
    <mergeCell ref="S121:T121"/>
    <mergeCell ref="S122:T122"/>
    <mergeCell ref="S111:T111"/>
    <mergeCell ref="S112:T112"/>
    <mergeCell ref="U107:V107"/>
    <mergeCell ref="G117:H117"/>
    <mergeCell ref="G118:H118"/>
    <mergeCell ref="G119:H119"/>
    <mergeCell ref="G120:H120"/>
    <mergeCell ref="G121:H121"/>
    <mergeCell ref="G122:H122"/>
    <mergeCell ref="G111:H111"/>
    <mergeCell ref="G112:H112"/>
    <mergeCell ref="G113:H113"/>
    <mergeCell ref="G114:H114"/>
    <mergeCell ref="G115:H115"/>
    <mergeCell ref="W125:X125"/>
    <mergeCell ref="W126:X126"/>
    <mergeCell ref="W127:X127"/>
    <mergeCell ref="W128:X128"/>
    <mergeCell ref="W116:X116"/>
    <mergeCell ref="Q125:R125"/>
    <mergeCell ref="Q126:R126"/>
    <mergeCell ref="Q127:R127"/>
    <mergeCell ref="Q128:R128"/>
    <mergeCell ref="Q117:R117"/>
    <mergeCell ref="Q118:R118"/>
    <mergeCell ref="Q119:R119"/>
    <mergeCell ref="Q111:R111"/>
    <mergeCell ref="Q112:R112"/>
    <mergeCell ref="Q113:R113"/>
    <mergeCell ref="Q114:R114"/>
    <mergeCell ref="Q115:R115"/>
    <mergeCell ref="Q116:R116"/>
    <mergeCell ref="G116:H116"/>
    <mergeCell ref="G125:H125"/>
    <mergeCell ref="G126:H126"/>
    <mergeCell ref="O139:P139"/>
    <mergeCell ref="O140:P140"/>
    <mergeCell ref="O129:P129"/>
    <mergeCell ref="O130:P130"/>
    <mergeCell ref="O131:P131"/>
    <mergeCell ref="O132:P132"/>
    <mergeCell ref="O133:P133"/>
    <mergeCell ref="O134:P134"/>
    <mergeCell ref="O123:P123"/>
    <mergeCell ref="O124:P124"/>
    <mergeCell ref="O125:P125"/>
    <mergeCell ref="G129:H129"/>
    <mergeCell ref="G141:H141"/>
    <mergeCell ref="G130:H130"/>
    <mergeCell ref="G132:H132"/>
    <mergeCell ref="G133:H133"/>
    <mergeCell ref="M141:N141"/>
    <mergeCell ref="M135:N135"/>
    <mergeCell ref="K135:L135"/>
    <mergeCell ref="K136:L136"/>
    <mergeCell ref="K137:L137"/>
    <mergeCell ref="K138:L138"/>
    <mergeCell ref="K139:L139"/>
    <mergeCell ref="K140:L140"/>
    <mergeCell ref="K129:L129"/>
    <mergeCell ref="K130:L130"/>
    <mergeCell ref="K131:L131"/>
    <mergeCell ref="K132:L132"/>
    <mergeCell ref="K133:L133"/>
    <mergeCell ref="K134:L134"/>
    <mergeCell ref="I135:J135"/>
    <mergeCell ref="I136:J136"/>
    <mergeCell ref="G127:H127"/>
    <mergeCell ref="G128:H128"/>
    <mergeCell ref="M136:N136"/>
    <mergeCell ref="M137:N137"/>
    <mergeCell ref="M138:N138"/>
    <mergeCell ref="M139:N139"/>
    <mergeCell ref="M140:N140"/>
    <mergeCell ref="M129:N129"/>
    <mergeCell ref="M130:N130"/>
    <mergeCell ref="M131:N131"/>
    <mergeCell ref="M132:N132"/>
    <mergeCell ref="M133:N133"/>
    <mergeCell ref="M134:N134"/>
    <mergeCell ref="M123:N123"/>
    <mergeCell ref="M124:N124"/>
    <mergeCell ref="M125:N125"/>
    <mergeCell ref="M126:N126"/>
    <mergeCell ref="M127:N127"/>
    <mergeCell ref="M128:N128"/>
    <mergeCell ref="G135:H135"/>
    <mergeCell ref="G136:H136"/>
    <mergeCell ref="G137:H137"/>
    <mergeCell ref="G138:H138"/>
    <mergeCell ref="G139:H139"/>
    <mergeCell ref="G140:H140"/>
    <mergeCell ref="I137:J137"/>
    <mergeCell ref="I138:J138"/>
    <mergeCell ref="I130:J130"/>
    <mergeCell ref="I131:J131"/>
    <mergeCell ref="I132:J132"/>
    <mergeCell ref="I133:J133"/>
    <mergeCell ref="I134:J134"/>
    <mergeCell ref="O136:P136"/>
    <mergeCell ref="O137:P137"/>
    <mergeCell ref="O138:P138"/>
    <mergeCell ref="M121:N121"/>
    <mergeCell ref="M122:N122"/>
    <mergeCell ref="M111:N111"/>
    <mergeCell ref="M112:N112"/>
    <mergeCell ref="M113:N113"/>
    <mergeCell ref="M114:N114"/>
    <mergeCell ref="M115:N115"/>
    <mergeCell ref="M116:N116"/>
    <mergeCell ref="O107:P107"/>
    <mergeCell ref="G131:H131"/>
    <mergeCell ref="G134:H134"/>
    <mergeCell ref="G123:H123"/>
    <mergeCell ref="G124:H124"/>
    <mergeCell ref="M117:N117"/>
    <mergeCell ref="M118:N118"/>
    <mergeCell ref="M119:N119"/>
    <mergeCell ref="M120:N120"/>
    <mergeCell ref="I111:J111"/>
    <mergeCell ref="I112:J112"/>
    <mergeCell ref="I113:J113"/>
    <mergeCell ref="I107:J107"/>
    <mergeCell ref="I108:J108"/>
    <mergeCell ref="I109:J109"/>
    <mergeCell ref="I110:J110"/>
    <mergeCell ref="I114:J114"/>
    <mergeCell ref="I115:J115"/>
    <mergeCell ref="I116:J116"/>
    <mergeCell ref="K107:L107"/>
    <mergeCell ref="K108:L108"/>
    <mergeCell ref="K109:L109"/>
    <mergeCell ref="K110:L110"/>
    <mergeCell ref="K111:L111"/>
    <mergeCell ref="M107:N107"/>
    <mergeCell ref="M108:N108"/>
    <mergeCell ref="M109:N109"/>
    <mergeCell ref="M110:N110"/>
    <mergeCell ref="Q107:R107"/>
    <mergeCell ref="E31:H31"/>
    <mergeCell ref="I31:J31"/>
    <mergeCell ref="E32:H32"/>
    <mergeCell ref="I32:J32"/>
    <mergeCell ref="K32:N32"/>
    <mergeCell ref="O108:P108"/>
    <mergeCell ref="O109:P109"/>
    <mergeCell ref="O110:P110"/>
    <mergeCell ref="Q108:R108"/>
    <mergeCell ref="Q109:R109"/>
    <mergeCell ref="Q110:R110"/>
    <mergeCell ref="E64:W64"/>
    <mergeCell ref="U80:W80"/>
    <mergeCell ref="U71:W71"/>
    <mergeCell ref="E70:H70"/>
    <mergeCell ref="I70:J70"/>
    <mergeCell ref="K70:N70"/>
    <mergeCell ref="P70:Q70"/>
    <mergeCell ref="R70:T70"/>
    <mergeCell ref="E71:H71"/>
    <mergeCell ref="I71:J71"/>
    <mergeCell ref="G107:H107"/>
    <mergeCell ref="G108:H108"/>
    <mergeCell ref="G109:H109"/>
    <mergeCell ref="G110:H110"/>
    <mergeCell ref="E105:E106"/>
    <mergeCell ref="F105:F106"/>
    <mergeCell ref="E73:W73"/>
    <mergeCell ref="E75:H75"/>
    <mergeCell ref="I75:J75"/>
    <mergeCell ref="E76:H76"/>
    <mergeCell ref="I76:J76"/>
    <mergeCell ref="K76:N76"/>
    <mergeCell ref="P76:Q76"/>
    <mergeCell ref="R76:T76"/>
    <mergeCell ref="E29:H29"/>
    <mergeCell ref="I29:J29"/>
    <mergeCell ref="E30:H30"/>
    <mergeCell ref="I30:J30"/>
    <mergeCell ref="K30:N30"/>
    <mergeCell ref="R79:T79"/>
    <mergeCell ref="E80:H80"/>
    <mergeCell ref="I80:J80"/>
    <mergeCell ref="K80:N80"/>
    <mergeCell ref="P80:T80"/>
    <mergeCell ref="R77:T77"/>
    <mergeCell ref="R78:T78"/>
    <mergeCell ref="K69:N69"/>
    <mergeCell ref="P69:Q69"/>
    <mergeCell ref="R69:T69"/>
    <mergeCell ref="E66:H66"/>
    <mergeCell ref="I66:J66"/>
    <mergeCell ref="E67:H67"/>
    <mergeCell ref="I67:J67"/>
    <mergeCell ref="K67:N67"/>
    <mergeCell ref="U100:W100"/>
    <mergeCell ref="K24:N24"/>
    <mergeCell ref="E25:H25"/>
    <mergeCell ref="I25:J25"/>
    <mergeCell ref="K25:N25"/>
    <mergeCell ref="E27:O27"/>
    <mergeCell ref="E33:H33"/>
    <mergeCell ref="I33:J33"/>
    <mergeCell ref="K33:N33"/>
    <mergeCell ref="E34:H34"/>
    <mergeCell ref="I34:J34"/>
    <mergeCell ref="K34:N34"/>
    <mergeCell ref="E79:H79"/>
    <mergeCell ref="I79:J79"/>
    <mergeCell ref="K79:N79"/>
    <mergeCell ref="P79:Q79"/>
    <mergeCell ref="E77:H77"/>
    <mergeCell ref="I77:J77"/>
    <mergeCell ref="P77:Q77"/>
    <mergeCell ref="E78:H78"/>
    <mergeCell ref="I78:J78"/>
    <mergeCell ref="K78:N78"/>
    <mergeCell ref="P78:Q78"/>
    <mergeCell ref="K71:N71"/>
    <mergeCell ref="P71:T71"/>
    <mergeCell ref="E68:H68"/>
    <mergeCell ref="I68:J68"/>
    <mergeCell ref="P68:Q68"/>
    <mergeCell ref="R68:T68"/>
    <mergeCell ref="E69:H69"/>
    <mergeCell ref="I69:J69"/>
    <mergeCell ref="P67:Q67"/>
    <mergeCell ref="R67:T67"/>
    <mergeCell ref="K97:N97"/>
    <mergeCell ref="E99:H99"/>
    <mergeCell ref="I99:J99"/>
    <mergeCell ref="K99:N99"/>
    <mergeCell ref="P99:Q99"/>
    <mergeCell ref="R99:T99"/>
    <mergeCell ref="E100:H100"/>
    <mergeCell ref="I100:J100"/>
    <mergeCell ref="K100:N100"/>
    <mergeCell ref="P100:T100"/>
    <mergeCell ref="E97:H97"/>
    <mergeCell ref="I97:J97"/>
    <mergeCell ref="P97:Q97"/>
    <mergeCell ref="R97:T97"/>
    <mergeCell ref="E98:H98"/>
    <mergeCell ref="I98:J98"/>
    <mergeCell ref="K98:N98"/>
    <mergeCell ref="P98:Q98"/>
    <mergeCell ref="R98:T98"/>
    <mergeCell ref="E92:W92"/>
    <mergeCell ref="E94:H94"/>
    <mergeCell ref="I94:J94"/>
    <mergeCell ref="E95:H95"/>
    <mergeCell ref="I95:J95"/>
    <mergeCell ref="K96:N96"/>
    <mergeCell ref="P96:Q96"/>
    <mergeCell ref="R96:T96"/>
    <mergeCell ref="U90:W90"/>
    <mergeCell ref="I87:J87"/>
    <mergeCell ref="E87:H87"/>
    <mergeCell ref="E88:H88"/>
    <mergeCell ref="I88:J88"/>
    <mergeCell ref="K87:N87"/>
    <mergeCell ref="E90:H90"/>
    <mergeCell ref="I90:J90"/>
    <mergeCell ref="K89:N89"/>
    <mergeCell ref="P89:Q89"/>
    <mergeCell ref="R89:T89"/>
    <mergeCell ref="K90:N90"/>
    <mergeCell ref="P90:T90"/>
    <mergeCell ref="E96:H96"/>
    <mergeCell ref="I96:J96"/>
    <mergeCell ref="E86:H86"/>
    <mergeCell ref="I86:J86"/>
    <mergeCell ref="P87:Q87"/>
    <mergeCell ref="R87:T87"/>
    <mergeCell ref="E89:H89"/>
    <mergeCell ref="I89:J89"/>
    <mergeCell ref="K88:N88"/>
    <mergeCell ref="P88:Q88"/>
    <mergeCell ref="R88:T88"/>
    <mergeCell ref="E82:W82"/>
    <mergeCell ref="E84:H84"/>
    <mergeCell ref="I84:J84"/>
    <mergeCell ref="E85:H85"/>
    <mergeCell ref="I85:J85"/>
    <mergeCell ref="K86:N86"/>
    <mergeCell ref="P86:Q86"/>
    <mergeCell ref="R86:T86"/>
    <mergeCell ref="K53:N53"/>
    <mergeCell ref="P53:T53"/>
    <mergeCell ref="E55:W55"/>
    <mergeCell ref="E57:H57"/>
    <mergeCell ref="I57:J57"/>
    <mergeCell ref="K58:N58"/>
    <mergeCell ref="P58:Q58"/>
    <mergeCell ref="R58:T58"/>
    <mergeCell ref="K60:N60"/>
    <mergeCell ref="P62:T62"/>
    <mergeCell ref="U62:W62"/>
    <mergeCell ref="E62:H62"/>
    <mergeCell ref="I62:J62"/>
    <mergeCell ref="K62:N62"/>
    <mergeCell ref="R60:T60"/>
    <mergeCell ref="E61:H61"/>
    <mergeCell ref="I61:J61"/>
    <mergeCell ref="K61:N61"/>
    <mergeCell ref="P61:Q61"/>
    <mergeCell ref="R61:T61"/>
    <mergeCell ref="E60:H60"/>
    <mergeCell ref="I60:J60"/>
    <mergeCell ref="P60:Q60"/>
    <mergeCell ref="K44:N44"/>
    <mergeCell ref="P44:T44"/>
    <mergeCell ref="U44:W44"/>
    <mergeCell ref="R40:T40"/>
    <mergeCell ref="E41:H41"/>
    <mergeCell ref="I41:J41"/>
    <mergeCell ref="P41:Q41"/>
    <mergeCell ref="R41:T41"/>
    <mergeCell ref="E42:H42"/>
    <mergeCell ref="I42:J42"/>
    <mergeCell ref="K42:N42"/>
    <mergeCell ref="P42:Q42"/>
    <mergeCell ref="R42:T42"/>
    <mergeCell ref="U53:W53"/>
    <mergeCell ref="E58:H58"/>
    <mergeCell ref="I58:J58"/>
    <mergeCell ref="E59:H59"/>
    <mergeCell ref="I59:J59"/>
    <mergeCell ref="P59:Q59"/>
    <mergeCell ref="R59:T59"/>
    <mergeCell ref="E51:H51"/>
    <mergeCell ref="I51:J51"/>
    <mergeCell ref="K51:N51"/>
    <mergeCell ref="P51:Q51"/>
    <mergeCell ref="R51:T51"/>
    <mergeCell ref="E52:H52"/>
    <mergeCell ref="I52:J52"/>
    <mergeCell ref="K52:N52"/>
    <mergeCell ref="P52:Q52"/>
    <mergeCell ref="R52:T52"/>
    <mergeCell ref="E53:H53"/>
    <mergeCell ref="I53:J53"/>
    <mergeCell ref="E37:W37"/>
    <mergeCell ref="E39:H39"/>
    <mergeCell ref="I39:J39"/>
    <mergeCell ref="K12:N12"/>
    <mergeCell ref="K14:N14"/>
    <mergeCell ref="K15:N15"/>
    <mergeCell ref="K16:N16"/>
    <mergeCell ref="I11:J11"/>
    <mergeCell ref="I12:J12"/>
    <mergeCell ref="I13:J13"/>
    <mergeCell ref="I14:J14"/>
    <mergeCell ref="I15:J15"/>
    <mergeCell ref="I16:J16"/>
    <mergeCell ref="E11:H11"/>
    <mergeCell ref="E12:H12"/>
    <mergeCell ref="E13:H13"/>
    <mergeCell ref="E14:H14"/>
    <mergeCell ref="E15:H15"/>
    <mergeCell ref="E16:H16"/>
    <mergeCell ref="E20:H20"/>
    <mergeCell ref="I20:J20"/>
    <mergeCell ref="E21:H21"/>
    <mergeCell ref="I21:J21"/>
    <mergeCell ref="K21:N21"/>
    <mergeCell ref="E18:O18"/>
    <mergeCell ref="E22:H22"/>
    <mergeCell ref="I22:J22"/>
    <mergeCell ref="E23:H23"/>
    <mergeCell ref="I23:J23"/>
    <mergeCell ref="K23:N23"/>
    <mergeCell ref="E24:H24"/>
    <mergeCell ref="I24:J24"/>
    <mergeCell ref="E9:O9"/>
    <mergeCell ref="E50:H50"/>
    <mergeCell ref="I50:J50"/>
    <mergeCell ref="P50:Q50"/>
    <mergeCell ref="R50:T50"/>
    <mergeCell ref="E43:H43"/>
    <mergeCell ref="I43:J43"/>
    <mergeCell ref="K43:N43"/>
    <mergeCell ref="P43:Q43"/>
    <mergeCell ref="E40:H40"/>
    <mergeCell ref="I40:J40"/>
    <mergeCell ref="K40:N40"/>
    <mergeCell ref="P40:Q40"/>
    <mergeCell ref="E1:P3"/>
    <mergeCell ref="F185:G185"/>
    <mergeCell ref="H185:I185"/>
    <mergeCell ref="J185:K185"/>
    <mergeCell ref="L185:M185"/>
    <mergeCell ref="N185:O185"/>
    <mergeCell ref="P185:Q185"/>
    <mergeCell ref="R185:S185"/>
    <mergeCell ref="E46:W46"/>
    <mergeCell ref="E48:H48"/>
    <mergeCell ref="I48:J48"/>
    <mergeCell ref="E49:H49"/>
    <mergeCell ref="I49:J49"/>
    <mergeCell ref="K49:N49"/>
    <mergeCell ref="P49:Q49"/>
    <mergeCell ref="R49:T49"/>
    <mergeCell ref="R43:T43"/>
    <mergeCell ref="E44:H44"/>
    <mergeCell ref="I44:J44"/>
    <mergeCell ref="F214:G214"/>
    <mergeCell ref="H214:I214"/>
    <mergeCell ref="J214:K214"/>
    <mergeCell ref="L214:M214"/>
    <mergeCell ref="N214:O214"/>
    <mergeCell ref="P214:Q214"/>
    <mergeCell ref="R186:S186"/>
    <mergeCell ref="F187:G187"/>
    <mergeCell ref="H187:I187"/>
    <mergeCell ref="J187:K187"/>
    <mergeCell ref="L187:M187"/>
    <mergeCell ref="N187:O187"/>
    <mergeCell ref="P187:Q187"/>
    <mergeCell ref="R187:S187"/>
    <mergeCell ref="F188:G188"/>
    <mergeCell ref="H188:I188"/>
    <mergeCell ref="J188:K188"/>
    <mergeCell ref="L188:M188"/>
    <mergeCell ref="N188:O188"/>
    <mergeCell ref="P188:Q188"/>
    <mergeCell ref="R188:S188"/>
    <mergeCell ref="F189:G189"/>
    <mergeCell ref="H189:I189"/>
    <mergeCell ref="J189:K189"/>
    <mergeCell ref="L189:M189"/>
    <mergeCell ref="N189:O189"/>
    <mergeCell ref="P189:Q189"/>
    <mergeCell ref="R189:S189"/>
    <mergeCell ref="F186:G186"/>
    <mergeCell ref="H186:I186"/>
    <mergeCell ref="J186:K186"/>
    <mergeCell ref="L186:M186"/>
    <mergeCell ref="N186:O186"/>
    <mergeCell ref="P186:Q186"/>
    <mergeCell ref="R190:S190"/>
    <mergeCell ref="F191:G191"/>
    <mergeCell ref="H191:I191"/>
    <mergeCell ref="J191:K191"/>
    <mergeCell ref="L191:M191"/>
    <mergeCell ref="N191:O191"/>
    <mergeCell ref="P191:Q191"/>
    <mergeCell ref="R191:S191"/>
    <mergeCell ref="F192:G192"/>
    <mergeCell ref="H192:I192"/>
    <mergeCell ref="J192:K192"/>
    <mergeCell ref="L192:M192"/>
    <mergeCell ref="N192:O192"/>
    <mergeCell ref="P192:Q192"/>
    <mergeCell ref="R192:S192"/>
    <mergeCell ref="F193:G193"/>
    <mergeCell ref="H193:I193"/>
    <mergeCell ref="J193:K193"/>
    <mergeCell ref="L193:M193"/>
    <mergeCell ref="N193:O193"/>
    <mergeCell ref="P193:Q193"/>
    <mergeCell ref="R193:S193"/>
    <mergeCell ref="F190:G190"/>
    <mergeCell ref="H190:I190"/>
    <mergeCell ref="J190:K190"/>
    <mergeCell ref="L190:M190"/>
    <mergeCell ref="N190:O190"/>
    <mergeCell ref="P190:Q190"/>
    <mergeCell ref="R194:S194"/>
    <mergeCell ref="F195:G195"/>
    <mergeCell ref="H195:I195"/>
    <mergeCell ref="J195:K195"/>
    <mergeCell ref="L195:M195"/>
    <mergeCell ref="N195:O195"/>
    <mergeCell ref="P195:Q195"/>
    <mergeCell ref="R195:S195"/>
    <mergeCell ref="F196:G196"/>
    <mergeCell ref="H196:I196"/>
    <mergeCell ref="J196:K196"/>
    <mergeCell ref="L196:M196"/>
    <mergeCell ref="N196:O196"/>
    <mergeCell ref="P196:Q196"/>
    <mergeCell ref="R196:S196"/>
    <mergeCell ref="F197:G197"/>
    <mergeCell ref="H197:I197"/>
    <mergeCell ref="J197:K197"/>
    <mergeCell ref="L197:M197"/>
    <mergeCell ref="N197:O197"/>
    <mergeCell ref="P197:Q197"/>
    <mergeCell ref="R197:S197"/>
    <mergeCell ref="F194:G194"/>
    <mergeCell ref="H194:I194"/>
    <mergeCell ref="J194:K194"/>
    <mergeCell ref="L194:M194"/>
    <mergeCell ref="N194:O194"/>
    <mergeCell ref="P194:Q194"/>
    <mergeCell ref="R198:S198"/>
    <mergeCell ref="F199:G199"/>
    <mergeCell ref="H199:I199"/>
    <mergeCell ref="J199:K199"/>
    <mergeCell ref="L199:M199"/>
    <mergeCell ref="N199:O199"/>
    <mergeCell ref="P199:Q199"/>
    <mergeCell ref="R199:S199"/>
    <mergeCell ref="F200:G200"/>
    <mergeCell ref="H200:I200"/>
    <mergeCell ref="J200:K200"/>
    <mergeCell ref="L200:M200"/>
    <mergeCell ref="N200:O200"/>
    <mergeCell ref="P200:Q200"/>
    <mergeCell ref="R200:S200"/>
    <mergeCell ref="F201:G201"/>
    <mergeCell ref="H201:I201"/>
    <mergeCell ref="J201:K201"/>
    <mergeCell ref="L201:M201"/>
    <mergeCell ref="N201:O201"/>
    <mergeCell ref="P201:Q201"/>
    <mergeCell ref="R201:S201"/>
    <mergeCell ref="F198:G198"/>
    <mergeCell ref="H198:I198"/>
    <mergeCell ref="J198:K198"/>
    <mergeCell ref="L198:M198"/>
    <mergeCell ref="N198:O198"/>
    <mergeCell ref="P198:Q198"/>
    <mergeCell ref="R202:S202"/>
    <mergeCell ref="F203:G203"/>
    <mergeCell ref="H203:I203"/>
    <mergeCell ref="J203:K203"/>
    <mergeCell ref="L203:M203"/>
    <mergeCell ref="N203:O203"/>
    <mergeCell ref="P203:Q203"/>
    <mergeCell ref="R203:S203"/>
    <mergeCell ref="F204:G204"/>
    <mergeCell ref="H204:I204"/>
    <mergeCell ref="J204:K204"/>
    <mergeCell ref="L204:M204"/>
    <mergeCell ref="N204:O204"/>
    <mergeCell ref="P204:Q204"/>
    <mergeCell ref="R204:S204"/>
    <mergeCell ref="F205:G205"/>
    <mergeCell ref="H205:I205"/>
    <mergeCell ref="J205:K205"/>
    <mergeCell ref="L205:M205"/>
    <mergeCell ref="N205:O205"/>
    <mergeCell ref="P205:Q205"/>
    <mergeCell ref="R205:S205"/>
    <mergeCell ref="F202:G202"/>
    <mergeCell ref="H202:I202"/>
    <mergeCell ref="J202:K202"/>
    <mergeCell ref="L202:M202"/>
    <mergeCell ref="N202:O202"/>
    <mergeCell ref="P202:Q202"/>
    <mergeCell ref="R206:S206"/>
    <mergeCell ref="F207:G207"/>
    <mergeCell ref="H207:I207"/>
    <mergeCell ref="J207:K207"/>
    <mergeCell ref="L207:M207"/>
    <mergeCell ref="N207:O207"/>
    <mergeCell ref="P207:Q207"/>
    <mergeCell ref="R207:S207"/>
    <mergeCell ref="F208:G208"/>
    <mergeCell ref="H208:I208"/>
    <mergeCell ref="J208:K208"/>
    <mergeCell ref="L208:M208"/>
    <mergeCell ref="N208:O208"/>
    <mergeCell ref="P208:Q208"/>
    <mergeCell ref="R208:S208"/>
    <mergeCell ref="F209:G209"/>
    <mergeCell ref="H209:I209"/>
    <mergeCell ref="J209:K209"/>
    <mergeCell ref="L209:M209"/>
    <mergeCell ref="N209:O209"/>
    <mergeCell ref="P209:Q209"/>
    <mergeCell ref="R209:S209"/>
    <mergeCell ref="F206:G206"/>
    <mergeCell ref="H206:I206"/>
    <mergeCell ref="J206:K206"/>
    <mergeCell ref="L206:M206"/>
    <mergeCell ref="N206:O206"/>
    <mergeCell ref="P206:Q206"/>
    <mergeCell ref="R210:S210"/>
    <mergeCell ref="F211:G211"/>
    <mergeCell ref="H211:I211"/>
    <mergeCell ref="J211:K211"/>
    <mergeCell ref="L211:M211"/>
    <mergeCell ref="N211:O211"/>
    <mergeCell ref="P211:Q211"/>
    <mergeCell ref="R211:S211"/>
    <mergeCell ref="F212:G212"/>
    <mergeCell ref="H212:I212"/>
    <mergeCell ref="J212:K212"/>
    <mergeCell ref="L212:M212"/>
    <mergeCell ref="N212:O212"/>
    <mergeCell ref="P212:Q212"/>
    <mergeCell ref="R212:S212"/>
    <mergeCell ref="F213:G213"/>
    <mergeCell ref="H213:I213"/>
    <mergeCell ref="J213:K213"/>
    <mergeCell ref="L213:M213"/>
    <mergeCell ref="N213:O213"/>
    <mergeCell ref="P213:Q213"/>
    <mergeCell ref="R213:S213"/>
    <mergeCell ref="F210:G210"/>
    <mergeCell ref="H210:I210"/>
    <mergeCell ref="J210:K210"/>
    <mergeCell ref="L210:M210"/>
    <mergeCell ref="N210:O210"/>
    <mergeCell ref="P210:Q210"/>
    <mergeCell ref="R214:S214"/>
    <mergeCell ref="F215:G215"/>
    <mergeCell ref="H215:I215"/>
    <mergeCell ref="J215:K215"/>
    <mergeCell ref="L215:M215"/>
    <mergeCell ref="N215:O215"/>
    <mergeCell ref="P215:Q215"/>
    <mergeCell ref="R215:S215"/>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V185:W185"/>
    <mergeCell ref="V186:W186"/>
    <mergeCell ref="V187:W187"/>
    <mergeCell ref="V188:W188"/>
    <mergeCell ref="V189:W189"/>
    <mergeCell ref="V190:W190"/>
    <mergeCell ref="V191:W191"/>
    <mergeCell ref="V192:W192"/>
    <mergeCell ref="V193:W193"/>
    <mergeCell ref="V194:W194"/>
    <mergeCell ref="V195:W195"/>
    <mergeCell ref="V196:W196"/>
    <mergeCell ref="V197:W197"/>
    <mergeCell ref="V198:W198"/>
    <mergeCell ref="V199:W199"/>
    <mergeCell ref="V200:W200"/>
    <mergeCell ref="V201:W201"/>
    <mergeCell ref="V202:W202"/>
    <mergeCell ref="V203:W203"/>
    <mergeCell ref="V204:W204"/>
    <mergeCell ref="V205:W205"/>
    <mergeCell ref="V206:W206"/>
    <mergeCell ref="V207:W207"/>
    <mergeCell ref="V208:W208"/>
    <mergeCell ref="V209:W209"/>
    <mergeCell ref="V210:W210"/>
    <mergeCell ref="V211:W211"/>
    <mergeCell ref="V212:W212"/>
    <mergeCell ref="V213:W213"/>
    <mergeCell ref="V214:W214"/>
    <mergeCell ref="V215:W215"/>
    <mergeCell ref="X185:Y185"/>
    <mergeCell ref="X186:Y186"/>
    <mergeCell ref="X187:Y187"/>
    <mergeCell ref="X188:Y188"/>
    <mergeCell ref="X189:Y189"/>
    <mergeCell ref="X190:Y190"/>
    <mergeCell ref="X191:Y191"/>
    <mergeCell ref="X192:Y192"/>
    <mergeCell ref="X193:Y193"/>
    <mergeCell ref="X194:Y194"/>
    <mergeCell ref="X195:Y195"/>
    <mergeCell ref="X196:Y196"/>
    <mergeCell ref="X197:Y197"/>
    <mergeCell ref="X198:Y198"/>
    <mergeCell ref="X199:Y199"/>
    <mergeCell ref="X200:Y200"/>
    <mergeCell ref="X201:Y201"/>
    <mergeCell ref="X202:Y202"/>
    <mergeCell ref="X203:Y203"/>
    <mergeCell ref="X204:Y204"/>
    <mergeCell ref="X205:Y205"/>
    <mergeCell ref="X206:Y206"/>
    <mergeCell ref="X207:Y207"/>
    <mergeCell ref="X208:Y208"/>
    <mergeCell ref="X209:Y209"/>
    <mergeCell ref="X210:Y210"/>
    <mergeCell ref="X211:Y211"/>
    <mergeCell ref="X212:Y212"/>
    <mergeCell ref="X213:Y213"/>
    <mergeCell ref="X214:Y214"/>
    <mergeCell ref="X215:Y215"/>
    <mergeCell ref="Z185:AA185"/>
    <mergeCell ref="Z186:AA186"/>
    <mergeCell ref="Z187:AA187"/>
    <mergeCell ref="Z188:AA188"/>
    <mergeCell ref="Z189:AA189"/>
    <mergeCell ref="Z190:AA190"/>
    <mergeCell ref="Z191:AA191"/>
    <mergeCell ref="Z192:AA192"/>
    <mergeCell ref="Z193:AA193"/>
    <mergeCell ref="Z194:AA194"/>
    <mergeCell ref="Z195:AA195"/>
    <mergeCell ref="Z196:AA196"/>
    <mergeCell ref="Z197:AA197"/>
    <mergeCell ref="Z198:AA198"/>
    <mergeCell ref="Z199:AA199"/>
    <mergeCell ref="Z200:AA200"/>
    <mergeCell ref="Z201:AA201"/>
    <mergeCell ref="Z202:AA202"/>
    <mergeCell ref="Z203:AA203"/>
    <mergeCell ref="Z204:AA204"/>
    <mergeCell ref="Z205:AA205"/>
    <mergeCell ref="Z206:AA206"/>
    <mergeCell ref="Z207:AA207"/>
    <mergeCell ref="Z208:AA208"/>
    <mergeCell ref="Z209:AA209"/>
    <mergeCell ref="Z210:AA210"/>
    <mergeCell ref="Z211:AA211"/>
    <mergeCell ref="AD185:AE185"/>
    <mergeCell ref="AD186:AE186"/>
    <mergeCell ref="AD187:AE187"/>
    <mergeCell ref="AD188:AE188"/>
    <mergeCell ref="AD189:AE189"/>
    <mergeCell ref="AD190:AE190"/>
    <mergeCell ref="AD191:AE191"/>
    <mergeCell ref="AD192:AE192"/>
    <mergeCell ref="AD193:AE193"/>
    <mergeCell ref="AD194:AE194"/>
    <mergeCell ref="AD195:AE195"/>
    <mergeCell ref="AD196:AE196"/>
    <mergeCell ref="AD197:AE197"/>
    <mergeCell ref="AD198:AE198"/>
    <mergeCell ref="AD199:AE199"/>
    <mergeCell ref="AD200:AE200"/>
    <mergeCell ref="AD201:AE201"/>
    <mergeCell ref="AF211:AG211"/>
    <mergeCell ref="AF212:AG212"/>
    <mergeCell ref="AF213:AG213"/>
    <mergeCell ref="Z212:AA212"/>
    <mergeCell ref="Z213:AA213"/>
    <mergeCell ref="Z214:AA214"/>
    <mergeCell ref="Z215:AA215"/>
    <mergeCell ref="AD202:AE202"/>
    <mergeCell ref="AD203:AE203"/>
    <mergeCell ref="AD204:AE204"/>
    <mergeCell ref="AD205:AE205"/>
    <mergeCell ref="AD206:AE206"/>
    <mergeCell ref="AD207:AE207"/>
    <mergeCell ref="AD208:AE208"/>
    <mergeCell ref="AD209:AE209"/>
    <mergeCell ref="AD210:AE210"/>
    <mergeCell ref="AD211:AE211"/>
    <mergeCell ref="AD212:AE212"/>
    <mergeCell ref="AF194:AG194"/>
    <mergeCell ref="AF195:AG195"/>
    <mergeCell ref="AF196:AG196"/>
    <mergeCell ref="AF197:AG197"/>
    <mergeCell ref="AF198:AG198"/>
    <mergeCell ref="AF199:AG199"/>
    <mergeCell ref="AF200:AG200"/>
    <mergeCell ref="AF201:AG201"/>
    <mergeCell ref="AF202:AG202"/>
    <mergeCell ref="AF203:AG203"/>
    <mergeCell ref="AF204:AG204"/>
    <mergeCell ref="AF205:AG205"/>
    <mergeCell ref="AF206:AG206"/>
    <mergeCell ref="AF207:AG207"/>
    <mergeCell ref="AF208:AG208"/>
    <mergeCell ref="AF209:AG209"/>
    <mergeCell ref="AF210:AG210"/>
    <mergeCell ref="T224:U224"/>
    <mergeCell ref="AH206:AI206"/>
    <mergeCell ref="AH207:AI207"/>
    <mergeCell ref="AH185:AI185"/>
    <mergeCell ref="AH186:AI186"/>
    <mergeCell ref="AH187:AI187"/>
    <mergeCell ref="AH188:AI188"/>
    <mergeCell ref="AH189:AI189"/>
    <mergeCell ref="AH190:AI190"/>
    <mergeCell ref="AH191:AI191"/>
    <mergeCell ref="AH192:AI192"/>
    <mergeCell ref="AH193:AI193"/>
    <mergeCell ref="AH194:AI194"/>
    <mergeCell ref="AH195:AI195"/>
    <mergeCell ref="AH196:AI196"/>
    <mergeCell ref="AH197:AI197"/>
    <mergeCell ref="AH198:AI198"/>
    <mergeCell ref="AH199:AI199"/>
    <mergeCell ref="AH200:AI200"/>
    <mergeCell ref="AH201:AI201"/>
    <mergeCell ref="AD213:AE213"/>
    <mergeCell ref="AD214:AE214"/>
    <mergeCell ref="AD215:AE215"/>
    <mergeCell ref="AF185:AG185"/>
    <mergeCell ref="AF186:AG186"/>
    <mergeCell ref="AF187:AG187"/>
    <mergeCell ref="AF188:AG188"/>
    <mergeCell ref="AF189:AG189"/>
    <mergeCell ref="AF190:AG190"/>
    <mergeCell ref="AF191:AG191"/>
    <mergeCell ref="AF192:AG192"/>
    <mergeCell ref="AF193:AG193"/>
    <mergeCell ref="F228:G228"/>
    <mergeCell ref="H228:I228"/>
    <mergeCell ref="J228:K228"/>
    <mergeCell ref="L228:M228"/>
    <mergeCell ref="N228:O228"/>
    <mergeCell ref="P228:Q228"/>
    <mergeCell ref="R228:S228"/>
    <mergeCell ref="T228:U228"/>
    <mergeCell ref="F225:G225"/>
    <mergeCell ref="H225:I225"/>
    <mergeCell ref="J225:K225"/>
    <mergeCell ref="L225:M225"/>
    <mergeCell ref="N225:O225"/>
    <mergeCell ref="P225:Q225"/>
    <mergeCell ref="R225:S225"/>
    <mergeCell ref="T225:U225"/>
    <mergeCell ref="AH202:AI202"/>
    <mergeCell ref="AH203:AI203"/>
    <mergeCell ref="AH204:AI204"/>
    <mergeCell ref="AH205:AI205"/>
    <mergeCell ref="AH208:AI208"/>
    <mergeCell ref="AH209:AI209"/>
    <mergeCell ref="AH210:AI210"/>
    <mergeCell ref="AH211:AI211"/>
    <mergeCell ref="AH212:AI212"/>
    <mergeCell ref="AH213:AI213"/>
    <mergeCell ref="AH214:AI214"/>
    <mergeCell ref="AH215:AI215"/>
    <mergeCell ref="AF214:AG214"/>
    <mergeCell ref="AF215:AG215"/>
    <mergeCell ref="L224:M224"/>
    <mergeCell ref="N224:O224"/>
    <mergeCell ref="T226:U226"/>
    <mergeCell ref="E218:E219"/>
    <mergeCell ref="F220:G220"/>
    <mergeCell ref="H220:I220"/>
    <mergeCell ref="J220:K220"/>
    <mergeCell ref="L220:M220"/>
    <mergeCell ref="N220:O220"/>
    <mergeCell ref="P220:Q220"/>
    <mergeCell ref="R220:S220"/>
    <mergeCell ref="F218:G219"/>
    <mergeCell ref="H218:I219"/>
    <mergeCell ref="J218:K219"/>
    <mergeCell ref="L218:M219"/>
    <mergeCell ref="N218:O219"/>
    <mergeCell ref="P218:Q219"/>
    <mergeCell ref="R218:S219"/>
    <mergeCell ref="F221:G221"/>
    <mergeCell ref="H221:I221"/>
    <mergeCell ref="J221:K221"/>
    <mergeCell ref="L221:M221"/>
    <mergeCell ref="N221:O221"/>
    <mergeCell ref="P221:Q221"/>
    <mergeCell ref="R221:S221"/>
    <mergeCell ref="T221:U221"/>
    <mergeCell ref="F222:G222"/>
    <mergeCell ref="H222:I222"/>
    <mergeCell ref="J222:K222"/>
    <mergeCell ref="L222:M222"/>
    <mergeCell ref="N222:O222"/>
    <mergeCell ref="P222:Q222"/>
    <mergeCell ref="R222:S222"/>
    <mergeCell ref="T222:U222"/>
    <mergeCell ref="F227:G227"/>
    <mergeCell ref="H227:I227"/>
    <mergeCell ref="J227:K227"/>
    <mergeCell ref="L227:M227"/>
    <mergeCell ref="N227:O227"/>
    <mergeCell ref="P227:Q227"/>
    <mergeCell ref="R227:S227"/>
    <mergeCell ref="F223:G223"/>
    <mergeCell ref="H223:I223"/>
    <mergeCell ref="J223:K223"/>
    <mergeCell ref="L223:M223"/>
    <mergeCell ref="N223:O223"/>
    <mergeCell ref="P223:Q223"/>
    <mergeCell ref="R223:S223"/>
    <mergeCell ref="F224:G224"/>
    <mergeCell ref="H224:I224"/>
    <mergeCell ref="J224:K224"/>
    <mergeCell ref="F226:G226"/>
    <mergeCell ref="H226:I226"/>
    <mergeCell ref="J226:K226"/>
    <mergeCell ref="L226:M226"/>
    <mergeCell ref="N226:O226"/>
    <mergeCell ref="P226:Q226"/>
    <mergeCell ref="R226:S226"/>
    <mergeCell ref="P224:Q224"/>
    <mergeCell ref="R224:S224"/>
    <mergeCell ref="F229:G229"/>
    <mergeCell ref="H229:I229"/>
    <mergeCell ref="J229:K229"/>
    <mergeCell ref="L229:M229"/>
    <mergeCell ref="N229:O229"/>
    <mergeCell ref="P229:Q229"/>
    <mergeCell ref="R229:S229"/>
    <mergeCell ref="T229:U229"/>
    <mergeCell ref="F230:G230"/>
    <mergeCell ref="H230:I230"/>
    <mergeCell ref="J230:K230"/>
    <mergeCell ref="L230:M230"/>
    <mergeCell ref="N230:O230"/>
    <mergeCell ref="P230:Q230"/>
    <mergeCell ref="R230:S230"/>
    <mergeCell ref="T230:U230"/>
    <mergeCell ref="F231:G231"/>
    <mergeCell ref="H231:I231"/>
    <mergeCell ref="J231:K231"/>
    <mergeCell ref="L231:M231"/>
    <mergeCell ref="N231:O231"/>
    <mergeCell ref="P231:Q231"/>
    <mergeCell ref="R231:S231"/>
    <mergeCell ref="T231:U231"/>
    <mergeCell ref="F232:G232"/>
    <mergeCell ref="H232:I232"/>
    <mergeCell ref="J232:K232"/>
    <mergeCell ref="L232:M232"/>
    <mergeCell ref="N232:O232"/>
    <mergeCell ref="P232:Q232"/>
    <mergeCell ref="R232:S232"/>
    <mergeCell ref="T232:U232"/>
    <mergeCell ref="F233:G233"/>
    <mergeCell ref="H233:I233"/>
    <mergeCell ref="J233:K233"/>
    <mergeCell ref="L233:M233"/>
    <mergeCell ref="N233:O233"/>
    <mergeCell ref="P233:Q233"/>
    <mergeCell ref="R233:S233"/>
    <mergeCell ref="T233:U233"/>
    <mergeCell ref="F234:G234"/>
    <mergeCell ref="H234:I234"/>
    <mergeCell ref="J234:K234"/>
    <mergeCell ref="L234:M234"/>
    <mergeCell ref="N234:O234"/>
    <mergeCell ref="P234:Q234"/>
    <mergeCell ref="R234:S234"/>
    <mergeCell ref="T234:U234"/>
    <mergeCell ref="F235:G235"/>
    <mergeCell ref="H235:I235"/>
    <mergeCell ref="J235:K235"/>
    <mergeCell ref="L235:M235"/>
    <mergeCell ref="N235:O235"/>
    <mergeCell ref="P235:Q235"/>
    <mergeCell ref="R235:S235"/>
    <mergeCell ref="T235:U235"/>
    <mergeCell ref="F236:G236"/>
    <mergeCell ref="H236:I236"/>
    <mergeCell ref="J236:K236"/>
    <mergeCell ref="L236:M236"/>
    <mergeCell ref="N236:O236"/>
    <mergeCell ref="P236:Q236"/>
    <mergeCell ref="R236:S236"/>
    <mergeCell ref="T236:U236"/>
    <mergeCell ref="F237:G237"/>
    <mergeCell ref="H237:I237"/>
    <mergeCell ref="J237:K237"/>
    <mergeCell ref="L237:M237"/>
    <mergeCell ref="N237:O237"/>
    <mergeCell ref="P237:Q237"/>
    <mergeCell ref="R237:S237"/>
    <mergeCell ref="T237:U237"/>
    <mergeCell ref="F238:G238"/>
    <mergeCell ref="H238:I238"/>
    <mergeCell ref="J238:K238"/>
    <mergeCell ref="L238:M238"/>
    <mergeCell ref="N238:O238"/>
    <mergeCell ref="P238:Q238"/>
    <mergeCell ref="R238:S238"/>
    <mergeCell ref="T238:U238"/>
    <mergeCell ref="F239:G239"/>
    <mergeCell ref="H239:I239"/>
    <mergeCell ref="J239:K239"/>
    <mergeCell ref="L239:M239"/>
    <mergeCell ref="N239:O239"/>
    <mergeCell ref="P239:Q239"/>
    <mergeCell ref="R239:S239"/>
    <mergeCell ref="T239:U239"/>
    <mergeCell ref="F240:G240"/>
    <mergeCell ref="H240:I240"/>
    <mergeCell ref="J240:K240"/>
    <mergeCell ref="L240:M240"/>
    <mergeCell ref="N240:O240"/>
    <mergeCell ref="P240:Q240"/>
    <mergeCell ref="R240:S240"/>
    <mergeCell ref="T240:U240"/>
    <mergeCell ref="T245:U245"/>
    <mergeCell ref="L241:M241"/>
    <mergeCell ref="N241:O241"/>
    <mergeCell ref="P241:Q241"/>
    <mergeCell ref="R241:S241"/>
    <mergeCell ref="T241:U241"/>
    <mergeCell ref="F242:G242"/>
    <mergeCell ref="H242:I242"/>
    <mergeCell ref="J242:K242"/>
    <mergeCell ref="L242:M242"/>
    <mergeCell ref="N242:O242"/>
    <mergeCell ref="P242:Q242"/>
    <mergeCell ref="R242:S242"/>
    <mergeCell ref="T242:U242"/>
    <mergeCell ref="F243:G243"/>
    <mergeCell ref="H243:I243"/>
    <mergeCell ref="J243:K243"/>
    <mergeCell ref="L243:M243"/>
    <mergeCell ref="N243:O243"/>
    <mergeCell ref="P243:Q243"/>
    <mergeCell ref="R243:S243"/>
    <mergeCell ref="T243:U243"/>
    <mergeCell ref="J241:K241"/>
    <mergeCell ref="F248:G248"/>
    <mergeCell ref="H248:I248"/>
    <mergeCell ref="J248:K248"/>
    <mergeCell ref="L248:M248"/>
    <mergeCell ref="N248:O248"/>
    <mergeCell ref="P248:Q248"/>
    <mergeCell ref="R248:S248"/>
    <mergeCell ref="T248:U248"/>
    <mergeCell ref="F249:G249"/>
    <mergeCell ref="H249:I249"/>
    <mergeCell ref="J249:K249"/>
    <mergeCell ref="L249:M249"/>
    <mergeCell ref="N249:O249"/>
    <mergeCell ref="P249:Q249"/>
    <mergeCell ref="R249:S249"/>
    <mergeCell ref="T249:U249"/>
    <mergeCell ref="F244:G244"/>
    <mergeCell ref="H244:I244"/>
    <mergeCell ref="J244:K244"/>
    <mergeCell ref="L244:M244"/>
    <mergeCell ref="N244:O244"/>
    <mergeCell ref="P244:Q244"/>
    <mergeCell ref="R244:S244"/>
    <mergeCell ref="T244:U244"/>
    <mergeCell ref="F245:G245"/>
    <mergeCell ref="H245:I245"/>
    <mergeCell ref="J245:K245"/>
    <mergeCell ref="L245:M245"/>
    <mergeCell ref="N245:O245"/>
    <mergeCell ref="P245:Q245"/>
    <mergeCell ref="R245:S245"/>
    <mergeCell ref="AJ194:AK194"/>
    <mergeCell ref="AJ195:AK195"/>
    <mergeCell ref="AJ196:AK196"/>
    <mergeCell ref="AJ197:AK197"/>
    <mergeCell ref="AJ198:AK198"/>
    <mergeCell ref="AJ199:AK199"/>
    <mergeCell ref="AJ200:AK200"/>
    <mergeCell ref="AJ201:AK201"/>
    <mergeCell ref="AJ202:AK202"/>
    <mergeCell ref="AJ203:AK203"/>
    <mergeCell ref="AJ204:AK204"/>
    <mergeCell ref="AJ205:AK205"/>
    <mergeCell ref="T227:U227"/>
    <mergeCell ref="T223:U223"/>
    <mergeCell ref="F247:G247"/>
    <mergeCell ref="H247:I247"/>
    <mergeCell ref="J247:K247"/>
    <mergeCell ref="L247:M247"/>
    <mergeCell ref="N247:O247"/>
    <mergeCell ref="P247:Q247"/>
    <mergeCell ref="R247:S247"/>
    <mergeCell ref="T247:U247"/>
    <mergeCell ref="F246:G246"/>
    <mergeCell ref="H246:I246"/>
    <mergeCell ref="J246:K246"/>
    <mergeCell ref="L246:M246"/>
    <mergeCell ref="N246:O246"/>
    <mergeCell ref="P246:Q246"/>
    <mergeCell ref="R246:S246"/>
    <mergeCell ref="T246:U246"/>
    <mergeCell ref="F241:G241"/>
    <mergeCell ref="H241:I241"/>
    <mergeCell ref="S114:T114"/>
    <mergeCell ref="E251:U251"/>
    <mergeCell ref="E5:L6"/>
    <mergeCell ref="E147:O148"/>
    <mergeCell ref="AJ206:AK206"/>
    <mergeCell ref="AJ207:AK207"/>
    <mergeCell ref="AJ208:AK208"/>
    <mergeCell ref="AJ209:AK209"/>
    <mergeCell ref="AJ210:AK210"/>
    <mergeCell ref="AJ211:AK211"/>
    <mergeCell ref="AJ212:AK212"/>
    <mergeCell ref="AJ213:AK213"/>
    <mergeCell ref="AJ214:AK214"/>
    <mergeCell ref="AJ215:AK215"/>
    <mergeCell ref="F250:G250"/>
    <mergeCell ref="H250:I250"/>
    <mergeCell ref="J250:K250"/>
    <mergeCell ref="L250:M250"/>
    <mergeCell ref="N250:O250"/>
    <mergeCell ref="P250:Q250"/>
    <mergeCell ref="R250:S250"/>
    <mergeCell ref="T250:U250"/>
    <mergeCell ref="T218:U220"/>
    <mergeCell ref="AJ185:AK185"/>
    <mergeCell ref="AJ186:AK186"/>
    <mergeCell ref="AJ187:AK187"/>
    <mergeCell ref="AJ188:AK188"/>
    <mergeCell ref="AJ189:AK189"/>
    <mergeCell ref="AJ190:AK190"/>
    <mergeCell ref="AJ191:AK191"/>
    <mergeCell ref="AJ192:AK192"/>
    <mergeCell ref="AJ193:AK193"/>
  </mergeCells>
  <phoneticPr fontId="20" type="noConversion"/>
  <conditionalFormatting sqref="G107:Z145">
    <cfRule type="colorScale" priority="61">
      <colorScale>
        <cfvo type="min"/>
        <cfvo type="max"/>
        <color theme="3" tint="0.59999389629810485"/>
        <color theme="3" tint="0.39997558519241921"/>
      </colorScale>
    </cfRule>
  </conditionalFormatting>
  <conditionalFormatting sqref="AA107:AB145">
    <cfRule type="dataBar" priority="77">
      <dataBar>
        <cfvo type="min"/>
        <cfvo type="max"/>
        <color theme="6"/>
      </dataBar>
      <extLst>
        <ext xmlns:x14="http://schemas.microsoft.com/office/spreadsheetml/2009/9/main" uri="{B025F937-C7B1-47D3-B67F-A62EFF666E3E}">
          <x14:id>{3B1AD36D-3122-4C99-A60E-79AB34C15D5E}</x14:id>
        </ext>
      </extLst>
    </cfRule>
  </conditionalFormatting>
  <dataValidations xWindow="1387" yWindow="677" count="3">
    <dataValidation allowBlank="1" showInputMessage="1" showErrorMessage="1" prompt="Xem dữ liệu" sqref="I16:J16 O14:O16 I68:J68 I77:J77 I44:J44 O42:O44 V41:W43 U44:W44 I53:J53 O51:O53 V50:W52 U53:W53 I62:J62 U100:W100 V59:W61 U62:W62 U90:W90 V97:W99 V87:W89 I97:J97 I100:J100 O97:O100 O87:O90 O60:O62 I71:J71 V68:W70 U71:W71 O69:O71 I80:J80 V77:W79 U80:W80 O78:O80 I25:J25 I59:J59 I31:J31 O23:O25 I41:J41 I22:J22 I50:J50 I13:J13 I34:J35 O32:O35" xr:uid="{00000000-0002-0000-0300-000000000000}"/>
    <dataValidation allowBlank="1" showInputMessage="1" showErrorMessage="1" prompt="Nhập lãi suất vay" sqref="I32:J32 I23:J23 I14:J14" xr:uid="{00000000-0002-0000-0300-000001000000}"/>
    <dataValidation allowBlank="1" showInputMessage="1" showErrorMessage="1" prompt="Nhập dữ liệu" sqref="I11:J12 I20:J21 I29:J30 I39:J40 I48:J49 I57:J58 I84:J85 I94:J95 I66:J67 I75:J76" xr:uid="{00000000-0002-0000-0300-000002000000}"/>
  </dataValidations>
  <hyperlinks>
    <hyperlink ref="F4:G4" location="'Mục tiêu tài chính'!E6" display="Phần 1" xr:uid="{00000000-0004-0000-0300-000000000000}"/>
    <hyperlink ref="H4:I4" location="'Mục tiêu tài chính'!E101" display="Phần 2" xr:uid="{00000000-0004-0000-0300-000001000000}"/>
  </hyperlinks>
  <pageMargins left="0.7" right="0.7" top="0.75" bottom="0.75" header="0.3" footer="0.3"/>
  <pageSetup scale="31" orientation="portrait" r:id="rId1"/>
  <drawing r:id="rId2"/>
  <extLst>
    <ext xmlns:x14="http://schemas.microsoft.com/office/spreadsheetml/2009/9/main" uri="{78C0D931-6437-407d-A8EE-F0AAD7539E65}">
      <x14:conditionalFormattings>
        <x14:conditionalFormatting xmlns:xm="http://schemas.microsoft.com/office/excel/2006/main">
          <x14:cfRule type="dataBar" id="{3B1AD36D-3122-4C99-A60E-79AB34C15D5E}">
            <x14:dataBar minLength="0" maxLength="100" gradient="0">
              <x14:cfvo type="autoMin"/>
              <x14:cfvo type="autoMax"/>
              <x14:negativeFillColor rgb="FFFF0000"/>
              <x14:axisColor rgb="FF000000"/>
            </x14:dataBar>
          </x14:cfRule>
          <xm:sqref>AA107:AB145</xm:sqref>
        </x14:conditionalFormatting>
      </x14:conditionalFormattings>
    </ext>
    <ext xmlns:x14="http://schemas.microsoft.com/office/spreadsheetml/2009/9/main" uri="{CCE6A557-97BC-4b89-ADB6-D9C93CAAB3DF}">
      <x14:dataValidations xmlns:xm="http://schemas.microsoft.com/office/excel/2006/main" xWindow="1387" yWindow="677" count="1">
        <x14:dataValidation type="list" allowBlank="1" showInputMessage="1" showErrorMessage="1" prompt="Nhập dữ liệu" xr:uid="{00000000-0002-0000-0300-000003000000}">
          <x14:formula1>
            <xm:f>'Từ khóa'!$W$12:$W$26</xm:f>
          </x14:formula1>
          <xm:sqref>R41:T43 R77:T79 R50:T52 R59:T61 R87:T89 R97:T99 R68:T70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AC104"/>
  <sheetViews>
    <sheetView showGridLines="0" zoomScale="80" zoomScaleNormal="80" workbookViewId="0">
      <pane xSplit="4" ySplit="4" topLeftCell="E38" activePane="bottomRight" state="frozen"/>
      <selection pane="topRight" activeCell="E1" sqref="E1"/>
      <selection pane="bottomLeft" activeCell="A5" sqref="A5"/>
      <selection pane="bottomRight" activeCell="Q35" sqref="Q35"/>
    </sheetView>
  </sheetViews>
  <sheetFormatPr defaultColWidth="0" defaultRowHeight="14.25" zeroHeight="1" x14ac:dyDescent="0.45"/>
  <cols>
    <col min="1" max="3" width="9.19921875" style="1" customWidth="1"/>
    <col min="4" max="4" width="2.59765625" style="4" customWidth="1"/>
    <col min="5" max="5" width="3.6640625" style="4" customWidth="1"/>
    <col min="6" max="8" width="13.19921875" style="4" customWidth="1"/>
    <col min="9" max="9" width="12.796875" style="4" customWidth="1"/>
    <col min="10" max="22" width="9.19921875" style="4" customWidth="1"/>
    <col min="23" max="29" width="0" style="4" hidden="1" customWidth="1"/>
    <col min="30" max="16384" width="9.19921875" style="4" hidden="1"/>
  </cols>
  <sheetData>
    <row r="1" spans="1:29" s="2" customFormat="1" ht="15" customHeight="1" x14ac:dyDescent="0.45">
      <c r="A1" s="1"/>
      <c r="B1" s="1"/>
      <c r="C1" s="1"/>
      <c r="E1" s="353" t="s">
        <v>120</v>
      </c>
      <c r="F1" s="353"/>
      <c r="G1" s="353"/>
      <c r="H1" s="353"/>
      <c r="I1" s="353"/>
      <c r="J1" s="353"/>
      <c r="K1" s="353"/>
    </row>
    <row r="2" spans="1:29" s="2" customFormat="1" ht="15" customHeight="1" x14ac:dyDescent="0.45">
      <c r="A2" s="1"/>
      <c r="B2" s="1"/>
      <c r="C2" s="1"/>
      <c r="E2" s="353"/>
      <c r="F2" s="353"/>
      <c r="G2" s="353"/>
      <c r="H2" s="353"/>
      <c r="I2" s="353"/>
      <c r="J2" s="353"/>
      <c r="K2" s="353"/>
    </row>
    <row r="3" spans="1:29" s="2" customFormat="1" ht="14.65" thickBot="1" x14ac:dyDescent="0.5">
      <c r="A3" s="1"/>
      <c r="B3" s="1"/>
      <c r="C3" s="1"/>
      <c r="E3" s="353"/>
      <c r="F3" s="353"/>
      <c r="G3" s="353"/>
      <c r="H3" s="353"/>
      <c r="I3" s="353"/>
      <c r="J3" s="353"/>
      <c r="K3" s="353"/>
      <c r="M3" s="3" t="s">
        <v>45</v>
      </c>
    </row>
    <row r="4" spans="1:29" ht="14.65" thickBot="1" x14ac:dyDescent="0.5">
      <c r="F4" s="260" t="s">
        <v>132</v>
      </c>
      <c r="G4" s="260" t="s">
        <v>133</v>
      </c>
      <c r="I4" s="6"/>
      <c r="K4" s="261" t="s">
        <v>341</v>
      </c>
    </row>
    <row r="5" spans="1:29" ht="15" customHeight="1" x14ac:dyDescent="0.45">
      <c r="F5" s="6"/>
      <c r="G5" s="6"/>
      <c r="H5" s="6"/>
      <c r="I5" s="6"/>
      <c r="J5" s="6"/>
      <c r="K5" s="6"/>
      <c r="L5" s="6"/>
      <c r="M5" s="6"/>
      <c r="N5" s="6"/>
      <c r="O5" s="6"/>
      <c r="P5" s="6"/>
      <c r="Q5" s="6"/>
      <c r="R5" s="6"/>
      <c r="S5" s="6"/>
      <c r="T5" s="6"/>
      <c r="U5" s="6"/>
      <c r="V5" s="6"/>
      <c r="W5" s="6"/>
      <c r="X5" s="6"/>
      <c r="Y5" s="6"/>
      <c r="Z5" s="6"/>
      <c r="AA5" s="6"/>
      <c r="AB5" s="6"/>
      <c r="AC5" s="6"/>
    </row>
    <row r="6" spans="1:29" ht="15" customHeight="1" x14ac:dyDescent="0.45">
      <c r="F6" s="6"/>
      <c r="G6" s="6"/>
      <c r="H6" s="6"/>
      <c r="I6" s="6"/>
      <c r="J6" s="6"/>
      <c r="K6" s="6"/>
      <c r="L6" s="6"/>
      <c r="M6" s="6"/>
      <c r="N6" s="6"/>
      <c r="O6" s="6"/>
      <c r="P6" s="6"/>
      <c r="Q6" s="6"/>
      <c r="R6" s="6"/>
      <c r="S6" s="6"/>
      <c r="T6" s="6"/>
      <c r="U6" s="6"/>
      <c r="V6" s="6"/>
      <c r="W6" s="6"/>
      <c r="X6" s="6"/>
      <c r="Y6" s="6"/>
      <c r="Z6" s="6"/>
      <c r="AA6" s="6"/>
      <c r="AB6" s="6"/>
      <c r="AC6" s="6"/>
    </row>
    <row r="7" spans="1:29" ht="15" customHeight="1" x14ac:dyDescent="0.45">
      <c r="F7" s="6"/>
      <c r="G7" s="6"/>
      <c r="H7" s="6"/>
      <c r="I7" s="6"/>
      <c r="J7" s="6"/>
      <c r="K7" s="6"/>
      <c r="L7" s="6"/>
      <c r="M7" s="6"/>
      <c r="N7" s="6"/>
      <c r="O7" s="6"/>
      <c r="P7" s="6"/>
      <c r="Q7" s="6"/>
      <c r="R7" s="6"/>
      <c r="S7" s="6"/>
      <c r="T7" s="6"/>
      <c r="U7" s="6"/>
      <c r="V7" s="6"/>
      <c r="W7" s="6"/>
      <c r="X7" s="6"/>
      <c r="Y7" s="6"/>
      <c r="Z7" s="6"/>
      <c r="AA7" s="6"/>
      <c r="AB7" s="6"/>
      <c r="AC7" s="6"/>
    </row>
    <row r="8" spans="1:29" ht="15" customHeight="1" x14ac:dyDescent="0.45">
      <c r="F8" s="6"/>
      <c r="G8" s="6"/>
      <c r="H8" s="6"/>
      <c r="I8" s="6"/>
      <c r="J8" s="6"/>
      <c r="K8" s="6"/>
      <c r="L8" s="6"/>
      <c r="M8" s="6"/>
      <c r="N8" s="6"/>
      <c r="O8" s="6"/>
      <c r="P8" s="6"/>
      <c r="Q8" s="6"/>
      <c r="R8" s="6"/>
      <c r="S8" s="6"/>
      <c r="T8" s="6"/>
      <c r="U8" s="6"/>
      <c r="V8" s="6"/>
      <c r="W8" s="6"/>
      <c r="X8" s="6"/>
      <c r="Y8" s="6"/>
      <c r="Z8" s="6"/>
      <c r="AA8" s="6"/>
      <c r="AB8" s="6"/>
      <c r="AC8" s="6"/>
    </row>
    <row r="9" spans="1:29" ht="15" customHeight="1" x14ac:dyDescent="0.45">
      <c r="F9" s="6"/>
      <c r="G9" s="6"/>
      <c r="H9" s="6"/>
      <c r="I9" s="6"/>
      <c r="J9" s="6"/>
      <c r="K9" s="6"/>
      <c r="L9" s="6"/>
      <c r="M9" s="6"/>
      <c r="N9" s="6"/>
      <c r="O9" s="6"/>
      <c r="P9" s="6"/>
      <c r="Q9" s="6"/>
      <c r="R9" s="6"/>
      <c r="S9" s="6"/>
      <c r="T9" s="6"/>
      <c r="U9" s="6"/>
      <c r="V9" s="6"/>
      <c r="W9" s="6"/>
      <c r="X9" s="6"/>
      <c r="Y9" s="6"/>
      <c r="Z9" s="6"/>
      <c r="AA9" s="6"/>
      <c r="AB9" s="6"/>
      <c r="AC9" s="6"/>
    </row>
    <row r="10" spans="1:29" ht="15" customHeight="1" x14ac:dyDescent="0.45">
      <c r="F10" s="6"/>
      <c r="G10" s="6"/>
      <c r="H10" s="6"/>
      <c r="I10" s="6"/>
      <c r="J10" s="6"/>
      <c r="K10" s="6"/>
      <c r="L10" s="6"/>
      <c r="M10" s="6"/>
      <c r="N10" s="6"/>
      <c r="O10" s="6"/>
      <c r="P10" s="6"/>
      <c r="Q10" s="6"/>
      <c r="R10" s="6"/>
      <c r="S10" s="6"/>
      <c r="T10" s="6"/>
      <c r="U10" s="6"/>
      <c r="V10" s="6"/>
      <c r="W10" s="6"/>
      <c r="X10" s="6"/>
      <c r="Y10" s="6"/>
      <c r="Z10" s="6"/>
      <c r="AA10" s="6"/>
      <c r="AB10" s="6"/>
      <c r="AC10" s="6"/>
    </row>
    <row r="11" spans="1:29" ht="15" customHeight="1" x14ac:dyDescent="0.45">
      <c r="F11" s="6"/>
      <c r="G11" s="6"/>
      <c r="H11" s="6"/>
      <c r="I11" s="6"/>
      <c r="J11" s="6"/>
      <c r="K11" s="6"/>
      <c r="L11" s="6"/>
      <c r="M11" s="6"/>
      <c r="N11" s="6"/>
      <c r="O11" s="6"/>
      <c r="P11" s="6"/>
      <c r="Q11" s="6"/>
      <c r="R11" s="6"/>
      <c r="S11" s="6"/>
      <c r="T11" s="6"/>
      <c r="U11" s="6"/>
      <c r="V11" s="6"/>
      <c r="W11" s="6"/>
      <c r="X11" s="6"/>
      <c r="Y11" s="6"/>
      <c r="Z11" s="6"/>
      <c r="AA11" s="6"/>
      <c r="AB11" s="6"/>
      <c r="AC11" s="6"/>
    </row>
    <row r="12" spans="1:29" ht="15" customHeight="1" x14ac:dyDescent="0.45">
      <c r="F12" s="6"/>
      <c r="G12" s="6"/>
      <c r="H12" s="6"/>
      <c r="I12" s="6"/>
      <c r="J12" s="6"/>
      <c r="K12" s="6"/>
      <c r="L12" s="6"/>
      <c r="M12" s="6"/>
      <c r="N12" s="6"/>
      <c r="O12" s="6"/>
      <c r="P12" s="6"/>
      <c r="Q12" s="6"/>
      <c r="R12" s="6"/>
      <c r="S12" s="6"/>
      <c r="T12" s="6"/>
      <c r="U12" s="6"/>
      <c r="V12" s="6"/>
      <c r="W12" s="6"/>
      <c r="X12" s="6"/>
      <c r="Y12" s="6"/>
      <c r="Z12" s="6"/>
      <c r="AA12" s="6"/>
      <c r="AB12" s="6"/>
      <c r="AC12" s="6"/>
    </row>
    <row r="13" spans="1:29" ht="15" customHeight="1" x14ac:dyDescent="0.45">
      <c r="F13" s="6"/>
      <c r="G13" s="6"/>
      <c r="H13" s="6"/>
      <c r="I13" s="6"/>
      <c r="J13" s="6"/>
      <c r="K13" s="6"/>
      <c r="L13" s="6"/>
      <c r="M13" s="6"/>
      <c r="N13" s="6"/>
      <c r="O13" s="6"/>
      <c r="P13" s="6"/>
      <c r="Q13" s="6"/>
      <c r="R13" s="6"/>
      <c r="S13" s="6"/>
      <c r="T13" s="6"/>
      <c r="U13" s="6"/>
      <c r="V13" s="6"/>
      <c r="W13" s="6"/>
      <c r="X13" s="6"/>
      <c r="Y13" s="6"/>
      <c r="Z13" s="6"/>
      <c r="AA13" s="6"/>
      <c r="AB13" s="6"/>
      <c r="AC13" s="6"/>
    </row>
    <row r="14" spans="1:29" ht="15" customHeight="1" x14ac:dyDescent="0.45">
      <c r="F14" s="6"/>
      <c r="G14" s="6"/>
      <c r="H14" s="6"/>
      <c r="I14" s="6"/>
      <c r="J14" s="6"/>
      <c r="K14" s="6"/>
      <c r="L14" s="6"/>
      <c r="M14" s="6"/>
      <c r="N14" s="6"/>
      <c r="O14" s="6"/>
      <c r="P14" s="6"/>
      <c r="Q14" s="6"/>
      <c r="R14" s="6"/>
      <c r="S14" s="6"/>
      <c r="T14" s="6"/>
      <c r="U14" s="6"/>
      <c r="V14" s="6"/>
      <c r="W14" s="6"/>
      <c r="X14" s="6"/>
      <c r="Y14" s="6"/>
      <c r="Z14" s="6"/>
      <c r="AA14" s="6"/>
      <c r="AB14" s="6"/>
      <c r="AC14" s="6"/>
    </row>
    <row r="15" spans="1:29" ht="15" customHeight="1" x14ac:dyDescent="0.45">
      <c r="F15" s="6"/>
      <c r="G15" s="6"/>
      <c r="H15" s="6"/>
      <c r="I15" s="6"/>
      <c r="J15" s="6"/>
      <c r="K15" s="6"/>
      <c r="L15" s="6"/>
      <c r="M15" s="6"/>
      <c r="N15" s="6"/>
      <c r="O15" s="6"/>
      <c r="P15" s="6"/>
      <c r="Q15" s="6"/>
      <c r="R15" s="6"/>
      <c r="S15" s="6"/>
      <c r="T15" s="6"/>
      <c r="U15" s="6"/>
      <c r="V15" s="6"/>
      <c r="W15" s="6"/>
      <c r="X15" s="6"/>
      <c r="Y15" s="6"/>
      <c r="Z15" s="6"/>
      <c r="AA15" s="6"/>
      <c r="AB15" s="6"/>
      <c r="AC15" s="6"/>
    </row>
    <row r="16" spans="1:29" ht="15" customHeight="1" x14ac:dyDescent="0.45">
      <c r="F16" s="6"/>
      <c r="G16" s="6"/>
      <c r="H16" s="6"/>
      <c r="I16" s="6"/>
      <c r="J16" s="6"/>
      <c r="K16" s="6"/>
      <c r="L16" s="6"/>
      <c r="M16" s="6"/>
      <c r="N16" s="6"/>
      <c r="O16" s="6"/>
      <c r="P16" s="6"/>
      <c r="Q16" s="6"/>
      <c r="R16" s="6"/>
      <c r="S16" s="6"/>
      <c r="T16" s="6"/>
      <c r="U16" s="6"/>
      <c r="V16" s="6"/>
      <c r="W16" s="6"/>
      <c r="X16" s="6"/>
      <c r="Y16" s="6"/>
      <c r="Z16" s="6"/>
      <c r="AA16" s="6"/>
      <c r="AB16" s="6"/>
      <c r="AC16" s="6"/>
    </row>
    <row r="17" spans="1:29" ht="15" customHeight="1" x14ac:dyDescent="0.45">
      <c r="F17" s="6"/>
      <c r="G17" s="6"/>
      <c r="H17" s="6"/>
      <c r="I17" s="6"/>
      <c r="J17" s="6"/>
      <c r="K17" s="6"/>
      <c r="L17" s="6"/>
      <c r="M17" s="6"/>
      <c r="N17" s="6"/>
      <c r="O17" s="6"/>
      <c r="P17" s="6"/>
      <c r="Q17" s="6"/>
      <c r="R17" s="6"/>
      <c r="S17" s="6"/>
      <c r="T17" s="6"/>
      <c r="U17" s="6"/>
      <c r="V17" s="6"/>
      <c r="W17" s="6"/>
      <c r="X17" s="6"/>
      <c r="Y17" s="6"/>
      <c r="Z17" s="6"/>
      <c r="AA17" s="6"/>
      <c r="AB17" s="6"/>
      <c r="AC17" s="6"/>
    </row>
    <row r="18" spans="1:29" ht="15" customHeight="1" x14ac:dyDescent="0.45">
      <c r="F18" s="6"/>
      <c r="G18" s="6"/>
      <c r="H18" s="6"/>
      <c r="I18" s="6"/>
      <c r="J18" s="6"/>
      <c r="K18" s="6"/>
      <c r="L18" s="6"/>
      <c r="M18" s="6"/>
      <c r="N18" s="6"/>
      <c r="O18" s="6"/>
      <c r="P18" s="6"/>
      <c r="Q18" s="6"/>
      <c r="R18" s="6"/>
      <c r="S18" s="6"/>
      <c r="T18" s="6"/>
      <c r="U18" s="6"/>
      <c r="V18" s="6"/>
      <c r="W18" s="6"/>
      <c r="X18" s="6"/>
      <c r="Y18" s="6"/>
      <c r="Z18" s="6"/>
      <c r="AA18" s="6"/>
      <c r="AB18" s="6"/>
      <c r="AC18" s="6"/>
    </row>
    <row r="19" spans="1:29" ht="15" customHeight="1" x14ac:dyDescent="0.45">
      <c r="E19" s="532" t="s">
        <v>323</v>
      </c>
      <c r="F19" s="532"/>
      <c r="G19" s="532"/>
      <c r="H19" s="532"/>
      <c r="I19" s="532"/>
      <c r="J19" s="532"/>
      <c r="K19" s="532"/>
      <c r="L19" s="532"/>
      <c r="M19" s="532"/>
      <c r="N19" s="532"/>
      <c r="O19" s="5"/>
      <c r="P19" s="5"/>
      <c r="Q19" s="5"/>
      <c r="R19" s="5"/>
      <c r="S19" s="5"/>
      <c r="T19" s="6"/>
      <c r="U19" s="6"/>
      <c r="V19" s="6"/>
      <c r="W19" s="6"/>
      <c r="X19" s="6"/>
      <c r="Y19" s="6"/>
      <c r="Z19" s="6"/>
      <c r="AA19" s="6"/>
      <c r="AB19" s="6"/>
      <c r="AC19" s="6"/>
    </row>
    <row r="20" spans="1:29" s="8" customFormat="1" ht="15" customHeight="1" thickBot="1" x14ac:dyDescent="0.5">
      <c r="A20" s="7"/>
      <c r="B20" s="7"/>
      <c r="C20" s="7"/>
      <c r="E20" s="533"/>
      <c r="F20" s="533"/>
      <c r="G20" s="533"/>
      <c r="H20" s="533"/>
      <c r="I20" s="533"/>
      <c r="J20" s="533"/>
      <c r="K20" s="533"/>
      <c r="L20" s="533"/>
      <c r="M20" s="533"/>
      <c r="N20" s="533"/>
      <c r="O20" s="9"/>
      <c r="P20" s="9"/>
      <c r="Q20" s="9"/>
      <c r="R20" s="9"/>
      <c r="S20" s="9"/>
      <c r="T20" s="10"/>
      <c r="U20" s="10"/>
      <c r="V20" s="10"/>
      <c r="W20" s="10"/>
      <c r="X20" s="10"/>
      <c r="Y20" s="10"/>
      <c r="Z20" s="10"/>
      <c r="AA20" s="10"/>
      <c r="AB20" s="10"/>
      <c r="AC20" s="10"/>
    </row>
    <row r="21" spans="1:29" ht="14.65" thickBot="1" x14ac:dyDescent="0.5">
      <c r="E21" s="6"/>
      <c r="F21" s="6"/>
      <c r="G21" s="6"/>
      <c r="H21" s="6"/>
      <c r="I21" s="6"/>
    </row>
    <row r="22" spans="1:29" ht="14.65" thickBot="1" x14ac:dyDescent="0.5">
      <c r="E22" s="537" t="s">
        <v>108</v>
      </c>
      <c r="F22" s="540" t="s">
        <v>130</v>
      </c>
      <c r="G22" s="560" t="s">
        <v>112</v>
      </c>
      <c r="H22" s="560"/>
      <c r="I22" s="560"/>
      <c r="J22" s="560"/>
      <c r="K22" s="560"/>
      <c r="L22" s="560"/>
      <c r="M22" s="560"/>
      <c r="N22" s="560"/>
      <c r="O22" s="548" t="s">
        <v>113</v>
      </c>
      <c r="P22" s="549"/>
      <c r="Q22" s="506" t="s">
        <v>114</v>
      </c>
      <c r="R22" s="506"/>
      <c r="S22" s="506"/>
      <c r="T22" s="506"/>
      <c r="U22" s="506"/>
      <c r="V22" s="552"/>
    </row>
    <row r="23" spans="1:29" ht="14.65" thickBot="1" x14ac:dyDescent="0.5">
      <c r="E23" s="538"/>
      <c r="F23" s="541"/>
      <c r="G23" s="539" t="s">
        <v>109</v>
      </c>
      <c r="H23" s="539"/>
      <c r="I23" s="544" t="s">
        <v>110</v>
      </c>
      <c r="J23" s="544"/>
      <c r="K23" s="544" t="s">
        <v>95</v>
      </c>
      <c r="L23" s="544"/>
      <c r="M23" s="564" t="s">
        <v>111</v>
      </c>
      <c r="N23" s="564"/>
      <c r="O23" s="550"/>
      <c r="P23" s="551"/>
      <c r="Q23" s="553"/>
      <c r="R23" s="553"/>
      <c r="S23" s="553"/>
      <c r="T23" s="553"/>
      <c r="U23" s="553"/>
      <c r="V23" s="554"/>
    </row>
    <row r="24" spans="1:29" ht="15" x14ac:dyDescent="0.45">
      <c r="E24" s="62">
        <f>'Từ khóa'!L7</f>
        <v>21</v>
      </c>
      <c r="F24" s="65">
        <f>SUMIF('Mục tiêu tài chính'!$F$107:$F$145,'Cân đối lộ trình nghề nghiệp'!E24,'Mục tiêu tài chính'!$AB$107:$AC$145)</f>
        <v>6.402201095714835</v>
      </c>
      <c r="G24" s="535">
        <f>SUMIF('Mục tiêu tài chính'!$X$221:$X$250,'Cân đối lộ trình nghề nghiệp'!E24,'Mục tiêu tài chính'!$Y$221:$Y$250)</f>
        <v>0.23567349685066941</v>
      </c>
      <c r="H24" s="535"/>
      <c r="I24" s="545">
        <f>SUMIF('Mục tiêu tài chính'!$X$221:$X$250,'Cân đối lộ trình nghề nghiệp'!E24,'Mục tiêu tài chính'!$Z$221:$Z$250)</f>
        <v>0.34543071659577962</v>
      </c>
      <c r="J24" s="545"/>
      <c r="K24" s="545">
        <f>SUMIF('Mục tiêu tài chính'!$X$221:$X$250,'Cân đối lộ trình nghề nghiệp'!E24,'Mục tiêu tài chính'!$AA$221:$AA$250)</f>
        <v>8.5081082337448877E-2</v>
      </c>
      <c r="L24" s="545"/>
      <c r="M24" s="565">
        <f>SUMIF('Mục tiêu tài chính'!$X$221:$X$250,'Cân đối lộ trình nghề nghiệp'!E24,'Mục tiêu tài chính'!$AB$221:$AB$250)</f>
        <v>0.33381470421610204</v>
      </c>
      <c r="N24" s="565"/>
      <c r="O24" s="561">
        <f>SUMIF('Mục tiêu tài chính'!$X$221:$X$250,'Cân đối lộ trình nghề nghiệp'!E24,'Mục tiêu tài chính'!$V$221:$V$250)</f>
        <v>8.9433416689392836E-2</v>
      </c>
      <c r="P24" s="561"/>
      <c r="Q24" s="555" t="s">
        <v>115</v>
      </c>
      <c r="R24" s="555"/>
      <c r="S24" s="555"/>
      <c r="T24" s="555"/>
      <c r="U24" s="555"/>
      <c r="V24" s="556"/>
    </row>
    <row r="25" spans="1:29" ht="15" x14ac:dyDescent="0.55000000000000004">
      <c r="E25" s="63">
        <f>E24+5</f>
        <v>26</v>
      </c>
      <c r="F25" s="66">
        <f>SUMIF('Mục tiêu tài chính'!$F$107:$F$145,'Cân đối lộ trình nghề nghiệp'!E25,'Mục tiêu tài chính'!$AB$107:$AC$145)</f>
        <v>28.502822755933906</v>
      </c>
      <c r="G25" s="536">
        <f>SUMIF('Mục tiêu tài chính'!$X$221:$X$250,'Cân đối lộ trình nghề nghiệp'!E25,'Mục tiêu tài chính'!$Y$221:$Y$250)</f>
        <v>0.56757058060611998</v>
      </c>
      <c r="H25" s="536"/>
      <c r="I25" s="534">
        <f>SUMIF('Mục tiêu tài chính'!$X$221:$X$250,'Cân đối lộ trình nghề nghiệp'!E25,'Mục tiêu tài chính'!$Z$221:$Z$250)</f>
        <v>0.20568590718127155</v>
      </c>
      <c r="J25" s="534"/>
      <c r="K25" s="534">
        <f>SUMIF('Mục tiêu tài chính'!$X$221:$X$250,'Cân đối lộ trình nghề nghiệp'!E25,'Mục tiêu tài chính'!$AA$221:$AA$250)</f>
        <v>5.73411312258785E-2</v>
      </c>
      <c r="L25" s="534"/>
      <c r="M25" s="566">
        <f>SUMIF('Mục tiêu tài chính'!$X$221:$X$250,'Cân đối lộ trình nghề nghiệp'!E25,'Mục tiêu tài chính'!$AB$221:$AB$250)</f>
        <v>0.16940238098672977</v>
      </c>
      <c r="N25" s="566"/>
      <c r="O25" s="562">
        <f>SUMIF('Mục tiêu tài chính'!$X$221:$X$250,'Cân đối lộ trình nghề nghiệp'!E25,'Mục tiêu tài chính'!$V$221:$V$250)</f>
        <v>0.11061135567806017</v>
      </c>
      <c r="P25" s="562"/>
      <c r="Q25" s="557" t="s">
        <v>116</v>
      </c>
      <c r="R25" s="557"/>
      <c r="S25" s="557"/>
      <c r="T25" s="557"/>
      <c r="U25" s="557"/>
      <c r="V25" s="558"/>
    </row>
    <row r="26" spans="1:29" ht="15" x14ac:dyDescent="0.55000000000000004">
      <c r="E26" s="63">
        <f t="shared" ref="E26:E28" si="0">E25+5</f>
        <v>31</v>
      </c>
      <c r="F26" s="66">
        <f>SUMIF('Mục tiêu tài chính'!$F$107:$F$145,'Cân đối lộ trình nghề nghiệp'!E26,'Mục tiêu tài chính'!$AB$107:$AC$145)</f>
        <v>15.40823176646637</v>
      </c>
      <c r="G26" s="536">
        <f>SUMIF('Mục tiêu tài chính'!$X$221:$X$250,'Cân đối lộ trình nghề nghiệp'!E26,'Mục tiêu tài chính'!$Y$221:$Y$250)</f>
        <v>0.81332502250198924</v>
      </c>
      <c r="H26" s="536"/>
      <c r="I26" s="534">
        <f>SUMIF('Mục tiêu tài chính'!$X$221:$X$250,'Cân đối lộ trình nghề nghiệp'!E26,'Mục tiêu tài chính'!$Z$221:$Z$250)</f>
        <v>0</v>
      </c>
      <c r="J26" s="534"/>
      <c r="K26" s="534">
        <f>SUMIF('Mục tiêu tài chính'!$X$221:$X$250,'Cân đối lộ trình nghề nghiệp'!E26,'Mục tiêu tài chính'!$AA$221:$AA$250)</f>
        <v>0.10741773701981489</v>
      </c>
      <c r="L26" s="534"/>
      <c r="M26" s="566">
        <f>SUMIF('Mục tiêu tài chính'!$X$221:$X$250,'Cân đối lộ trình nghề nghiệp'!E26,'Mục tiêu tài chính'!$AB$221:$AB$250)</f>
        <v>7.9257240478195864E-2</v>
      </c>
      <c r="N26" s="566"/>
      <c r="O26" s="562">
        <f>SUMIF('Mục tiêu tài chính'!$X$221:$X$250,'Cân đối lộ trình nghề nghiệp'!E26,'Mục tiêu tài chính'!$V$221:$V$250)</f>
        <v>0.12276681663446692</v>
      </c>
      <c r="P26" s="562"/>
      <c r="Q26" s="557" t="s">
        <v>117</v>
      </c>
      <c r="R26" s="557"/>
      <c r="S26" s="557"/>
      <c r="T26" s="557"/>
      <c r="U26" s="557"/>
      <c r="V26" s="558"/>
    </row>
    <row r="27" spans="1:29" ht="15" x14ac:dyDescent="0.55000000000000004">
      <c r="E27" s="63">
        <f t="shared" si="0"/>
        <v>36</v>
      </c>
      <c r="F27" s="66">
        <f>SUMIF('Mục tiêu tài chính'!$F$107:$F$145,'Cân đối lộ trình nghề nghiệp'!E27,'Mục tiêu tài chính'!$AB$107:$AC$145)</f>
        <v>10.469126319433295</v>
      </c>
      <c r="G27" s="536">
        <f>SUMIF('Mục tiêu tài chính'!$X$221:$X$250,'Cân đối lộ trình nghề nghiệp'!E27,'Mục tiêu tài chính'!$Y$221:$Y$250)</f>
        <v>0.45451927767220157</v>
      </c>
      <c r="H27" s="536"/>
      <c r="I27" s="534">
        <f>SUMIF('Mục tiêu tài chính'!$X$221:$X$250,'Cân đối lộ trình nghề nghiệp'!E27,'Mục tiêu tài chính'!$Z$221:$Z$250)</f>
        <v>0</v>
      </c>
      <c r="J27" s="534"/>
      <c r="K27" s="534">
        <f>SUMIF('Mục tiêu tài chính'!$X$221:$X$250,'Cân đối lộ trình nghề nghiệp'!E27,'Mục tiêu tài chính'!$AA$221:$AA$250)</f>
        <v>0.3297463525620617</v>
      </c>
      <c r="L27" s="534"/>
      <c r="M27" s="566">
        <f>SUMIF('Mục tiêu tài chính'!$X$221:$X$250,'Cân đối lộ trình nghề nghiệp'!E27,'Mục tiêu tài chính'!$AB$221:$AB$250)</f>
        <v>0.21573436976573654</v>
      </c>
      <c r="N27" s="566"/>
      <c r="O27" s="562">
        <f>SUMIF('Mục tiêu tài chính'!$X$221:$X$250,'Cân đối lộ trình nghề nghiệp'!E27,'Mục tiêu tài chính'!$V$221:$V$250)</f>
        <v>9.9512302495158633E-2</v>
      </c>
      <c r="P27" s="562"/>
      <c r="Q27" s="557" t="s">
        <v>118</v>
      </c>
      <c r="R27" s="557"/>
      <c r="S27" s="557"/>
      <c r="T27" s="557"/>
      <c r="U27" s="557"/>
      <c r="V27" s="558"/>
    </row>
    <row r="28" spans="1:29" ht="15" x14ac:dyDescent="0.55000000000000004">
      <c r="E28" s="63">
        <f t="shared" si="0"/>
        <v>41</v>
      </c>
      <c r="F28" s="66">
        <f>SUMIF('Mục tiêu tài chính'!$F$107:$F$145,'Cân đối lộ trình nghề nghiệp'!E28,'Mục tiêu tài chính'!$AB$107:$AC$145)</f>
        <v>3.8250818767860686</v>
      </c>
      <c r="G28" s="536">
        <f>SUMIF('Mục tiêu tài chính'!$X$221:$X$250,'Cân đối lộ trình nghề nghiệp'!E28,'Mục tiêu tài chính'!$Y$221:$Y$250)</f>
        <v>0.32331412246120672</v>
      </c>
      <c r="H28" s="536"/>
      <c r="I28" s="534">
        <f>SUMIF('Mục tiêu tài chính'!$X$221:$X$250,'Cân đối lộ trình nghề nghiệp'!E28,'Mục tiêu tài chính'!$Z$221:$Z$250)</f>
        <v>0</v>
      </c>
      <c r="J28" s="534"/>
      <c r="K28" s="534">
        <f>SUMIF('Mục tiêu tài chính'!$X$221:$X$250,'Cân đối lộ trình nghề nghiệp'!E28,'Mục tiêu tài chính'!$AA$221:$AA$250)</f>
        <v>0.45056976987742126</v>
      </c>
      <c r="L28" s="534"/>
      <c r="M28" s="566">
        <f>SUMIF('Mục tiêu tài chính'!$X$221:$X$250,'Cân đối lộ trình nghề nghiệp'!E28,'Mục tiêu tài chính'!$AB$221:$AB$250)</f>
        <v>0.22611610766137202</v>
      </c>
      <c r="N28" s="566"/>
      <c r="O28" s="562">
        <f>SUMIF('Mục tiêu tài chính'!$X$221:$X$250,'Cân đối lộ trình nghề nghiệp'!E28,'Mục tiêu tài chính'!$V$221:$V$250)</f>
        <v>9.1503515313450773E-2</v>
      </c>
      <c r="P28" s="562"/>
      <c r="Q28" s="557" t="s">
        <v>119</v>
      </c>
      <c r="R28" s="557"/>
      <c r="S28" s="557"/>
      <c r="T28" s="557"/>
      <c r="U28" s="557"/>
      <c r="V28" s="558"/>
    </row>
    <row r="29" spans="1:29" ht="15.4" thickBot="1" x14ac:dyDescent="0.6">
      <c r="E29" s="64">
        <f>E28+5</f>
        <v>46</v>
      </c>
      <c r="F29" s="67">
        <f>SUMIF('Mục tiêu tài chính'!$F$107:$F$145,'Cân đối lộ trình nghề nghiệp'!E29,'Mục tiêu tài chính'!$AB$107:$AC$145)</f>
        <v>3.8250818767860686</v>
      </c>
      <c r="G29" s="543">
        <f>SUMIF('Mục tiêu tài chính'!$X$221:$X$250,'Cân đối lộ trình nghề nghiệp'!E29,'Mục tiêu tài chính'!$Y$221:$Y$250)</f>
        <v>0.20819621383665818</v>
      </c>
      <c r="H29" s="543"/>
      <c r="I29" s="542">
        <f>SUMIF('Mục tiêu tài chính'!$X$221:$X$250,'Cân đối lộ trình nghề nghiệp'!E29,'Mục tiêu tài chính'!$Z$221:$Z$250)</f>
        <v>0</v>
      </c>
      <c r="J29" s="542"/>
      <c r="K29" s="542">
        <f>SUMIF('Mục tiêu tài chính'!$X$221:$X$250,'Cân đối lộ trình nghề nghiệp'!E29,'Mục tiêu tài chính'!$AA$221:$AA$250)</f>
        <v>0.58074219265662386</v>
      </c>
      <c r="L29" s="542"/>
      <c r="M29" s="559">
        <f>SUMIF('Mục tiêu tài chính'!$X$221:$X$250,'Cân đối lộ trình nghề nghiệp'!E29,'Mục tiêu tài chính'!$AB$221:$AB$250)</f>
        <v>0.21106159350671796</v>
      </c>
      <c r="N29" s="559"/>
      <c r="O29" s="563">
        <f>SUMIF('Mục tiêu tài chính'!$X$221:$X$250,'Cân đối lộ trình nghề nghiệp'!E29,'Mục tiêu tài chính'!$V$221:$V$250)</f>
        <v>8.5144229395959781E-2</v>
      </c>
      <c r="P29" s="563"/>
      <c r="Q29" s="546"/>
      <c r="R29" s="546"/>
      <c r="S29" s="546"/>
      <c r="T29" s="546"/>
      <c r="U29" s="546"/>
      <c r="V29" s="547"/>
    </row>
    <row r="30" spans="1:29" ht="15" customHeight="1" x14ac:dyDescent="0.45">
      <c r="F30" s="6"/>
      <c r="G30" s="6"/>
      <c r="H30" s="6"/>
      <c r="I30" s="6"/>
      <c r="J30" s="6"/>
      <c r="K30" s="6"/>
      <c r="L30" s="6"/>
      <c r="M30" s="6"/>
      <c r="N30" s="6"/>
      <c r="O30" s="6"/>
      <c r="P30" s="6"/>
      <c r="Q30" s="6"/>
      <c r="R30" s="6"/>
      <c r="S30" s="6"/>
      <c r="T30" s="6"/>
      <c r="U30" s="6"/>
      <c r="V30" s="6"/>
      <c r="W30" s="6"/>
      <c r="X30" s="6"/>
      <c r="Y30" s="6"/>
      <c r="Z30" s="6"/>
      <c r="AA30" s="6"/>
      <c r="AB30" s="6"/>
      <c r="AC30" s="6"/>
    </row>
    <row r="31" spans="1:29" ht="15" customHeight="1" x14ac:dyDescent="0.45">
      <c r="E31" s="532" t="s">
        <v>344</v>
      </c>
      <c r="F31" s="532"/>
      <c r="G31" s="532"/>
      <c r="H31" s="532"/>
      <c r="I31" s="532"/>
      <c r="J31" s="532"/>
      <c r="K31" s="532"/>
      <c r="L31" s="532"/>
      <c r="M31" s="532"/>
      <c r="N31" s="5"/>
      <c r="O31" s="5"/>
      <c r="P31" s="5"/>
      <c r="Q31" s="5"/>
      <c r="R31" s="5"/>
      <c r="S31" s="5"/>
      <c r="T31" s="6"/>
      <c r="U31" s="6"/>
      <c r="V31" s="6"/>
      <c r="W31" s="6"/>
      <c r="X31" s="6"/>
      <c r="Y31" s="6"/>
      <c r="Z31" s="6"/>
      <c r="AA31" s="6"/>
      <c r="AB31" s="6"/>
      <c r="AC31" s="6"/>
    </row>
    <row r="32" spans="1:29" s="8" customFormat="1" ht="15" customHeight="1" thickBot="1" x14ac:dyDescent="0.5">
      <c r="A32" s="7"/>
      <c r="B32" s="7"/>
      <c r="C32" s="7"/>
      <c r="E32" s="533"/>
      <c r="F32" s="533"/>
      <c r="G32" s="533"/>
      <c r="H32" s="533"/>
      <c r="I32" s="533"/>
      <c r="J32" s="533"/>
      <c r="K32" s="533"/>
      <c r="L32" s="533"/>
      <c r="M32" s="533"/>
      <c r="N32" s="9"/>
      <c r="O32" s="9"/>
      <c r="P32" s="9"/>
      <c r="Q32" s="9"/>
      <c r="R32" s="9"/>
      <c r="S32" s="9"/>
      <c r="T32" s="10"/>
      <c r="U32" s="10"/>
      <c r="V32" s="10"/>
      <c r="W32" s="10"/>
      <c r="X32" s="10"/>
      <c r="Y32" s="10"/>
      <c r="Z32" s="10"/>
      <c r="AA32" s="10"/>
      <c r="AB32" s="10"/>
      <c r="AC32" s="10"/>
    </row>
    <row r="33" spans="5:29" ht="15" customHeight="1" thickBot="1" x14ac:dyDescent="0.5">
      <c r="E33" s="6"/>
      <c r="F33" s="6"/>
      <c r="G33" s="6"/>
      <c r="H33" s="6"/>
      <c r="I33" s="6"/>
      <c r="J33" s="6"/>
      <c r="K33" s="6"/>
      <c r="L33" s="6"/>
      <c r="M33" s="6"/>
      <c r="N33" s="6"/>
      <c r="O33" s="6"/>
      <c r="P33" s="6"/>
      <c r="Q33" s="6"/>
      <c r="R33" s="6"/>
      <c r="S33" s="6"/>
      <c r="T33" s="6"/>
      <c r="U33" s="6"/>
      <c r="V33" s="6"/>
      <c r="W33" s="6"/>
      <c r="X33" s="6"/>
      <c r="Y33" s="6"/>
      <c r="Z33" s="6"/>
      <c r="AA33" s="6"/>
      <c r="AB33" s="6"/>
      <c r="AC33" s="6"/>
    </row>
    <row r="34" spans="5:29" x14ac:dyDescent="0.45">
      <c r="E34" s="504" t="s">
        <v>85</v>
      </c>
      <c r="F34" s="526" t="s">
        <v>106</v>
      </c>
      <c r="G34" s="522" t="s">
        <v>370</v>
      </c>
      <c r="H34" s="529" t="s">
        <v>107</v>
      </c>
      <c r="J34" s="6"/>
      <c r="K34" s="6"/>
      <c r="L34" s="6"/>
      <c r="M34" s="6"/>
      <c r="N34" s="6"/>
      <c r="O34" s="6"/>
      <c r="P34" s="6"/>
      <c r="Q34" s="6"/>
      <c r="R34" s="6"/>
      <c r="S34" s="6"/>
      <c r="T34" s="6"/>
      <c r="U34" s="6"/>
      <c r="V34" s="6"/>
      <c r="W34" s="6"/>
      <c r="X34" s="6"/>
      <c r="Y34" s="6"/>
      <c r="Z34" s="6"/>
      <c r="AA34" s="6"/>
      <c r="AB34" s="6"/>
      <c r="AC34" s="6"/>
    </row>
    <row r="35" spans="5:29" x14ac:dyDescent="0.45">
      <c r="E35" s="531"/>
      <c r="F35" s="527"/>
      <c r="G35" s="528"/>
      <c r="H35" s="530"/>
      <c r="J35" s="6"/>
      <c r="K35" s="6"/>
      <c r="L35" s="6"/>
      <c r="M35" s="6"/>
      <c r="N35" s="6"/>
      <c r="O35" s="6"/>
      <c r="P35" s="6"/>
      <c r="Q35" s="6"/>
      <c r="R35" s="6"/>
      <c r="S35" s="6"/>
      <c r="T35" s="6"/>
      <c r="U35" s="6"/>
      <c r="V35" s="6"/>
      <c r="W35" s="6"/>
      <c r="X35" s="6"/>
      <c r="Y35" s="6"/>
      <c r="Z35" s="6"/>
      <c r="AA35" s="6"/>
      <c r="AB35" s="6"/>
      <c r="AC35" s="6"/>
    </row>
    <row r="36" spans="5:29" x14ac:dyDescent="0.45">
      <c r="E36" s="531"/>
      <c r="F36" s="527"/>
      <c r="G36" s="528"/>
      <c r="H36" s="530"/>
      <c r="J36" s="6"/>
      <c r="K36" s="6"/>
      <c r="L36" s="6"/>
      <c r="M36" s="6"/>
      <c r="N36" s="6"/>
      <c r="O36" s="6"/>
      <c r="P36" s="6"/>
      <c r="Q36" s="6"/>
      <c r="R36" s="6"/>
      <c r="S36" s="6"/>
      <c r="T36" s="6"/>
      <c r="U36" s="6"/>
      <c r="V36" s="6"/>
      <c r="W36" s="6"/>
      <c r="X36" s="6"/>
      <c r="Y36" s="6"/>
      <c r="Z36" s="6"/>
      <c r="AA36" s="6"/>
      <c r="AB36" s="6"/>
      <c r="AC36" s="6"/>
    </row>
    <row r="37" spans="5:29" ht="15" x14ac:dyDescent="0.55000000000000004">
      <c r="E37" s="29">
        <v>22</v>
      </c>
      <c r="F37" s="54">
        <v>10</v>
      </c>
      <c r="G37" s="338"/>
      <c r="H37" s="55">
        <v>12</v>
      </c>
      <c r="J37" s="6"/>
      <c r="K37" s="6"/>
      <c r="L37" s="6"/>
      <c r="M37" s="6"/>
      <c r="N37" s="6"/>
      <c r="O37" s="6"/>
      <c r="P37" s="6"/>
      <c r="Q37" s="6"/>
      <c r="R37" s="6"/>
      <c r="S37" s="6"/>
      <c r="T37" s="6"/>
      <c r="U37" s="6"/>
      <c r="V37" s="6"/>
      <c r="W37" s="6"/>
      <c r="X37" s="6"/>
      <c r="Y37" s="6"/>
      <c r="Z37" s="6"/>
      <c r="AA37" s="6"/>
      <c r="AB37" s="6"/>
      <c r="AC37" s="6"/>
    </row>
    <row r="38" spans="5:29" ht="15" x14ac:dyDescent="0.55000000000000004">
      <c r="E38" s="29">
        <v>23</v>
      </c>
      <c r="F38" s="54">
        <v>15</v>
      </c>
      <c r="G38" s="339"/>
      <c r="H38" s="55">
        <v>12</v>
      </c>
      <c r="J38" s="6"/>
      <c r="K38" s="6"/>
      <c r="L38" s="6"/>
      <c r="M38" s="6"/>
      <c r="N38" s="6"/>
      <c r="O38" s="6"/>
      <c r="P38" s="6"/>
      <c r="Q38" s="6"/>
      <c r="R38" s="6"/>
      <c r="S38" s="6"/>
      <c r="T38" s="6"/>
      <c r="U38" s="6"/>
      <c r="V38" s="6"/>
      <c r="W38" s="6"/>
      <c r="X38" s="6"/>
      <c r="Y38" s="6"/>
      <c r="Z38" s="6"/>
      <c r="AA38" s="6"/>
      <c r="AB38" s="6"/>
      <c r="AC38" s="6"/>
    </row>
    <row r="39" spans="5:29" ht="15" x14ac:dyDescent="0.55000000000000004">
      <c r="E39" s="29">
        <v>24</v>
      </c>
      <c r="F39" s="54">
        <v>20</v>
      </c>
      <c r="G39" s="339">
        <f>F39</f>
        <v>20</v>
      </c>
      <c r="H39" s="55">
        <v>12</v>
      </c>
      <c r="J39" s="6"/>
      <c r="K39" s="6"/>
      <c r="L39" s="6"/>
      <c r="M39" s="6"/>
      <c r="N39" s="6"/>
      <c r="O39" s="6"/>
      <c r="P39" s="6"/>
      <c r="Q39" s="6"/>
      <c r="R39" s="6"/>
      <c r="S39" s="6"/>
      <c r="T39" s="6"/>
      <c r="U39" s="6"/>
      <c r="V39" s="6"/>
      <c r="W39" s="6"/>
      <c r="X39" s="6"/>
      <c r="Y39" s="6"/>
      <c r="Z39" s="6"/>
      <c r="AA39" s="6"/>
      <c r="AB39" s="6"/>
      <c r="AC39" s="6"/>
    </row>
    <row r="40" spans="5:29" ht="15" x14ac:dyDescent="0.55000000000000004">
      <c r="E40" s="29">
        <v>25</v>
      </c>
      <c r="F40" s="54"/>
      <c r="G40" s="339">
        <f>'Mục tiêu tài chính'!AB107</f>
        <v>6.402201095714835</v>
      </c>
      <c r="H40" s="55">
        <v>15</v>
      </c>
      <c r="J40" s="6"/>
      <c r="K40" s="6"/>
      <c r="L40" s="6"/>
      <c r="M40" s="6"/>
      <c r="N40" s="6"/>
      <c r="O40" s="6"/>
      <c r="P40" s="6"/>
      <c r="Q40" s="6"/>
      <c r="R40" s="6"/>
      <c r="S40" s="6"/>
      <c r="T40" s="6"/>
      <c r="U40" s="6"/>
      <c r="V40" s="6"/>
      <c r="W40" s="6"/>
      <c r="X40" s="6"/>
      <c r="Y40" s="6"/>
      <c r="Z40" s="6"/>
      <c r="AA40" s="6"/>
      <c r="AB40" s="6"/>
      <c r="AC40" s="6"/>
    </row>
    <row r="41" spans="5:29" ht="15" x14ac:dyDescent="0.55000000000000004">
      <c r="E41" s="29">
        <v>26</v>
      </c>
      <c r="F41" s="54"/>
      <c r="G41" s="339">
        <f>'Mục tiêu tài chính'!AB108</f>
        <v>10.418670092718552</v>
      </c>
      <c r="H41" s="55">
        <v>20</v>
      </c>
      <c r="J41" s="6"/>
      <c r="K41" s="6"/>
      <c r="L41" s="6"/>
      <c r="M41" s="6"/>
      <c r="N41" s="6"/>
      <c r="O41" s="6"/>
      <c r="P41" s="6"/>
      <c r="Q41" s="6"/>
      <c r="R41" s="6"/>
      <c r="S41" s="6"/>
      <c r="T41" s="6"/>
      <c r="U41" s="6"/>
      <c r="V41" s="6"/>
      <c r="W41" s="6"/>
      <c r="X41" s="6"/>
      <c r="Y41" s="6"/>
      <c r="Z41" s="6"/>
      <c r="AA41" s="6"/>
      <c r="AB41" s="6"/>
      <c r="AC41" s="6"/>
    </row>
    <row r="42" spans="5:29" ht="15" x14ac:dyDescent="0.55000000000000004">
      <c r="E42" s="29">
        <v>27</v>
      </c>
      <c r="F42" s="54"/>
      <c r="G42" s="339">
        <f>'Mục tiêu tài chính'!AB109</f>
        <v>17.670088107119035</v>
      </c>
      <c r="H42" s="55">
        <v>20</v>
      </c>
      <c r="J42" s="6"/>
      <c r="K42" s="6"/>
      <c r="L42" s="6"/>
      <c r="M42" s="6"/>
      <c r="N42" s="6"/>
      <c r="O42" s="6"/>
      <c r="P42" s="6"/>
      <c r="Q42" s="6"/>
      <c r="R42" s="6"/>
      <c r="S42" s="6"/>
      <c r="T42" s="6"/>
      <c r="U42" s="6"/>
      <c r="V42" s="6"/>
      <c r="W42" s="6"/>
      <c r="X42" s="6"/>
      <c r="Y42" s="6"/>
      <c r="Z42" s="6"/>
      <c r="AA42" s="6"/>
      <c r="AB42" s="6"/>
      <c r="AC42" s="6"/>
    </row>
    <row r="43" spans="5:29" ht="15" x14ac:dyDescent="0.55000000000000004">
      <c r="E43" s="29">
        <v>28</v>
      </c>
      <c r="F43" s="54"/>
      <c r="G43" s="339">
        <f>'Mục tiêu tài chính'!AB110</f>
        <v>17.670088107119035</v>
      </c>
      <c r="H43" s="55">
        <v>20</v>
      </c>
      <c r="J43" s="6"/>
      <c r="K43" s="6"/>
      <c r="L43" s="6"/>
      <c r="M43" s="6"/>
      <c r="N43" s="6"/>
      <c r="O43" s="6"/>
      <c r="P43" s="6"/>
      <c r="Q43" s="6"/>
      <c r="R43" s="6"/>
      <c r="S43" s="6"/>
      <c r="T43" s="6"/>
      <c r="U43" s="6"/>
      <c r="V43" s="6"/>
      <c r="W43" s="6"/>
      <c r="X43" s="6"/>
      <c r="Y43" s="6"/>
      <c r="Z43" s="6"/>
      <c r="AA43" s="6"/>
      <c r="AB43" s="6"/>
      <c r="AC43" s="6"/>
    </row>
    <row r="44" spans="5:29" ht="15" x14ac:dyDescent="0.55000000000000004">
      <c r="E44" s="29">
        <v>29</v>
      </c>
      <c r="F44" s="54"/>
      <c r="G44" s="339">
        <f>'Mục tiêu tài chính'!AB111</f>
        <v>11.267887011404198</v>
      </c>
      <c r="H44" s="55">
        <v>20</v>
      </c>
      <c r="J44" s="6"/>
      <c r="K44" s="6"/>
      <c r="L44" s="6"/>
      <c r="M44" s="6"/>
      <c r="N44" s="6"/>
      <c r="O44" s="6"/>
      <c r="P44" s="6"/>
      <c r="Q44" s="6"/>
      <c r="R44" s="6"/>
      <c r="S44" s="6"/>
      <c r="T44" s="6"/>
      <c r="U44" s="6"/>
      <c r="V44" s="6"/>
      <c r="W44" s="6"/>
      <c r="X44" s="6"/>
      <c r="Y44" s="6"/>
      <c r="Z44" s="6"/>
      <c r="AA44" s="6"/>
      <c r="AB44" s="6"/>
      <c r="AC44" s="6"/>
    </row>
    <row r="45" spans="5:29" ht="15" x14ac:dyDescent="0.55000000000000004">
      <c r="E45" s="29">
        <v>30</v>
      </c>
      <c r="F45" s="54"/>
      <c r="G45" s="339">
        <f>'Mục tiêu tài chính'!AB112</f>
        <v>28.502822755933906</v>
      </c>
      <c r="H45" s="55">
        <v>20</v>
      </c>
      <c r="J45" s="6"/>
      <c r="K45" s="6"/>
      <c r="L45" s="6"/>
      <c r="M45" s="6"/>
      <c r="N45" s="6"/>
      <c r="O45" s="6"/>
      <c r="P45" s="6"/>
      <c r="Q45" s="6"/>
      <c r="R45" s="6"/>
      <c r="S45" s="6"/>
      <c r="T45" s="6"/>
      <c r="U45" s="6"/>
      <c r="V45" s="6"/>
      <c r="W45" s="6"/>
      <c r="X45" s="6"/>
      <c r="Y45" s="6"/>
      <c r="Z45" s="6"/>
      <c r="AA45" s="6"/>
      <c r="AB45" s="6"/>
      <c r="AC45" s="6"/>
    </row>
    <row r="46" spans="5:29" ht="15" x14ac:dyDescent="0.55000000000000004">
      <c r="E46" s="29">
        <v>31</v>
      </c>
      <c r="F46" s="54"/>
      <c r="G46" s="339">
        <f>'Mục tiêu tài chính'!AB113</f>
        <v>28.502822755933906</v>
      </c>
      <c r="H46" s="55">
        <v>20</v>
      </c>
      <c r="J46" s="6"/>
      <c r="K46" s="6"/>
      <c r="L46" s="6"/>
      <c r="M46" s="6"/>
      <c r="N46" s="6"/>
      <c r="O46" s="6"/>
      <c r="P46" s="6"/>
      <c r="Q46" s="6"/>
      <c r="R46" s="6"/>
      <c r="S46" s="6"/>
      <c r="T46" s="6"/>
      <c r="U46" s="6"/>
      <c r="V46" s="6"/>
      <c r="W46" s="6"/>
      <c r="X46" s="6"/>
      <c r="Y46" s="6"/>
      <c r="Z46" s="6"/>
      <c r="AA46" s="6"/>
      <c r="AB46" s="6"/>
      <c r="AC46" s="6"/>
    </row>
    <row r="47" spans="5:29" ht="15" x14ac:dyDescent="0.55000000000000004">
      <c r="E47" s="29">
        <v>32</v>
      </c>
      <c r="F47" s="54"/>
      <c r="G47" s="339">
        <f>'Mục tiêu tài chính'!AB114</f>
        <v>30.015592065352571</v>
      </c>
      <c r="H47" s="55">
        <v>25</v>
      </c>
      <c r="J47" s="6"/>
      <c r="K47" s="6"/>
      <c r="L47" s="6"/>
      <c r="M47" s="6"/>
      <c r="N47" s="6"/>
      <c r="O47" s="6"/>
      <c r="P47" s="6"/>
      <c r="Q47" s="6"/>
      <c r="R47" s="6"/>
      <c r="S47" s="6"/>
      <c r="T47" s="6"/>
      <c r="U47" s="6"/>
      <c r="V47" s="6"/>
      <c r="W47" s="6"/>
      <c r="X47" s="6"/>
      <c r="Y47" s="6"/>
      <c r="Z47" s="6"/>
      <c r="AA47" s="6"/>
      <c r="AB47" s="6"/>
      <c r="AC47" s="6"/>
    </row>
    <row r="48" spans="5:29" ht="15" x14ac:dyDescent="0.55000000000000004">
      <c r="E48" s="29">
        <v>33</v>
      </c>
      <c r="F48" s="54"/>
      <c r="G48" s="339">
        <f>'Mục tiêu tài chính'!AB115</f>
        <v>32.643167510996079</v>
      </c>
      <c r="H48" s="55">
        <v>25</v>
      </c>
      <c r="J48" s="6"/>
      <c r="K48" s="6"/>
      <c r="L48" s="6"/>
      <c r="M48" s="6"/>
      <c r="N48" s="6"/>
      <c r="O48" s="6"/>
      <c r="P48" s="6"/>
      <c r="Q48" s="6"/>
      <c r="R48" s="6"/>
      <c r="S48" s="6"/>
      <c r="T48" s="6"/>
      <c r="U48" s="6"/>
      <c r="V48" s="6"/>
      <c r="W48" s="6"/>
      <c r="X48" s="6"/>
      <c r="Y48" s="6"/>
      <c r="Z48" s="6"/>
      <c r="AA48" s="6"/>
      <c r="AB48" s="6"/>
      <c r="AC48" s="6"/>
    </row>
    <row r="49" spans="5:29" ht="15" x14ac:dyDescent="0.55000000000000004">
      <c r="E49" s="29">
        <v>34</v>
      </c>
      <c r="F49" s="54"/>
      <c r="G49" s="339">
        <f>'Mục tiêu tài chính'!AB116</f>
        <v>32.643167510996079</v>
      </c>
      <c r="H49" s="55">
        <v>25</v>
      </c>
      <c r="J49" s="6"/>
      <c r="K49" s="6"/>
      <c r="L49" s="6"/>
      <c r="M49" s="6"/>
      <c r="N49" s="6"/>
      <c r="O49" s="6"/>
      <c r="P49" s="6"/>
      <c r="Q49" s="6"/>
      <c r="R49" s="6"/>
      <c r="S49" s="6"/>
      <c r="T49" s="6"/>
      <c r="U49" s="6"/>
      <c r="V49" s="6"/>
      <c r="W49" s="6"/>
      <c r="X49" s="6"/>
      <c r="Y49" s="6"/>
      <c r="Z49" s="6"/>
      <c r="AA49" s="6"/>
      <c r="AB49" s="6"/>
      <c r="AC49" s="6"/>
    </row>
    <row r="50" spans="5:29" ht="15" x14ac:dyDescent="0.55000000000000004">
      <c r="E50" s="29">
        <v>35</v>
      </c>
      <c r="F50" s="54"/>
      <c r="G50" s="339">
        <f>'Mục tiêu tài chính'!AB117</f>
        <v>15.40823176646637</v>
      </c>
      <c r="H50" s="55">
        <v>25</v>
      </c>
      <c r="J50" s="6"/>
      <c r="K50" s="6"/>
      <c r="L50" s="6"/>
      <c r="M50" s="6"/>
      <c r="N50" s="6"/>
      <c r="O50" s="6"/>
      <c r="P50" s="6"/>
      <c r="Q50" s="6"/>
      <c r="R50" s="6"/>
      <c r="S50" s="6"/>
      <c r="T50" s="6"/>
      <c r="U50" s="6"/>
      <c r="V50" s="6"/>
      <c r="W50" s="6"/>
      <c r="X50" s="6"/>
      <c r="Y50" s="6"/>
      <c r="Z50" s="6"/>
      <c r="AA50" s="6"/>
      <c r="AB50" s="6"/>
      <c r="AC50" s="6"/>
    </row>
    <row r="51" spans="5:29" ht="15" x14ac:dyDescent="0.55000000000000004">
      <c r="E51" s="29">
        <v>36</v>
      </c>
      <c r="F51" s="54"/>
      <c r="G51" s="339">
        <f>'Mục tiêu tài chính'!AB118</f>
        <v>15.40823176646637</v>
      </c>
      <c r="H51" s="55">
        <v>30</v>
      </c>
      <c r="J51" s="6"/>
      <c r="K51" s="6"/>
      <c r="L51" s="6"/>
      <c r="M51" s="6"/>
      <c r="N51" s="6"/>
      <c r="O51" s="6"/>
      <c r="P51" s="6"/>
      <c r="Q51" s="6"/>
      <c r="R51" s="6"/>
      <c r="S51" s="6"/>
      <c r="T51" s="6"/>
      <c r="U51" s="6"/>
      <c r="V51" s="6"/>
      <c r="W51" s="6"/>
      <c r="X51" s="6"/>
      <c r="Y51" s="6"/>
      <c r="Z51" s="6"/>
      <c r="AA51" s="6"/>
      <c r="AB51" s="6"/>
      <c r="AC51" s="6"/>
    </row>
    <row r="52" spans="5:29" ht="15" x14ac:dyDescent="0.55000000000000004">
      <c r="E52" s="29">
        <v>37</v>
      </c>
      <c r="F52" s="54"/>
      <c r="G52" s="339">
        <f>'Mục tiêu tài chính'!AB119</f>
        <v>15.40823176646637</v>
      </c>
      <c r="H52" s="55">
        <v>30</v>
      </c>
      <c r="J52" s="6"/>
      <c r="K52" s="6"/>
      <c r="L52" s="6"/>
      <c r="M52" s="6"/>
      <c r="N52" s="6"/>
      <c r="O52" s="6"/>
      <c r="P52" s="6"/>
      <c r="Q52" s="6"/>
      <c r="R52" s="6"/>
      <c r="S52" s="6"/>
      <c r="T52" s="6"/>
      <c r="U52" s="6"/>
      <c r="V52" s="6"/>
      <c r="W52" s="6"/>
      <c r="X52" s="6"/>
      <c r="Y52" s="6"/>
      <c r="Z52" s="6"/>
      <c r="AA52" s="6"/>
      <c r="AB52" s="6"/>
      <c r="AC52" s="6"/>
    </row>
    <row r="53" spans="5:29" ht="15" x14ac:dyDescent="0.55000000000000004">
      <c r="E53" s="29">
        <v>38</v>
      </c>
      <c r="F53" s="54"/>
      <c r="G53" s="339">
        <f>'Mục tiêu tài chính'!AB120</f>
        <v>15.40823176646637</v>
      </c>
      <c r="H53" s="55">
        <v>30</v>
      </c>
      <c r="J53" s="6"/>
      <c r="K53" s="6"/>
      <c r="L53" s="6"/>
      <c r="M53" s="6"/>
      <c r="N53" s="6"/>
      <c r="O53" s="6"/>
      <c r="P53" s="6"/>
      <c r="Q53" s="6"/>
      <c r="R53" s="6"/>
      <c r="S53" s="6"/>
      <c r="T53" s="6"/>
      <c r="U53" s="6"/>
      <c r="V53" s="6"/>
      <c r="W53" s="6"/>
      <c r="X53" s="6"/>
      <c r="Y53" s="6"/>
      <c r="Z53" s="6"/>
      <c r="AA53" s="6"/>
      <c r="AB53" s="6"/>
      <c r="AC53" s="6"/>
    </row>
    <row r="54" spans="5:29" ht="15" x14ac:dyDescent="0.55000000000000004">
      <c r="E54" s="29">
        <v>39</v>
      </c>
      <c r="F54" s="54"/>
      <c r="G54" s="339">
        <f>'Mục tiêu tài chính'!AB121</f>
        <v>17.720544333833775</v>
      </c>
      <c r="H54" s="55">
        <v>30</v>
      </c>
      <c r="J54" s="6"/>
      <c r="K54" s="6"/>
      <c r="L54" s="6"/>
      <c r="M54" s="6"/>
      <c r="N54" s="6"/>
      <c r="O54" s="6"/>
      <c r="P54" s="6"/>
      <c r="Q54" s="6"/>
      <c r="R54" s="6"/>
      <c r="S54" s="6"/>
      <c r="T54" s="6"/>
      <c r="U54" s="6"/>
      <c r="V54" s="6"/>
      <c r="W54" s="6"/>
      <c r="X54" s="6"/>
      <c r="Y54" s="6"/>
      <c r="Z54" s="6"/>
      <c r="AA54" s="6"/>
      <c r="AB54" s="6"/>
      <c r="AC54" s="6"/>
    </row>
    <row r="55" spans="5:29" ht="15" x14ac:dyDescent="0.55000000000000004">
      <c r="E55" s="29">
        <v>40</v>
      </c>
      <c r="F55" s="54"/>
      <c r="G55" s="339">
        <f>'Mục tiêu tài chính'!AB122</f>
        <v>10.469126319433295</v>
      </c>
      <c r="H55" s="55">
        <v>30</v>
      </c>
      <c r="J55" s="6"/>
      <c r="K55" s="6"/>
      <c r="L55" s="6"/>
      <c r="M55" s="6"/>
      <c r="N55" s="6"/>
      <c r="O55" s="6"/>
      <c r="P55" s="6"/>
      <c r="Q55" s="6"/>
      <c r="R55" s="6"/>
      <c r="S55" s="6"/>
      <c r="T55" s="6"/>
      <c r="U55" s="6"/>
      <c r="V55" s="6"/>
      <c r="W55" s="6"/>
      <c r="X55" s="6"/>
      <c r="Y55" s="6"/>
      <c r="Z55" s="6"/>
      <c r="AA55" s="6"/>
      <c r="AB55" s="6"/>
      <c r="AC55" s="6"/>
    </row>
    <row r="56" spans="5:29" ht="15" x14ac:dyDescent="0.55000000000000004">
      <c r="E56" s="29">
        <v>41</v>
      </c>
      <c r="F56" s="54"/>
      <c r="G56" s="339">
        <f>'Mục tiêu tài chính'!AB123</f>
        <v>10.469126319433295</v>
      </c>
      <c r="H56" s="55">
        <v>30</v>
      </c>
      <c r="J56" s="6"/>
      <c r="K56" s="6"/>
      <c r="L56" s="6"/>
      <c r="M56" s="6"/>
      <c r="N56" s="6"/>
      <c r="O56" s="6"/>
      <c r="P56" s="6"/>
      <c r="Q56" s="6"/>
      <c r="R56" s="6"/>
      <c r="S56" s="6"/>
      <c r="T56" s="6"/>
      <c r="U56" s="6"/>
      <c r="V56" s="6"/>
      <c r="W56" s="6"/>
      <c r="X56" s="6"/>
      <c r="Y56" s="6"/>
      <c r="Z56" s="6"/>
      <c r="AA56" s="6"/>
      <c r="AB56" s="6"/>
      <c r="AC56" s="6"/>
    </row>
    <row r="57" spans="5:29" ht="15" x14ac:dyDescent="0.55000000000000004">
      <c r="E57" s="29">
        <v>42</v>
      </c>
      <c r="F57" s="54"/>
      <c r="G57" s="339">
        <f>'Mục tiêu tài chính'!AB124</f>
        <v>10.469126319433295</v>
      </c>
      <c r="H57" s="55">
        <v>40</v>
      </c>
      <c r="J57" s="6"/>
      <c r="K57" s="6"/>
      <c r="L57" s="6"/>
      <c r="M57" s="6"/>
      <c r="N57" s="6"/>
      <c r="O57" s="6"/>
      <c r="P57" s="6"/>
      <c r="Q57" s="6"/>
      <c r="R57" s="6"/>
      <c r="S57" s="6"/>
      <c r="T57" s="6"/>
      <c r="U57" s="6"/>
      <c r="V57" s="6"/>
      <c r="W57" s="6"/>
      <c r="X57" s="6"/>
      <c r="Y57" s="6"/>
      <c r="Z57" s="6"/>
      <c r="AA57" s="6"/>
      <c r="AB57" s="6"/>
      <c r="AC57" s="6"/>
    </row>
    <row r="58" spans="5:29" ht="15" x14ac:dyDescent="0.55000000000000004">
      <c r="E58" s="29">
        <v>43</v>
      </c>
      <c r="F58" s="54"/>
      <c r="G58" s="339">
        <f>'Mục tiêu tài chính'!AB125</f>
        <v>3.8250818767860686</v>
      </c>
      <c r="H58" s="55">
        <v>40</v>
      </c>
      <c r="J58" s="6"/>
      <c r="K58" s="6"/>
      <c r="L58" s="6"/>
      <c r="M58" s="6"/>
      <c r="N58" s="6"/>
      <c r="O58" s="6"/>
      <c r="P58" s="6"/>
      <c r="Q58" s="6"/>
      <c r="R58" s="6"/>
      <c r="S58" s="6"/>
      <c r="T58" s="6"/>
      <c r="U58" s="6"/>
      <c r="V58" s="6"/>
      <c r="W58" s="6"/>
      <c r="X58" s="6"/>
      <c r="Y58" s="6"/>
      <c r="Z58" s="6"/>
      <c r="AA58" s="6"/>
      <c r="AB58" s="6"/>
      <c r="AC58" s="6"/>
    </row>
    <row r="59" spans="5:29" ht="15" x14ac:dyDescent="0.55000000000000004">
      <c r="E59" s="29">
        <v>44</v>
      </c>
      <c r="F59" s="54"/>
      <c r="G59" s="339">
        <f>'Mục tiêu tài chính'!AB126</f>
        <v>3.8250818767860686</v>
      </c>
      <c r="H59" s="55">
        <v>40</v>
      </c>
      <c r="J59" s="6"/>
      <c r="K59" s="6"/>
      <c r="L59" s="6"/>
      <c r="M59" s="6"/>
      <c r="N59" s="6"/>
      <c r="O59" s="6"/>
      <c r="P59" s="6"/>
      <c r="Q59" s="6"/>
      <c r="R59" s="6"/>
      <c r="S59" s="6"/>
      <c r="T59" s="6"/>
      <c r="U59" s="6"/>
      <c r="V59" s="6"/>
      <c r="W59" s="6"/>
      <c r="X59" s="6"/>
      <c r="Y59" s="6"/>
      <c r="Z59" s="6"/>
      <c r="AA59" s="6"/>
      <c r="AB59" s="6"/>
      <c r="AC59" s="6"/>
    </row>
    <row r="60" spans="5:29" ht="15" x14ac:dyDescent="0.55000000000000004">
      <c r="E60" s="29">
        <v>45</v>
      </c>
      <c r="F60" s="54"/>
      <c r="G60" s="339">
        <f>'Mục tiêu tài chính'!AB127</f>
        <v>3.8250818767860686</v>
      </c>
      <c r="H60" s="55">
        <v>40</v>
      </c>
      <c r="J60" s="6"/>
      <c r="K60" s="6"/>
      <c r="L60" s="6"/>
      <c r="M60" s="6"/>
      <c r="N60" s="6"/>
      <c r="O60" s="6"/>
      <c r="P60" s="6"/>
      <c r="Q60" s="6"/>
      <c r="R60" s="6"/>
      <c r="S60" s="6"/>
      <c r="T60" s="6"/>
      <c r="U60" s="6"/>
      <c r="V60" s="6"/>
      <c r="W60" s="6"/>
      <c r="X60" s="6"/>
      <c r="Y60" s="6"/>
      <c r="Z60" s="6"/>
      <c r="AA60" s="6"/>
      <c r="AB60" s="6"/>
      <c r="AC60" s="6"/>
    </row>
    <row r="61" spans="5:29" ht="15" x14ac:dyDescent="0.55000000000000004">
      <c r="E61" s="29">
        <v>46</v>
      </c>
      <c r="F61" s="54"/>
      <c r="G61" s="339">
        <f>'Mục tiêu tài chính'!AB128</f>
        <v>3.8250818767860686</v>
      </c>
      <c r="H61" s="56">
        <v>40</v>
      </c>
      <c r="J61" s="6"/>
      <c r="K61" s="6"/>
      <c r="L61" s="6"/>
      <c r="M61" s="6"/>
      <c r="N61" s="6"/>
    </row>
    <row r="62" spans="5:29" ht="15" x14ac:dyDescent="0.55000000000000004">
      <c r="E62" s="29">
        <v>47</v>
      </c>
      <c r="F62" s="54"/>
      <c r="G62" s="339">
        <f>'Mục tiêu tài chính'!AB129</f>
        <v>3.8250818767860686</v>
      </c>
      <c r="H62" s="56">
        <v>40</v>
      </c>
      <c r="J62" s="6"/>
      <c r="K62" s="6"/>
      <c r="L62" s="6"/>
      <c r="M62" s="6"/>
      <c r="N62" s="6"/>
    </row>
    <row r="63" spans="5:29" ht="15" x14ac:dyDescent="0.55000000000000004">
      <c r="E63" s="29">
        <v>48</v>
      </c>
      <c r="F63" s="54"/>
      <c r="G63" s="339">
        <f>'Mục tiêu tài chính'!AB130</f>
        <v>3.8250818767860686</v>
      </c>
      <c r="H63" s="56">
        <v>50</v>
      </c>
      <c r="J63" s="6"/>
      <c r="K63" s="6"/>
      <c r="L63" s="6"/>
      <c r="M63" s="6"/>
      <c r="N63" s="6"/>
    </row>
    <row r="64" spans="5:29" ht="15" x14ac:dyDescent="0.55000000000000004">
      <c r="E64" s="29">
        <v>49</v>
      </c>
      <c r="F64" s="54"/>
      <c r="G64" s="339">
        <f>'Mục tiêu tài chính'!AB131</f>
        <v>3.8250818767860686</v>
      </c>
      <c r="H64" s="56">
        <v>50</v>
      </c>
      <c r="J64" s="6"/>
      <c r="K64" s="6"/>
      <c r="L64" s="6"/>
      <c r="M64" s="6"/>
      <c r="N64" s="6"/>
    </row>
    <row r="65" spans="5:14" ht="15" x14ac:dyDescent="0.55000000000000004">
      <c r="E65" s="29">
        <v>50</v>
      </c>
      <c r="F65" s="54"/>
      <c r="G65" s="339">
        <f>'Mục tiêu tài chính'!AB132</f>
        <v>3.8250818767860686</v>
      </c>
      <c r="H65" s="56">
        <v>50</v>
      </c>
      <c r="J65" s="6"/>
      <c r="K65" s="6"/>
      <c r="L65" s="6"/>
      <c r="M65" s="6"/>
      <c r="N65" s="6"/>
    </row>
    <row r="66" spans="5:14" ht="15" x14ac:dyDescent="0.55000000000000004">
      <c r="E66" s="29">
        <v>51</v>
      </c>
      <c r="F66" s="54"/>
      <c r="G66" s="339">
        <f>'Mục tiêu tài chính'!AB133</f>
        <v>2.312312567367405</v>
      </c>
      <c r="H66" s="56">
        <v>50</v>
      </c>
      <c r="J66" s="6"/>
      <c r="K66" s="6"/>
      <c r="L66" s="6"/>
      <c r="M66" s="6"/>
      <c r="N66" s="6"/>
    </row>
    <row r="67" spans="5:14" ht="15" x14ac:dyDescent="0.55000000000000004">
      <c r="E67" s="29">
        <v>52</v>
      </c>
      <c r="F67" s="54"/>
      <c r="G67" s="339">
        <f>'Mục tiêu tài chính'!AB134</f>
        <v>2.312312567367405</v>
      </c>
      <c r="H67" s="56">
        <v>55</v>
      </c>
      <c r="J67" s="6"/>
      <c r="K67" s="6"/>
      <c r="L67" s="6"/>
      <c r="M67" s="6"/>
      <c r="N67" s="6"/>
    </row>
    <row r="68" spans="5:14" ht="15" x14ac:dyDescent="0.55000000000000004">
      <c r="E68" s="29">
        <v>53</v>
      </c>
      <c r="F68" s="54"/>
      <c r="G68" s="339">
        <f>'Mục tiêu tài chính'!AB135</f>
        <v>2.312312567367405</v>
      </c>
      <c r="H68" s="56">
        <v>55</v>
      </c>
      <c r="J68" s="6"/>
      <c r="K68" s="6"/>
      <c r="L68" s="6"/>
      <c r="M68" s="6"/>
      <c r="N68" s="6"/>
    </row>
    <row r="69" spans="5:14" ht="15" x14ac:dyDescent="0.55000000000000004">
      <c r="E69" s="29">
        <v>54</v>
      </c>
      <c r="F69" s="54"/>
      <c r="G69" s="339">
        <f>'Mục tiêu tài chính'!AB136</f>
        <v>2.312312567367405</v>
      </c>
      <c r="H69" s="56">
        <v>60</v>
      </c>
      <c r="J69" s="6"/>
      <c r="K69" s="6"/>
      <c r="L69" s="6"/>
      <c r="M69" s="6"/>
      <c r="N69" s="6"/>
    </row>
    <row r="70" spans="5:14" ht="15" x14ac:dyDescent="0.55000000000000004">
      <c r="E70" s="29">
        <v>55</v>
      </c>
      <c r="F70" s="54"/>
      <c r="G70" s="339">
        <f>'Mục tiêu tài chính'!AB137</f>
        <v>0</v>
      </c>
      <c r="H70" s="56">
        <v>60</v>
      </c>
      <c r="J70" s="6"/>
      <c r="K70" s="6"/>
      <c r="L70" s="6"/>
      <c r="M70" s="6"/>
      <c r="N70" s="6"/>
    </row>
    <row r="71" spans="5:14" ht="15" x14ac:dyDescent="0.55000000000000004">
      <c r="E71" s="29">
        <v>56</v>
      </c>
      <c r="F71" s="54"/>
      <c r="G71" s="339">
        <f>'Mục tiêu tài chính'!AB138</f>
        <v>0</v>
      </c>
      <c r="H71" s="56">
        <v>60</v>
      </c>
      <c r="J71" s="6"/>
      <c r="K71" s="6"/>
      <c r="L71" s="6"/>
      <c r="M71" s="6"/>
      <c r="N71" s="6"/>
    </row>
    <row r="72" spans="5:14" ht="15" x14ac:dyDescent="0.55000000000000004">
      <c r="E72" s="29">
        <v>57</v>
      </c>
      <c r="F72" s="54"/>
      <c r="G72" s="339">
        <f>'Mục tiêu tài chính'!AB139</f>
        <v>0</v>
      </c>
      <c r="H72" s="56">
        <v>60</v>
      </c>
      <c r="J72" s="6"/>
      <c r="K72" s="6"/>
      <c r="L72" s="6"/>
      <c r="M72" s="6"/>
      <c r="N72" s="6"/>
    </row>
    <row r="73" spans="5:14" ht="15" x14ac:dyDescent="0.55000000000000004">
      <c r="E73" s="29">
        <v>58</v>
      </c>
      <c r="F73" s="54"/>
      <c r="G73" s="339">
        <f>'Mục tiêu tài chính'!AB140</f>
        <v>0</v>
      </c>
      <c r="H73" s="56">
        <v>60</v>
      </c>
      <c r="J73" s="6"/>
      <c r="K73" s="6"/>
      <c r="L73" s="6"/>
      <c r="M73" s="6"/>
      <c r="N73" s="6"/>
    </row>
    <row r="74" spans="5:14" ht="15" x14ac:dyDescent="0.55000000000000004">
      <c r="E74" s="29">
        <v>59</v>
      </c>
      <c r="F74" s="54"/>
      <c r="G74" s="339">
        <f>'Mục tiêu tài chính'!AB141</f>
        <v>0</v>
      </c>
      <c r="H74" s="56">
        <v>60</v>
      </c>
      <c r="J74" s="6"/>
      <c r="K74" s="6"/>
      <c r="L74" s="6"/>
      <c r="M74" s="6"/>
      <c r="N74" s="6"/>
    </row>
    <row r="75" spans="5:14" ht="15" x14ac:dyDescent="0.55000000000000004">
      <c r="E75" s="29">
        <v>60</v>
      </c>
      <c r="F75" s="54"/>
      <c r="G75" s="339">
        <f>'Mục tiêu tài chính'!AB142</f>
        <v>0</v>
      </c>
      <c r="H75" s="56"/>
      <c r="J75" s="6"/>
      <c r="K75" s="6"/>
      <c r="L75" s="6"/>
      <c r="M75" s="6"/>
      <c r="N75" s="6"/>
    </row>
    <row r="76" spans="5:14" ht="15" x14ac:dyDescent="0.55000000000000004">
      <c r="E76" s="29">
        <v>61</v>
      </c>
      <c r="F76" s="54"/>
      <c r="G76" s="339">
        <f>'Mục tiêu tài chính'!AB143</f>
        <v>0</v>
      </c>
      <c r="H76" s="56"/>
      <c r="J76" s="6"/>
      <c r="K76" s="6"/>
      <c r="L76" s="6"/>
      <c r="M76" s="6"/>
      <c r="N76" s="6"/>
    </row>
    <row r="77" spans="5:14" ht="15" x14ac:dyDescent="0.55000000000000004">
      <c r="E77" s="29">
        <v>62</v>
      </c>
      <c r="F77" s="54"/>
      <c r="G77" s="339">
        <f>'Mục tiêu tài chính'!AB144</f>
        <v>0</v>
      </c>
      <c r="H77" s="56"/>
      <c r="J77" s="6"/>
    </row>
    <row r="78" spans="5:14" ht="15" x14ac:dyDescent="0.55000000000000004">
      <c r="E78" s="29">
        <v>63</v>
      </c>
      <c r="F78" s="54"/>
      <c r="G78" s="339">
        <f>'Mục tiêu tài chính'!AB145</f>
        <v>0</v>
      </c>
      <c r="H78" s="56"/>
      <c r="J78" s="6"/>
    </row>
    <row r="79" spans="5:14" ht="15" x14ac:dyDescent="0.55000000000000004">
      <c r="E79" s="29">
        <v>64</v>
      </c>
      <c r="F79" s="54"/>
      <c r="G79" s="339">
        <f>'Mục tiêu tài chính'!AB146</f>
        <v>0</v>
      </c>
      <c r="H79" s="56"/>
      <c r="J79" s="6"/>
    </row>
    <row r="80" spans="5:14" ht="15" x14ac:dyDescent="0.55000000000000004">
      <c r="E80" s="29">
        <v>65</v>
      </c>
      <c r="F80" s="54"/>
      <c r="G80" s="339">
        <f>'Mục tiêu tài chính'!AB147</f>
        <v>0</v>
      </c>
      <c r="H80" s="56"/>
    </row>
    <row r="81" spans="5:9" ht="15" x14ac:dyDescent="0.55000000000000004">
      <c r="E81" s="29">
        <v>66</v>
      </c>
      <c r="F81" s="54"/>
      <c r="G81" s="339">
        <f>'Mục tiêu tài chính'!AB148</f>
        <v>0</v>
      </c>
      <c r="H81" s="56"/>
    </row>
    <row r="82" spans="5:9" ht="15" x14ac:dyDescent="0.55000000000000004">
      <c r="E82" s="29">
        <v>67</v>
      </c>
      <c r="F82" s="54"/>
      <c r="G82" s="339">
        <f>'Mục tiêu tài chính'!AB149</f>
        <v>0</v>
      </c>
      <c r="H82" s="56"/>
    </row>
    <row r="83" spans="5:9" ht="15" x14ac:dyDescent="0.55000000000000004">
      <c r="E83" s="29">
        <v>68</v>
      </c>
      <c r="F83" s="54"/>
      <c r="G83" s="339">
        <f>'Mục tiêu tài chính'!AB150</f>
        <v>0</v>
      </c>
      <c r="H83" s="56"/>
    </row>
    <row r="84" spans="5:9" ht="15" x14ac:dyDescent="0.55000000000000004">
      <c r="E84" s="29">
        <v>69</v>
      </c>
      <c r="F84" s="54"/>
      <c r="G84" s="339">
        <f>'Mục tiêu tài chính'!AB151</f>
        <v>0</v>
      </c>
      <c r="H84" s="56"/>
    </row>
    <row r="85" spans="5:9" ht="15.4" thickBot="1" x14ac:dyDescent="0.6">
      <c r="E85" s="30">
        <v>70</v>
      </c>
      <c r="F85" s="258"/>
      <c r="G85" s="340">
        <f>'Mục tiêu tài chính'!AB152</f>
        <v>0</v>
      </c>
      <c r="H85" s="259"/>
    </row>
    <row r="86" spans="5:9" x14ac:dyDescent="0.45">
      <c r="E86" s="6"/>
      <c r="F86" s="6"/>
      <c r="G86" s="6"/>
      <c r="H86" s="6"/>
      <c r="I86" s="6"/>
    </row>
    <row r="87" spans="5:9" x14ac:dyDescent="0.45"/>
    <row r="88" spans="5:9" x14ac:dyDescent="0.45"/>
    <row r="89" spans="5:9" x14ac:dyDescent="0.45"/>
    <row r="90" spans="5:9" x14ac:dyDescent="0.45"/>
    <row r="98" spans="5:9" hidden="1" x14ac:dyDescent="0.45">
      <c r="E98" s="6"/>
      <c r="F98" s="6"/>
      <c r="G98" s="6"/>
      <c r="H98" s="6"/>
      <c r="I98" s="6"/>
    </row>
    <row r="99" spans="5:9" hidden="1" x14ac:dyDescent="0.45">
      <c r="E99" s="6"/>
      <c r="F99" s="6"/>
      <c r="G99" s="6"/>
      <c r="H99" s="6"/>
      <c r="I99" s="6"/>
    </row>
    <row r="100" spans="5:9" hidden="1" x14ac:dyDescent="0.45">
      <c r="E100" s="6"/>
      <c r="F100" s="6"/>
      <c r="G100" s="6"/>
      <c r="H100" s="6"/>
      <c r="I100" s="6"/>
    </row>
    <row r="101" spans="5:9" hidden="1" x14ac:dyDescent="0.45">
      <c r="E101" s="6"/>
      <c r="F101" s="6"/>
      <c r="G101" s="6"/>
      <c r="H101" s="6"/>
      <c r="I101" s="6"/>
    </row>
    <row r="102" spans="5:9" hidden="1" x14ac:dyDescent="0.45">
      <c r="E102" s="6"/>
      <c r="F102" s="6"/>
      <c r="G102" s="6"/>
      <c r="H102" s="6"/>
      <c r="I102" s="6"/>
    </row>
    <row r="103" spans="5:9" hidden="1" x14ac:dyDescent="0.45">
      <c r="E103" s="6"/>
      <c r="F103" s="6"/>
      <c r="G103" s="6"/>
      <c r="H103" s="6"/>
      <c r="I103" s="6"/>
    </row>
    <row r="104" spans="5:9" hidden="1" x14ac:dyDescent="0.45">
      <c r="E104" s="6"/>
      <c r="F104" s="6"/>
      <c r="G104" s="6"/>
      <c r="H104" s="6"/>
      <c r="I104" s="6"/>
    </row>
  </sheetData>
  <sheetProtection algorithmName="SHA-512" hashValue="zIXng3hrIufyyOAYWBf4lxnqwHsSlpoYR1s9gKkZ581h4YdGmOIM4f6EqAdYWSQVbba0fQkWyJwVFeaGm/8wXg==" saltValue="Ckv0r/wPDJvjLXQzAMqM0g==" spinCount="100000" sheet="1" objects="1" scenarios="1" formatCells="0" formatColumns="0" formatRows="0"/>
  <mergeCells count="52">
    <mergeCell ref="M29:N29"/>
    <mergeCell ref="G22:N22"/>
    <mergeCell ref="O24:P24"/>
    <mergeCell ref="O25:P25"/>
    <mergeCell ref="O26:P26"/>
    <mergeCell ref="O27:P27"/>
    <mergeCell ref="O28:P28"/>
    <mergeCell ref="O29:P29"/>
    <mergeCell ref="M23:N23"/>
    <mergeCell ref="M24:N24"/>
    <mergeCell ref="M25:N25"/>
    <mergeCell ref="M26:N26"/>
    <mergeCell ref="M27:N27"/>
    <mergeCell ref="M28:N28"/>
    <mergeCell ref="K24:L24"/>
    <mergeCell ref="K25:L25"/>
    <mergeCell ref="Q29:V29"/>
    <mergeCell ref="O22:P23"/>
    <mergeCell ref="Q22:V23"/>
    <mergeCell ref="Q24:V24"/>
    <mergeCell ref="Q25:V25"/>
    <mergeCell ref="Q26:V26"/>
    <mergeCell ref="Q27:V27"/>
    <mergeCell ref="Q28:V28"/>
    <mergeCell ref="K29:L29"/>
    <mergeCell ref="G27:H27"/>
    <mergeCell ref="G28:H28"/>
    <mergeCell ref="G29:H29"/>
    <mergeCell ref="I23:J23"/>
    <mergeCell ref="I24:J24"/>
    <mergeCell ref="I25:J25"/>
    <mergeCell ref="I26:J26"/>
    <mergeCell ref="I27:J27"/>
    <mergeCell ref="I28:J28"/>
    <mergeCell ref="I29:J29"/>
    <mergeCell ref="K23:L23"/>
    <mergeCell ref="E1:K3"/>
    <mergeCell ref="F34:F36"/>
    <mergeCell ref="G34:G36"/>
    <mergeCell ref="H34:H36"/>
    <mergeCell ref="E34:E36"/>
    <mergeCell ref="E31:M32"/>
    <mergeCell ref="E19:N20"/>
    <mergeCell ref="K26:L26"/>
    <mergeCell ref="K27:L27"/>
    <mergeCell ref="K28:L28"/>
    <mergeCell ref="G24:H24"/>
    <mergeCell ref="G25:H25"/>
    <mergeCell ref="E22:E23"/>
    <mergeCell ref="G23:H23"/>
    <mergeCell ref="F22:F23"/>
    <mergeCell ref="G26:H26"/>
  </mergeCells>
  <conditionalFormatting sqref="O24:P29">
    <cfRule type="dataBar" priority="62">
      <dataBar>
        <cfvo type="min"/>
        <cfvo type="max"/>
        <color theme="6"/>
      </dataBar>
      <extLst>
        <ext xmlns:x14="http://schemas.microsoft.com/office/spreadsheetml/2009/9/main" uri="{B025F937-C7B1-47D3-B67F-A62EFF666E3E}">
          <x14:id>{04B0B57E-F7BE-4EA4-A4B3-BAF816E92E18}</x14:id>
        </ext>
      </extLst>
    </cfRule>
  </conditionalFormatting>
  <dataValidations count="5">
    <dataValidation allowBlank="1" showInputMessage="1" showErrorMessage="1" prompt="Nhập dữ liệu thu nhập bạn đã kiếm được trong quá khứ" sqref="F37:F85" xr:uid="{00000000-0002-0000-0400-000000000000}"/>
    <dataValidation allowBlank="1" showInputMessage="1" showErrorMessage="1" prompt="Nhập mức thu nhập bình quân của ngành bạn đang làm" sqref="H37:H85" xr:uid="{00000000-0002-0000-0400-000001000000}"/>
    <dataValidation allowBlank="1" showInputMessage="1" showErrorMessage="1" prompt="Lấy dữ liệu tại cột Thu nhập cần có - Phần 2 - Sheet Mục tiêu tài chính" sqref="G37:G85" xr:uid="{00000000-0002-0000-0400-000002000000}"/>
    <dataValidation allowBlank="1" showInputMessage="1" showErrorMessage="1" prompt="Xem dữ liệu" sqref="E22:E29 F22 F24:F29 G22:P29" xr:uid="{00000000-0002-0000-0400-000003000000}"/>
    <dataValidation allowBlank="1" showInputMessage="1" showErrorMessage="1" prompt="Nhập dữ liệu" sqref="Q24:V29" xr:uid="{00000000-0002-0000-0400-000004000000}"/>
  </dataValidations>
  <hyperlinks>
    <hyperlink ref="F4" location="'Cân đối lộ trình nghề nghiệp'!E20" display="Phần 1" xr:uid="{00000000-0004-0000-0400-000000000000}"/>
    <hyperlink ref="G4" location="'Cân đối lộ trình nghề nghiệp'!E32" display="Phần 2" xr:uid="{00000000-0004-0000-0400-000001000000}"/>
  </hyperlinks>
  <pageMargins left="0.7" right="0.7" top="0.75" bottom="0.75" header="0.3" footer="0.3"/>
  <pageSetup scale="31" orientation="portrait" r:id="rId1"/>
  <drawing r:id="rId2"/>
  <extLst>
    <ext xmlns:x14="http://schemas.microsoft.com/office/spreadsheetml/2009/9/main" uri="{78C0D931-6437-407d-A8EE-F0AAD7539E65}">
      <x14:conditionalFormattings>
        <x14:conditionalFormatting xmlns:xm="http://schemas.microsoft.com/office/excel/2006/main">
          <x14:cfRule type="dataBar" id="{04B0B57E-F7BE-4EA4-A4B3-BAF816E92E18}">
            <x14:dataBar minLength="0" maxLength="100" gradient="0">
              <x14:cfvo type="autoMin"/>
              <x14:cfvo type="autoMax"/>
              <x14:negativeFillColor rgb="FFFF0000"/>
              <x14:axisColor rgb="FF000000"/>
            </x14:dataBar>
          </x14:cfRule>
          <xm:sqref>O24:P29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sheetPr>
  <dimension ref="A1:AC41"/>
  <sheetViews>
    <sheetView showGridLines="0" zoomScale="80" zoomScaleNormal="80" workbookViewId="0">
      <pane xSplit="4" ySplit="4" topLeftCell="E5" activePane="bottomRight" state="frozen"/>
      <selection pane="topRight" activeCell="E1" sqref="E1"/>
      <selection pane="bottomLeft" activeCell="A5" sqref="A5"/>
      <selection pane="bottomRight" activeCell="F12" sqref="F12:K12"/>
    </sheetView>
  </sheetViews>
  <sheetFormatPr defaultColWidth="9.19921875" defaultRowHeight="14.25" x14ac:dyDescent="0.45"/>
  <cols>
    <col min="1" max="3" width="9.19921875" style="1"/>
    <col min="4" max="5" width="9.19921875" style="4"/>
    <col min="6" max="8" width="13.19921875" style="4" customWidth="1"/>
    <col min="9" max="9" width="12.796875" style="4" customWidth="1"/>
    <col min="10" max="16384" width="9.19921875" style="4"/>
  </cols>
  <sheetData>
    <row r="1" spans="1:29" s="2" customFormat="1" ht="15" customHeight="1" x14ac:dyDescent="0.45">
      <c r="A1" s="1"/>
      <c r="B1" s="1"/>
      <c r="C1" s="1"/>
      <c r="E1" s="353" t="s">
        <v>360</v>
      </c>
      <c r="F1" s="353"/>
      <c r="G1" s="353"/>
      <c r="H1" s="353"/>
      <c r="I1" s="353"/>
      <c r="J1" s="353"/>
      <c r="K1" s="353"/>
      <c r="L1" s="353"/>
      <c r="M1" s="353"/>
      <c r="N1" s="353"/>
      <c r="O1" s="353"/>
      <c r="P1" s="353"/>
      <c r="Q1" s="353"/>
    </row>
    <row r="2" spans="1:29" s="2" customFormat="1" ht="15" customHeight="1" x14ac:dyDescent="0.45">
      <c r="A2" s="1"/>
      <c r="B2" s="1"/>
      <c r="C2" s="1"/>
      <c r="E2" s="353"/>
      <c r="F2" s="353"/>
      <c r="G2" s="353"/>
      <c r="H2" s="353"/>
      <c r="I2" s="353"/>
      <c r="J2" s="353"/>
      <c r="K2" s="353"/>
      <c r="L2" s="353"/>
      <c r="M2" s="353"/>
      <c r="N2" s="353"/>
      <c r="O2" s="353"/>
      <c r="P2" s="353"/>
      <c r="Q2" s="353"/>
    </row>
    <row r="3" spans="1:29" s="2" customFormat="1" ht="15.75" customHeight="1" thickBot="1" x14ac:dyDescent="0.5">
      <c r="A3" s="1"/>
      <c r="B3" s="1"/>
      <c r="C3" s="1"/>
      <c r="E3" s="353"/>
      <c r="F3" s="353"/>
      <c r="G3" s="353"/>
      <c r="H3" s="353"/>
      <c r="I3" s="353"/>
      <c r="J3" s="353"/>
      <c r="K3" s="353"/>
      <c r="L3" s="353"/>
      <c r="M3" s="353"/>
      <c r="N3" s="353"/>
      <c r="O3" s="353"/>
      <c r="P3" s="353"/>
      <c r="Q3" s="353"/>
      <c r="R3" s="3" t="s">
        <v>45</v>
      </c>
    </row>
    <row r="4" spans="1:29" ht="14.65" thickBot="1" x14ac:dyDescent="0.5">
      <c r="F4" s="154" t="s">
        <v>132</v>
      </c>
      <c r="G4" s="154" t="s">
        <v>133</v>
      </c>
    </row>
    <row r="5" spans="1:29" ht="15" customHeight="1" x14ac:dyDescent="0.45">
      <c r="F5" s="6"/>
      <c r="G5" s="6"/>
      <c r="H5" s="6"/>
      <c r="I5" s="6"/>
      <c r="J5" s="6"/>
      <c r="K5" s="6"/>
      <c r="L5" s="6"/>
      <c r="M5" s="6"/>
      <c r="N5" s="6"/>
      <c r="O5" s="6"/>
      <c r="P5" s="6"/>
      <c r="Q5" s="6"/>
      <c r="R5" s="6"/>
      <c r="S5" s="6"/>
      <c r="T5" s="6"/>
      <c r="U5" s="6"/>
      <c r="V5" s="6"/>
      <c r="W5" s="6"/>
      <c r="X5" s="6"/>
      <c r="Y5" s="6"/>
      <c r="Z5" s="6"/>
      <c r="AA5" s="6"/>
      <c r="AB5" s="6"/>
      <c r="AC5" s="6"/>
    </row>
    <row r="6" spans="1:29" ht="15" customHeight="1" x14ac:dyDescent="0.45">
      <c r="E6" s="532" t="s">
        <v>361</v>
      </c>
      <c r="F6" s="532"/>
      <c r="G6" s="532"/>
      <c r="H6" s="532"/>
      <c r="I6" s="532"/>
      <c r="J6" s="532"/>
      <c r="K6" s="532"/>
      <c r="L6" s="532"/>
      <c r="M6" s="532"/>
      <c r="N6" s="5"/>
      <c r="O6" s="5"/>
      <c r="P6" s="5"/>
      <c r="Q6" s="5"/>
      <c r="R6" s="5"/>
      <c r="S6" s="5"/>
      <c r="T6" s="6"/>
      <c r="U6" s="6"/>
      <c r="V6" s="6"/>
      <c r="W6" s="6"/>
      <c r="X6" s="6"/>
      <c r="Y6" s="6"/>
      <c r="Z6" s="6"/>
      <c r="AA6" s="6"/>
      <c r="AB6" s="6"/>
      <c r="AC6" s="6"/>
    </row>
    <row r="7" spans="1:29" s="8" customFormat="1" ht="15" customHeight="1" thickBot="1" x14ac:dyDescent="0.5">
      <c r="A7" s="7"/>
      <c r="B7" s="7"/>
      <c r="C7" s="7"/>
      <c r="E7" s="533"/>
      <c r="F7" s="533"/>
      <c r="G7" s="533"/>
      <c r="H7" s="533"/>
      <c r="I7" s="533"/>
      <c r="J7" s="533"/>
      <c r="K7" s="533"/>
      <c r="L7" s="533"/>
      <c r="M7" s="533"/>
      <c r="N7" s="9"/>
      <c r="O7" s="9"/>
      <c r="P7" s="9"/>
      <c r="Q7" s="9"/>
      <c r="R7" s="9"/>
      <c r="S7" s="9"/>
      <c r="T7" s="10"/>
      <c r="U7" s="10"/>
      <c r="V7" s="10"/>
      <c r="W7" s="10"/>
      <c r="X7" s="10"/>
      <c r="Y7" s="10"/>
      <c r="Z7" s="10"/>
      <c r="AA7" s="10"/>
      <c r="AB7" s="10"/>
      <c r="AC7" s="10"/>
    </row>
    <row r="8" spans="1:29" ht="15" customHeight="1" thickBot="1" x14ac:dyDescent="0.5">
      <c r="E8" s="6"/>
      <c r="F8" s="6"/>
      <c r="G8" s="6"/>
      <c r="H8" s="6"/>
      <c r="I8" s="6"/>
      <c r="J8" s="6"/>
      <c r="K8" s="6"/>
      <c r="L8" s="6"/>
      <c r="M8" s="6"/>
      <c r="N8" s="6"/>
      <c r="O8" s="6"/>
      <c r="P8" s="6"/>
      <c r="Q8" s="6"/>
      <c r="R8" s="6"/>
      <c r="S8" s="6"/>
      <c r="T8" s="6"/>
      <c r="U8" s="6"/>
      <c r="V8" s="6"/>
      <c r="W8" s="6"/>
      <c r="X8" s="6"/>
      <c r="Y8" s="6"/>
      <c r="Z8" s="6"/>
      <c r="AA8" s="6"/>
      <c r="AB8" s="6"/>
      <c r="AC8" s="6"/>
    </row>
    <row r="9" spans="1:29" ht="15.4" thickBot="1" x14ac:dyDescent="0.5">
      <c r="E9" s="50" t="s">
        <v>20</v>
      </c>
      <c r="F9" s="51"/>
      <c r="G9" s="51"/>
      <c r="H9" s="51"/>
      <c r="I9" s="51"/>
      <c r="J9" s="51"/>
      <c r="K9" s="51"/>
      <c r="L9" s="51"/>
      <c r="M9" s="51"/>
      <c r="N9" s="51"/>
      <c r="O9" s="52"/>
      <c r="P9" s="52"/>
      <c r="Q9" s="52"/>
      <c r="R9" s="52"/>
      <c r="S9" s="52"/>
      <c r="T9" s="52"/>
      <c r="U9" s="52"/>
      <c r="V9" s="52"/>
      <c r="W9" s="52"/>
      <c r="X9" s="52"/>
      <c r="Y9" s="52"/>
      <c r="Z9" s="52"/>
      <c r="AA9" s="52"/>
      <c r="AB9" s="52"/>
      <c r="AC9" s="53"/>
    </row>
    <row r="10" spans="1:29" x14ac:dyDescent="0.45">
      <c r="E10" s="46" t="s">
        <v>3</v>
      </c>
      <c r="F10" s="568" t="s">
        <v>4</v>
      </c>
      <c r="G10" s="568"/>
      <c r="H10" s="568"/>
      <c r="I10" s="568"/>
      <c r="J10" s="568"/>
      <c r="K10" s="568"/>
      <c r="L10" s="568" t="s">
        <v>121</v>
      </c>
      <c r="M10" s="568"/>
      <c r="N10" s="568" t="s">
        <v>122</v>
      </c>
      <c r="O10" s="568"/>
      <c r="P10" s="568"/>
      <c r="Q10" s="568"/>
      <c r="R10" s="568"/>
      <c r="S10" s="568"/>
      <c r="T10" s="568"/>
      <c r="U10" s="568"/>
      <c r="V10" s="568" t="s">
        <v>123</v>
      </c>
      <c r="W10" s="568"/>
      <c r="X10" s="568"/>
      <c r="Y10" s="568"/>
      <c r="Z10" s="568"/>
      <c r="AA10" s="568"/>
      <c r="AB10" s="568"/>
      <c r="AC10" s="569"/>
    </row>
    <row r="11" spans="1:29" x14ac:dyDescent="0.45">
      <c r="E11" s="47">
        <f>'Từ khóa'!L12</f>
        <v>1</v>
      </c>
      <c r="F11" s="570" t="str">
        <f>'Từ khóa'!M12</f>
        <v>Lương từ công ty</v>
      </c>
      <c r="G11" s="570"/>
      <c r="H11" s="570"/>
      <c r="I11" s="570"/>
      <c r="J11" s="570"/>
      <c r="K11" s="570"/>
      <c r="L11" s="583">
        <v>20</v>
      </c>
      <c r="M11" s="583"/>
      <c r="N11" s="572"/>
      <c r="O11" s="572"/>
      <c r="P11" s="572"/>
      <c r="Q11" s="572"/>
      <c r="R11" s="572"/>
      <c r="S11" s="572"/>
      <c r="T11" s="572"/>
      <c r="U11" s="572"/>
      <c r="V11" s="572"/>
      <c r="W11" s="572"/>
      <c r="X11" s="572"/>
      <c r="Y11" s="572"/>
      <c r="Z11" s="572"/>
      <c r="AA11" s="572"/>
      <c r="AB11" s="572"/>
      <c r="AC11" s="588"/>
    </row>
    <row r="12" spans="1:29" x14ac:dyDescent="0.45">
      <c r="E12" s="48">
        <f>'Từ khóa'!L13</f>
        <v>2</v>
      </c>
      <c r="F12" s="571" t="str">
        <f>'Từ khóa'!M13</f>
        <v>Thu nhập khác</v>
      </c>
      <c r="G12" s="571"/>
      <c r="H12" s="571"/>
      <c r="I12" s="571"/>
      <c r="J12" s="571"/>
      <c r="K12" s="571"/>
      <c r="L12" s="567">
        <v>10</v>
      </c>
      <c r="M12" s="567"/>
      <c r="N12" s="573"/>
      <c r="O12" s="573"/>
      <c r="P12" s="573"/>
      <c r="Q12" s="573"/>
      <c r="R12" s="573"/>
      <c r="S12" s="573"/>
      <c r="T12" s="573"/>
      <c r="U12" s="573"/>
      <c r="V12" s="573"/>
      <c r="W12" s="573"/>
      <c r="X12" s="573"/>
      <c r="Y12" s="573"/>
      <c r="Z12" s="573"/>
      <c r="AA12" s="573"/>
      <c r="AB12" s="573"/>
      <c r="AC12" s="574"/>
    </row>
    <row r="13" spans="1:29" x14ac:dyDescent="0.45">
      <c r="E13" s="48">
        <f>'Từ khóa'!L14</f>
        <v>3</v>
      </c>
      <c r="F13" s="571">
        <f>'Từ khóa'!M14</f>
        <v>0</v>
      </c>
      <c r="G13" s="571"/>
      <c r="H13" s="571"/>
      <c r="I13" s="571"/>
      <c r="J13" s="571"/>
      <c r="K13" s="571"/>
      <c r="L13" s="567"/>
      <c r="M13" s="567"/>
      <c r="N13" s="573"/>
      <c r="O13" s="573"/>
      <c r="P13" s="573"/>
      <c r="Q13" s="573"/>
      <c r="R13" s="573"/>
      <c r="S13" s="573"/>
      <c r="T13" s="573"/>
      <c r="U13" s="573"/>
      <c r="V13" s="573"/>
      <c r="W13" s="573"/>
      <c r="X13" s="573"/>
      <c r="Y13" s="573"/>
      <c r="Z13" s="573"/>
      <c r="AA13" s="573"/>
      <c r="AB13" s="573"/>
      <c r="AC13" s="574"/>
    </row>
    <row r="14" spans="1:29" x14ac:dyDescent="0.45">
      <c r="E14" s="48">
        <f>'Từ khóa'!L15</f>
        <v>4</v>
      </c>
      <c r="F14" s="571">
        <f>'Từ khóa'!M15</f>
        <v>0</v>
      </c>
      <c r="G14" s="571"/>
      <c r="H14" s="571"/>
      <c r="I14" s="571"/>
      <c r="J14" s="571"/>
      <c r="K14" s="571"/>
      <c r="L14" s="567"/>
      <c r="M14" s="567"/>
      <c r="N14" s="573"/>
      <c r="O14" s="573"/>
      <c r="P14" s="573"/>
      <c r="Q14" s="573"/>
      <c r="R14" s="573"/>
      <c r="S14" s="573"/>
      <c r="T14" s="573"/>
      <c r="U14" s="573"/>
      <c r="V14" s="573"/>
      <c r="W14" s="573"/>
      <c r="X14" s="573"/>
      <c r="Y14" s="573"/>
      <c r="Z14" s="573"/>
      <c r="AA14" s="573"/>
      <c r="AB14" s="573"/>
      <c r="AC14" s="574"/>
    </row>
    <row r="15" spans="1:29" x14ac:dyDescent="0.45">
      <c r="E15" s="48">
        <f>'Từ khóa'!L16</f>
        <v>5</v>
      </c>
      <c r="F15" s="571">
        <f>'Từ khóa'!M16</f>
        <v>0</v>
      </c>
      <c r="G15" s="571"/>
      <c r="H15" s="571"/>
      <c r="I15" s="571"/>
      <c r="J15" s="571"/>
      <c r="K15" s="571"/>
      <c r="L15" s="567"/>
      <c r="M15" s="567"/>
      <c r="N15" s="573"/>
      <c r="O15" s="573"/>
      <c r="P15" s="573"/>
      <c r="Q15" s="573"/>
      <c r="R15" s="573"/>
      <c r="S15" s="573"/>
      <c r="T15" s="573"/>
      <c r="U15" s="573"/>
      <c r="V15" s="573"/>
      <c r="W15" s="573"/>
      <c r="X15" s="573"/>
      <c r="Y15" s="573"/>
      <c r="Z15" s="573"/>
      <c r="AA15" s="573"/>
      <c r="AB15" s="573"/>
      <c r="AC15" s="574"/>
    </row>
    <row r="16" spans="1:29" x14ac:dyDescent="0.45">
      <c r="E16" s="48">
        <f>'Từ khóa'!L17</f>
        <v>6</v>
      </c>
      <c r="F16" s="571">
        <f>'Từ khóa'!M17</f>
        <v>0</v>
      </c>
      <c r="G16" s="571"/>
      <c r="H16" s="571"/>
      <c r="I16" s="571"/>
      <c r="J16" s="571"/>
      <c r="K16" s="571"/>
      <c r="L16" s="567"/>
      <c r="M16" s="567"/>
      <c r="N16" s="573"/>
      <c r="O16" s="573"/>
      <c r="P16" s="573"/>
      <c r="Q16" s="573"/>
      <c r="R16" s="573"/>
      <c r="S16" s="573"/>
      <c r="T16" s="573"/>
      <c r="U16" s="573"/>
      <c r="V16" s="573"/>
      <c r="W16" s="573"/>
      <c r="X16" s="573"/>
      <c r="Y16" s="573"/>
      <c r="Z16" s="573"/>
      <c r="AA16" s="573"/>
      <c r="AB16" s="573"/>
      <c r="AC16" s="574"/>
    </row>
    <row r="17" spans="1:29" x14ac:dyDescent="0.45">
      <c r="E17" s="48">
        <f>'Từ khóa'!L18</f>
        <v>7</v>
      </c>
      <c r="F17" s="571">
        <f>'Từ khóa'!M18</f>
        <v>0</v>
      </c>
      <c r="G17" s="571"/>
      <c r="H17" s="571"/>
      <c r="I17" s="571"/>
      <c r="J17" s="571"/>
      <c r="K17" s="571"/>
      <c r="L17" s="567"/>
      <c r="M17" s="567"/>
      <c r="N17" s="573"/>
      <c r="O17" s="573"/>
      <c r="P17" s="573"/>
      <c r="Q17" s="573"/>
      <c r="R17" s="573"/>
      <c r="S17" s="573"/>
      <c r="T17" s="573"/>
      <c r="U17" s="573"/>
      <c r="V17" s="573"/>
      <c r="W17" s="573"/>
      <c r="X17" s="573"/>
      <c r="Y17" s="573"/>
      <c r="Z17" s="573"/>
      <c r="AA17" s="573"/>
      <c r="AB17" s="573"/>
      <c r="AC17" s="574"/>
    </row>
    <row r="18" spans="1:29" x14ac:dyDescent="0.45">
      <c r="E18" s="49">
        <f>'Từ khóa'!L19</f>
        <v>8</v>
      </c>
      <c r="F18" s="575">
        <f>'Từ khóa'!M19</f>
        <v>0</v>
      </c>
      <c r="G18" s="575"/>
      <c r="H18" s="575"/>
      <c r="I18" s="575"/>
      <c r="J18" s="575"/>
      <c r="K18" s="575"/>
      <c r="L18" s="567"/>
      <c r="M18" s="567"/>
      <c r="N18" s="573"/>
      <c r="O18" s="573"/>
      <c r="P18" s="573"/>
      <c r="Q18" s="573"/>
      <c r="R18" s="573"/>
      <c r="S18" s="573"/>
      <c r="T18" s="573"/>
      <c r="U18" s="573"/>
      <c r="V18" s="573"/>
      <c r="W18" s="573"/>
      <c r="X18" s="573"/>
      <c r="Y18" s="573"/>
      <c r="Z18" s="573"/>
      <c r="AA18" s="573"/>
      <c r="AB18" s="573"/>
      <c r="AC18" s="574"/>
    </row>
    <row r="19" spans="1:29" ht="16.149999999999999" thickBot="1" x14ac:dyDescent="0.5">
      <c r="E19" s="584" t="s">
        <v>124</v>
      </c>
      <c r="F19" s="585"/>
      <c r="G19" s="585"/>
      <c r="H19" s="585"/>
      <c r="I19" s="585"/>
      <c r="J19" s="585"/>
      <c r="K19" s="585"/>
      <c r="L19" s="586">
        <f>SUM(L11:M18)</f>
        <v>30</v>
      </c>
      <c r="M19" s="586"/>
      <c r="N19" s="586"/>
      <c r="O19" s="586"/>
      <c r="P19" s="586"/>
      <c r="Q19" s="586"/>
      <c r="R19" s="586"/>
      <c r="S19" s="586"/>
      <c r="T19" s="586"/>
      <c r="U19" s="586"/>
      <c r="V19" s="586"/>
      <c r="W19" s="586"/>
      <c r="X19" s="586"/>
      <c r="Y19" s="586"/>
      <c r="Z19" s="586"/>
      <c r="AA19" s="586"/>
      <c r="AB19" s="586"/>
      <c r="AC19" s="587"/>
    </row>
    <row r="21" spans="1:29" ht="15" customHeight="1" x14ac:dyDescent="0.45">
      <c r="E21" s="532" t="s">
        <v>318</v>
      </c>
      <c r="F21" s="532"/>
      <c r="G21" s="532"/>
      <c r="H21" s="532"/>
      <c r="I21" s="532"/>
      <c r="J21" s="532"/>
      <c r="K21" s="532"/>
      <c r="L21" s="532"/>
      <c r="M21" s="532"/>
      <c r="N21" s="5"/>
      <c r="O21" s="5"/>
      <c r="P21" s="5"/>
      <c r="Q21" s="5"/>
      <c r="R21" s="5"/>
      <c r="S21" s="5"/>
      <c r="T21" s="6"/>
      <c r="U21" s="6"/>
      <c r="V21" s="6"/>
      <c r="W21" s="6"/>
      <c r="X21" s="6"/>
      <c r="Y21" s="6"/>
      <c r="Z21" s="6"/>
      <c r="AA21" s="6"/>
      <c r="AB21" s="6"/>
      <c r="AC21" s="6"/>
    </row>
    <row r="22" spans="1:29" s="8" customFormat="1" ht="15" customHeight="1" thickBot="1" x14ac:dyDescent="0.5">
      <c r="A22" s="7"/>
      <c r="B22" s="7"/>
      <c r="C22" s="7"/>
      <c r="E22" s="533"/>
      <c r="F22" s="533"/>
      <c r="G22" s="533"/>
      <c r="H22" s="533"/>
      <c r="I22" s="533"/>
      <c r="J22" s="533"/>
      <c r="K22" s="533"/>
      <c r="L22" s="533"/>
      <c r="M22" s="533"/>
      <c r="N22" s="9"/>
      <c r="O22" s="9"/>
      <c r="P22" s="9"/>
      <c r="Q22" s="9"/>
      <c r="R22" s="9"/>
      <c r="S22" s="9"/>
      <c r="T22" s="10"/>
      <c r="U22" s="10"/>
      <c r="V22" s="10"/>
      <c r="W22" s="10"/>
      <c r="X22" s="10"/>
      <c r="Y22" s="10"/>
      <c r="Z22" s="10"/>
      <c r="AA22" s="10"/>
      <c r="AB22" s="10"/>
      <c r="AC22" s="10"/>
    </row>
    <row r="23" spans="1:29" ht="14.65" thickBot="1" x14ac:dyDescent="0.5"/>
    <row r="24" spans="1:29" ht="15.4" thickBot="1" x14ac:dyDescent="0.5">
      <c r="E24" s="84" t="s">
        <v>316</v>
      </c>
      <c r="F24" s="85"/>
      <c r="G24" s="85"/>
      <c r="H24" s="85"/>
      <c r="I24" s="85"/>
      <c r="J24" s="85"/>
      <c r="K24" s="85"/>
      <c r="L24" s="85"/>
      <c r="M24" s="85"/>
      <c r="N24" s="85"/>
      <c r="O24" s="86"/>
      <c r="P24" s="86"/>
      <c r="Q24" s="86"/>
      <c r="R24" s="86"/>
      <c r="S24" s="86"/>
      <c r="T24" s="86"/>
      <c r="U24" s="86"/>
      <c r="V24" s="86"/>
      <c r="W24" s="86"/>
      <c r="X24" s="86"/>
      <c r="Y24" s="86"/>
      <c r="Z24" s="86"/>
      <c r="AA24" s="86"/>
      <c r="AB24" s="86"/>
      <c r="AC24" s="87"/>
    </row>
    <row r="25" spans="1:29" x14ac:dyDescent="0.45">
      <c r="E25" s="88" t="s">
        <v>3</v>
      </c>
      <c r="F25" s="579" t="s">
        <v>4</v>
      </c>
      <c r="G25" s="579"/>
      <c r="H25" s="579"/>
      <c r="I25" s="579"/>
      <c r="J25" s="579"/>
      <c r="K25" s="579"/>
      <c r="L25" s="579" t="s">
        <v>315</v>
      </c>
      <c r="M25" s="579"/>
      <c r="N25" s="579" t="s">
        <v>122</v>
      </c>
      <c r="O25" s="579"/>
      <c r="P25" s="579"/>
      <c r="Q25" s="579"/>
      <c r="R25" s="579"/>
      <c r="S25" s="579"/>
      <c r="T25" s="579"/>
      <c r="U25" s="579"/>
      <c r="V25" s="579" t="s">
        <v>123</v>
      </c>
      <c r="W25" s="579"/>
      <c r="X25" s="579"/>
      <c r="Y25" s="579"/>
      <c r="Z25" s="579"/>
      <c r="AA25" s="579"/>
      <c r="AB25" s="579"/>
      <c r="AC25" s="580"/>
    </row>
    <row r="26" spans="1:29" ht="15" x14ac:dyDescent="0.45">
      <c r="E26" s="47">
        <f>'Từ khóa'!E12</f>
        <v>1</v>
      </c>
      <c r="F26" s="576" t="str">
        <f>'Từ khóa'!F12</f>
        <v>Mua thực phẩm</v>
      </c>
      <c r="G26" s="577"/>
      <c r="H26" s="577"/>
      <c r="I26" s="577"/>
      <c r="J26" s="577"/>
      <c r="K26" s="578"/>
      <c r="L26" s="581">
        <v>5</v>
      </c>
      <c r="M26" s="582"/>
      <c r="N26" s="573"/>
      <c r="O26" s="573"/>
      <c r="P26" s="573"/>
      <c r="Q26" s="573"/>
      <c r="R26" s="573"/>
      <c r="S26" s="573"/>
      <c r="T26" s="573"/>
      <c r="U26" s="573"/>
      <c r="V26" s="573"/>
      <c r="W26" s="573"/>
      <c r="X26" s="573"/>
      <c r="Y26" s="573"/>
      <c r="Z26" s="573"/>
      <c r="AA26" s="573"/>
      <c r="AB26" s="573"/>
      <c r="AC26" s="574"/>
    </row>
    <row r="27" spans="1:29" ht="15" x14ac:dyDescent="0.45">
      <c r="E27" s="47">
        <f>'Từ khóa'!E13</f>
        <v>2</v>
      </c>
      <c r="F27" s="576" t="str">
        <f>'Từ khóa'!F13</f>
        <v>Mua đồ dùng trong nhà</v>
      </c>
      <c r="G27" s="577"/>
      <c r="H27" s="577"/>
      <c r="I27" s="577"/>
      <c r="J27" s="577"/>
      <c r="K27" s="578"/>
      <c r="L27" s="594">
        <v>0.5</v>
      </c>
      <c r="M27" s="595">
        <v>1</v>
      </c>
      <c r="N27" s="573"/>
      <c r="O27" s="573"/>
      <c r="P27" s="573"/>
      <c r="Q27" s="573"/>
      <c r="R27" s="573"/>
      <c r="S27" s="573"/>
      <c r="T27" s="573"/>
      <c r="U27" s="573"/>
      <c r="V27" s="573"/>
      <c r="W27" s="573"/>
      <c r="X27" s="573"/>
      <c r="Y27" s="573"/>
      <c r="Z27" s="573"/>
      <c r="AA27" s="573"/>
      <c r="AB27" s="573"/>
      <c r="AC27" s="574"/>
    </row>
    <row r="28" spans="1:29" ht="15" x14ac:dyDescent="0.45">
      <c r="E28" s="47">
        <f>'Từ khóa'!E14</f>
        <v>3</v>
      </c>
      <c r="F28" s="576" t="str">
        <f>'Từ khóa'!F14</f>
        <v>Đi ăn ở ngoài</v>
      </c>
      <c r="G28" s="577"/>
      <c r="H28" s="577"/>
      <c r="I28" s="577"/>
      <c r="J28" s="577"/>
      <c r="K28" s="578"/>
      <c r="L28" s="594">
        <v>2</v>
      </c>
      <c r="M28" s="595">
        <v>0.5</v>
      </c>
      <c r="N28" s="573"/>
      <c r="O28" s="573"/>
      <c r="P28" s="573"/>
      <c r="Q28" s="573"/>
      <c r="R28" s="573"/>
      <c r="S28" s="573"/>
      <c r="T28" s="573"/>
      <c r="U28" s="573"/>
      <c r="V28" s="573"/>
      <c r="W28" s="573"/>
      <c r="X28" s="573"/>
      <c r="Y28" s="573"/>
      <c r="Z28" s="573"/>
      <c r="AA28" s="573"/>
      <c r="AB28" s="573"/>
      <c r="AC28" s="574"/>
    </row>
    <row r="29" spans="1:29" ht="15" x14ac:dyDescent="0.45">
      <c r="E29" s="47">
        <f>'Từ khóa'!E15</f>
        <v>4</v>
      </c>
      <c r="F29" s="576" t="str">
        <f>'Từ khóa'!F15</f>
        <v>Chi tiền phát triển bản thân</v>
      </c>
      <c r="G29" s="577"/>
      <c r="H29" s="577"/>
      <c r="I29" s="577"/>
      <c r="J29" s="577"/>
      <c r="K29" s="578"/>
      <c r="L29" s="594">
        <v>1.5</v>
      </c>
      <c r="M29" s="595">
        <v>11</v>
      </c>
      <c r="N29" s="573"/>
      <c r="O29" s="573"/>
      <c r="P29" s="573"/>
      <c r="Q29" s="573"/>
      <c r="R29" s="573"/>
      <c r="S29" s="573"/>
      <c r="T29" s="573"/>
      <c r="U29" s="573"/>
      <c r="V29" s="573"/>
      <c r="W29" s="573"/>
      <c r="X29" s="573"/>
      <c r="Y29" s="573"/>
      <c r="Z29" s="573"/>
      <c r="AA29" s="573"/>
      <c r="AB29" s="573"/>
      <c r="AC29" s="574"/>
    </row>
    <row r="30" spans="1:29" ht="15" x14ac:dyDescent="0.45">
      <c r="E30" s="47">
        <f>'Từ khóa'!E16</f>
        <v>5</v>
      </c>
      <c r="F30" s="576" t="str">
        <f>'Từ khóa'!F16</f>
        <v>Chi tiền bảo hiểm</v>
      </c>
      <c r="G30" s="577"/>
      <c r="H30" s="577"/>
      <c r="I30" s="577"/>
      <c r="J30" s="577"/>
      <c r="K30" s="578"/>
      <c r="L30" s="594">
        <v>0</v>
      </c>
      <c r="M30" s="595">
        <v>4.5</v>
      </c>
      <c r="N30" s="573"/>
      <c r="O30" s="573"/>
      <c r="P30" s="573"/>
      <c r="Q30" s="573"/>
      <c r="R30" s="573"/>
      <c r="S30" s="573"/>
      <c r="T30" s="573"/>
      <c r="U30" s="573"/>
      <c r="V30" s="573"/>
      <c r="W30" s="573"/>
      <c r="X30" s="573"/>
      <c r="Y30" s="573"/>
      <c r="Z30" s="573"/>
      <c r="AA30" s="573"/>
      <c r="AB30" s="573"/>
      <c r="AC30" s="574"/>
    </row>
    <row r="31" spans="1:29" ht="15" x14ac:dyDescent="0.45">
      <c r="E31" s="47">
        <f>'Từ khóa'!E17</f>
        <v>6</v>
      </c>
      <c r="F31" s="576" t="str">
        <f>'Từ khóa'!F17</f>
        <v>Chi tiền điện, nước, internet, điện thoại, xăng xe</v>
      </c>
      <c r="G31" s="577"/>
      <c r="H31" s="577"/>
      <c r="I31" s="577"/>
      <c r="J31" s="577"/>
      <c r="K31" s="578"/>
      <c r="L31" s="594">
        <v>2</v>
      </c>
      <c r="M31" s="595">
        <v>2</v>
      </c>
      <c r="N31" s="573"/>
      <c r="O31" s="573"/>
      <c r="P31" s="573"/>
      <c r="Q31" s="573"/>
      <c r="R31" s="573"/>
      <c r="S31" s="573"/>
      <c r="T31" s="573"/>
      <c r="U31" s="573"/>
      <c r="V31" s="573"/>
      <c r="W31" s="573"/>
      <c r="X31" s="573"/>
      <c r="Y31" s="573"/>
      <c r="Z31" s="573"/>
      <c r="AA31" s="573"/>
      <c r="AB31" s="573"/>
      <c r="AC31" s="574"/>
    </row>
    <row r="32" spans="1:29" ht="15" x14ac:dyDescent="0.45">
      <c r="E32" s="47">
        <f>'Từ khóa'!E18</f>
        <v>7</v>
      </c>
      <c r="F32" s="576" t="str">
        <f>'Từ khóa'!F18</f>
        <v>Chi tiền giải trí, quà tặng</v>
      </c>
      <c r="G32" s="577"/>
      <c r="H32" s="577"/>
      <c r="I32" s="577"/>
      <c r="J32" s="577"/>
      <c r="K32" s="578"/>
      <c r="L32" s="594">
        <v>0</v>
      </c>
      <c r="M32" s="595">
        <v>0.5</v>
      </c>
      <c r="N32" s="573"/>
      <c r="O32" s="573"/>
      <c r="P32" s="573"/>
      <c r="Q32" s="573"/>
      <c r="R32" s="573"/>
      <c r="S32" s="573"/>
      <c r="T32" s="573"/>
      <c r="U32" s="573"/>
      <c r="V32" s="573"/>
      <c r="W32" s="573"/>
      <c r="X32" s="573"/>
      <c r="Y32" s="573"/>
      <c r="Z32" s="573"/>
      <c r="AA32" s="573"/>
      <c r="AB32" s="573"/>
      <c r="AC32" s="574"/>
    </row>
    <row r="33" spans="5:29" ht="15" x14ac:dyDescent="0.45">
      <c r="E33" s="47">
        <f>'Từ khóa'!E19</f>
        <v>8</v>
      </c>
      <c r="F33" s="576" t="str">
        <f>'Từ khóa'!F19</f>
        <v>Chi tiền cho con</v>
      </c>
      <c r="G33" s="577"/>
      <c r="H33" s="577"/>
      <c r="I33" s="577"/>
      <c r="J33" s="577"/>
      <c r="K33" s="578"/>
      <c r="L33" s="594">
        <v>0</v>
      </c>
      <c r="M33" s="595">
        <v>7</v>
      </c>
      <c r="N33" s="573"/>
      <c r="O33" s="573"/>
      <c r="P33" s="573"/>
      <c r="Q33" s="573"/>
      <c r="R33" s="573"/>
      <c r="S33" s="573"/>
      <c r="T33" s="573"/>
      <c r="U33" s="573"/>
      <c r="V33" s="573"/>
      <c r="W33" s="573"/>
      <c r="X33" s="573"/>
      <c r="Y33" s="573"/>
      <c r="Z33" s="573"/>
      <c r="AA33" s="573"/>
      <c r="AB33" s="573"/>
      <c r="AC33" s="574"/>
    </row>
    <row r="34" spans="5:29" ht="15" x14ac:dyDescent="0.45">
      <c r="E34" s="47">
        <f>'Từ khóa'!E20</f>
        <v>9</v>
      </c>
      <c r="F34" s="576" t="str">
        <f>'Từ khóa'!F20</f>
        <v>Chi tiền trả nợ</v>
      </c>
      <c r="G34" s="577"/>
      <c r="H34" s="577"/>
      <c r="I34" s="577"/>
      <c r="J34" s="577"/>
      <c r="K34" s="578"/>
      <c r="L34" s="594">
        <v>6.5</v>
      </c>
      <c r="M34" s="595">
        <v>13.7</v>
      </c>
      <c r="N34" s="573"/>
      <c r="O34" s="573"/>
      <c r="P34" s="573"/>
      <c r="Q34" s="573"/>
      <c r="R34" s="573"/>
      <c r="S34" s="573"/>
      <c r="T34" s="573"/>
      <c r="U34" s="573"/>
      <c r="V34" s="573"/>
      <c r="W34" s="573"/>
      <c r="X34" s="573"/>
      <c r="Y34" s="573"/>
      <c r="Z34" s="573"/>
      <c r="AA34" s="573"/>
      <c r="AB34" s="573"/>
      <c r="AC34" s="574"/>
    </row>
    <row r="35" spans="5:29" ht="15" x14ac:dyDescent="0.45">
      <c r="E35" s="47">
        <f>'Từ khóa'!E21</f>
        <v>10</v>
      </c>
      <c r="F35" s="576" t="str">
        <f>'Từ khóa'!F21</f>
        <v>Chi tiền cho tặng gia đình</v>
      </c>
      <c r="G35" s="577"/>
      <c r="H35" s="577"/>
      <c r="I35" s="577"/>
      <c r="J35" s="577"/>
      <c r="K35" s="578"/>
      <c r="L35" s="594">
        <v>1</v>
      </c>
      <c r="M35" s="595">
        <v>1</v>
      </c>
      <c r="N35" s="573"/>
      <c r="O35" s="573"/>
      <c r="P35" s="573"/>
      <c r="Q35" s="573"/>
      <c r="R35" s="573"/>
      <c r="S35" s="573"/>
      <c r="T35" s="573"/>
      <c r="U35" s="573"/>
      <c r="V35" s="573"/>
      <c r="W35" s="573"/>
      <c r="X35" s="573"/>
      <c r="Y35" s="573"/>
      <c r="Z35" s="573"/>
      <c r="AA35" s="573"/>
      <c r="AB35" s="573"/>
      <c r="AC35" s="574"/>
    </row>
    <row r="36" spans="5:29" ht="15" x14ac:dyDescent="0.45">
      <c r="E36" s="47">
        <f>'Từ khóa'!E22</f>
        <v>11</v>
      </c>
      <c r="F36" s="576" t="str">
        <f>'Từ khóa'!F22</f>
        <v>Chi tiêu 1</v>
      </c>
      <c r="G36" s="577"/>
      <c r="H36" s="577"/>
      <c r="I36" s="577"/>
      <c r="J36" s="577"/>
      <c r="K36" s="578"/>
      <c r="L36" s="594">
        <v>0</v>
      </c>
      <c r="M36" s="595">
        <v>0</v>
      </c>
      <c r="N36" s="573"/>
      <c r="O36" s="573"/>
      <c r="P36" s="573"/>
      <c r="Q36" s="573"/>
      <c r="R36" s="573"/>
      <c r="S36" s="573"/>
      <c r="T36" s="573"/>
      <c r="U36" s="573"/>
      <c r="V36" s="573"/>
      <c r="W36" s="573"/>
      <c r="X36" s="573"/>
      <c r="Y36" s="573"/>
      <c r="Z36" s="573"/>
      <c r="AA36" s="573"/>
      <c r="AB36" s="573"/>
      <c r="AC36" s="574"/>
    </row>
    <row r="37" spans="5:29" ht="15" x14ac:dyDescent="0.45">
      <c r="E37" s="47">
        <f>'Từ khóa'!E23</f>
        <v>12</v>
      </c>
      <c r="F37" s="576" t="str">
        <f>'Từ khóa'!F23</f>
        <v>Chi tiêu 2</v>
      </c>
      <c r="G37" s="577"/>
      <c r="H37" s="577"/>
      <c r="I37" s="577"/>
      <c r="J37" s="577"/>
      <c r="K37" s="578"/>
      <c r="L37" s="594">
        <v>0</v>
      </c>
      <c r="M37" s="595">
        <v>0</v>
      </c>
      <c r="N37" s="573"/>
      <c r="O37" s="573"/>
      <c r="P37" s="573"/>
      <c r="Q37" s="573"/>
      <c r="R37" s="573"/>
      <c r="S37" s="573"/>
      <c r="T37" s="573"/>
      <c r="U37" s="573"/>
      <c r="V37" s="573"/>
      <c r="W37" s="573"/>
      <c r="X37" s="573"/>
      <c r="Y37" s="573"/>
      <c r="Z37" s="573"/>
      <c r="AA37" s="573"/>
      <c r="AB37" s="573"/>
      <c r="AC37" s="574"/>
    </row>
    <row r="38" spans="5:29" ht="15" x14ac:dyDescent="0.45">
      <c r="E38" s="47">
        <f>'Từ khóa'!E24</f>
        <v>13</v>
      </c>
      <c r="F38" s="576" t="str">
        <f>'Từ khóa'!F24</f>
        <v>Chi tiêu 3</v>
      </c>
      <c r="G38" s="577"/>
      <c r="H38" s="577"/>
      <c r="I38" s="577"/>
      <c r="J38" s="577"/>
      <c r="K38" s="578"/>
      <c r="L38" s="594">
        <v>0</v>
      </c>
      <c r="M38" s="595">
        <v>0</v>
      </c>
      <c r="N38" s="573"/>
      <c r="O38" s="573"/>
      <c r="P38" s="573"/>
      <c r="Q38" s="573"/>
      <c r="R38" s="573"/>
      <c r="S38" s="573"/>
      <c r="T38" s="573"/>
      <c r="U38" s="573"/>
      <c r="V38" s="573"/>
      <c r="W38" s="573"/>
      <c r="X38" s="573"/>
      <c r="Y38" s="573"/>
      <c r="Z38" s="573"/>
      <c r="AA38" s="573"/>
      <c r="AB38" s="573"/>
      <c r="AC38" s="574"/>
    </row>
    <row r="39" spans="5:29" ht="15" x14ac:dyDescent="0.45">
      <c r="E39" s="47">
        <f>'Từ khóa'!E25</f>
        <v>14</v>
      </c>
      <c r="F39" s="576" t="str">
        <f>'Từ khóa'!F25</f>
        <v>Chi tiêu 4</v>
      </c>
      <c r="G39" s="577"/>
      <c r="H39" s="577"/>
      <c r="I39" s="577"/>
      <c r="J39" s="577"/>
      <c r="K39" s="578"/>
      <c r="L39" s="594">
        <v>0</v>
      </c>
      <c r="M39" s="595">
        <v>0</v>
      </c>
      <c r="N39" s="573"/>
      <c r="O39" s="573"/>
      <c r="P39" s="573"/>
      <c r="Q39" s="573"/>
      <c r="R39" s="573"/>
      <c r="S39" s="573"/>
      <c r="T39" s="573"/>
      <c r="U39" s="573"/>
      <c r="V39" s="573"/>
      <c r="W39" s="573"/>
      <c r="X39" s="573"/>
      <c r="Y39" s="573"/>
      <c r="Z39" s="573"/>
      <c r="AA39" s="573"/>
      <c r="AB39" s="573"/>
      <c r="AC39" s="574"/>
    </row>
    <row r="40" spans="5:29" ht="15" x14ac:dyDescent="0.45">
      <c r="E40" s="47">
        <f>'Từ khóa'!E26</f>
        <v>15</v>
      </c>
      <c r="F40" s="576" t="str">
        <f>'Từ khóa'!F26</f>
        <v>Chi tiêu 5</v>
      </c>
      <c r="G40" s="577"/>
      <c r="H40" s="577"/>
      <c r="I40" s="577"/>
      <c r="J40" s="577"/>
      <c r="K40" s="578"/>
      <c r="L40" s="594">
        <v>0</v>
      </c>
      <c r="M40" s="595">
        <v>0</v>
      </c>
      <c r="N40" s="573"/>
      <c r="O40" s="573"/>
      <c r="P40" s="573"/>
      <c r="Q40" s="573"/>
      <c r="R40" s="573"/>
      <c r="S40" s="573"/>
      <c r="T40" s="573"/>
      <c r="U40" s="573"/>
      <c r="V40" s="573"/>
      <c r="W40" s="573"/>
      <c r="X40" s="573"/>
      <c r="Y40" s="573"/>
      <c r="Z40" s="573"/>
      <c r="AA40" s="573"/>
      <c r="AB40" s="573"/>
      <c r="AC40" s="574"/>
    </row>
    <row r="41" spans="5:29" ht="16.149999999999999" thickBot="1" x14ac:dyDescent="0.5">
      <c r="E41" s="589" t="s">
        <v>317</v>
      </c>
      <c r="F41" s="590"/>
      <c r="G41" s="590"/>
      <c r="H41" s="590"/>
      <c r="I41" s="590"/>
      <c r="J41" s="590"/>
      <c r="K41" s="590"/>
      <c r="L41" s="591">
        <f>SUM(L26:L40)</f>
        <v>18.5</v>
      </c>
      <c r="M41" s="592"/>
      <c r="N41" s="592"/>
      <c r="O41" s="592"/>
      <c r="P41" s="592"/>
      <c r="Q41" s="592"/>
      <c r="R41" s="592"/>
      <c r="S41" s="592"/>
      <c r="T41" s="592"/>
      <c r="U41" s="592"/>
      <c r="V41" s="592"/>
      <c r="W41" s="592"/>
      <c r="X41" s="592"/>
      <c r="Y41" s="592"/>
      <c r="Z41" s="592"/>
      <c r="AA41" s="592"/>
      <c r="AB41" s="592"/>
      <c r="AC41" s="593"/>
    </row>
  </sheetData>
  <sheetProtection algorithmName="SHA-512" hashValue="xCglQGzuzXVqxUjWhMtXAxoWjfNzD/8FDpmW63fDDfasGZczwoJm3jMn43Env3ZbpoLmoVxYfAH8REw465suxw==" saltValue="+LuhB0g1Zku0qR2QTIXsdQ==" spinCount="100000" sheet="1" objects="1" scenarios="1"/>
  <mergeCells count="107">
    <mergeCell ref="F34:K34"/>
    <mergeCell ref="E1:Q3"/>
    <mergeCell ref="F30:K30"/>
    <mergeCell ref="L30:M30"/>
    <mergeCell ref="N30:U30"/>
    <mergeCell ref="V30:AC30"/>
    <mergeCell ref="V27:AC27"/>
    <mergeCell ref="F29:K29"/>
    <mergeCell ref="L29:M29"/>
    <mergeCell ref="N29:U29"/>
    <mergeCell ref="F25:K25"/>
    <mergeCell ref="L25:M25"/>
    <mergeCell ref="N25:U25"/>
    <mergeCell ref="F27:K27"/>
    <mergeCell ref="L27:M27"/>
    <mergeCell ref="N27:U27"/>
    <mergeCell ref="F28:K28"/>
    <mergeCell ref="L28:M28"/>
    <mergeCell ref="N28:U28"/>
    <mergeCell ref="V28:AC28"/>
    <mergeCell ref="V29:AC29"/>
    <mergeCell ref="V26:AC26"/>
    <mergeCell ref="L17:M17"/>
    <mergeCell ref="E21:M22"/>
    <mergeCell ref="E41:K41"/>
    <mergeCell ref="L41:AC41"/>
    <mergeCell ref="V31:AC31"/>
    <mergeCell ref="F32:K32"/>
    <mergeCell ref="L32:M32"/>
    <mergeCell ref="N32:U32"/>
    <mergeCell ref="V32:AC32"/>
    <mergeCell ref="F40:K40"/>
    <mergeCell ref="L40:M40"/>
    <mergeCell ref="N40:U40"/>
    <mergeCell ref="V40:AC40"/>
    <mergeCell ref="F31:K31"/>
    <mergeCell ref="L31:M31"/>
    <mergeCell ref="N31:U31"/>
    <mergeCell ref="F39:K39"/>
    <mergeCell ref="L33:M33"/>
    <mergeCell ref="L34:M34"/>
    <mergeCell ref="L35:M35"/>
    <mergeCell ref="L36:M36"/>
    <mergeCell ref="L37:M37"/>
    <mergeCell ref="L38:M38"/>
    <mergeCell ref="L39:M39"/>
    <mergeCell ref="F33:K33"/>
    <mergeCell ref="N38:U38"/>
    <mergeCell ref="N39:U39"/>
    <mergeCell ref="V33:AC33"/>
    <mergeCell ref="V34:AC34"/>
    <mergeCell ref="V35:AC35"/>
    <mergeCell ref="V36:AC36"/>
    <mergeCell ref="V37:AC37"/>
    <mergeCell ref="V38:AC38"/>
    <mergeCell ref="V39:AC39"/>
    <mergeCell ref="N33:U33"/>
    <mergeCell ref="N34:U34"/>
    <mergeCell ref="N35:U35"/>
    <mergeCell ref="N36:U36"/>
    <mergeCell ref="N37:U37"/>
    <mergeCell ref="E6:M7"/>
    <mergeCell ref="F38:K38"/>
    <mergeCell ref="F35:K35"/>
    <mergeCell ref="F36:K36"/>
    <mergeCell ref="F37:K37"/>
    <mergeCell ref="V25:AC25"/>
    <mergeCell ref="F26:K26"/>
    <mergeCell ref="L26:M26"/>
    <mergeCell ref="N26:U26"/>
    <mergeCell ref="L11:M11"/>
    <mergeCell ref="L12:M12"/>
    <mergeCell ref="L13:M13"/>
    <mergeCell ref="L14:M14"/>
    <mergeCell ref="L15:M15"/>
    <mergeCell ref="L16:M16"/>
    <mergeCell ref="E19:K19"/>
    <mergeCell ref="L19:AC19"/>
    <mergeCell ref="N17:U17"/>
    <mergeCell ref="N18:U18"/>
    <mergeCell ref="V11:AC11"/>
    <mergeCell ref="V12:AC12"/>
    <mergeCell ref="V13:AC13"/>
    <mergeCell ref="V14:AC14"/>
    <mergeCell ref="V15:AC15"/>
    <mergeCell ref="L18:M18"/>
    <mergeCell ref="V10:AC10"/>
    <mergeCell ref="F10:K10"/>
    <mergeCell ref="F11:K11"/>
    <mergeCell ref="F12:K12"/>
    <mergeCell ref="F13:K13"/>
    <mergeCell ref="N11:U11"/>
    <mergeCell ref="N12:U12"/>
    <mergeCell ref="N13:U13"/>
    <mergeCell ref="V17:AC17"/>
    <mergeCell ref="V18:AC18"/>
    <mergeCell ref="F17:K17"/>
    <mergeCell ref="F18:K18"/>
    <mergeCell ref="L10:M10"/>
    <mergeCell ref="N10:U10"/>
    <mergeCell ref="F14:K14"/>
    <mergeCell ref="F15:K15"/>
    <mergeCell ref="F16:K16"/>
    <mergeCell ref="N15:U15"/>
    <mergeCell ref="N16:U16"/>
    <mergeCell ref="N14:U14"/>
    <mergeCell ref="V16:AC16"/>
  </mergeCells>
  <dataValidations count="1">
    <dataValidation allowBlank="1" showInputMessage="1" showErrorMessage="1" prompt="Nhập kế hoạch thu nhập/chi tiêu tính theo tháng tại đây" sqref="L11:L18 M27:M40 L26:L40" xr:uid="{00000000-0002-0000-0500-000000000000}"/>
  </dataValidations>
  <hyperlinks>
    <hyperlink ref="F4" location="'Kế hoạch thu nhập và chi tiêu'!E7" display="Phần 1" xr:uid="{00000000-0004-0000-0500-000000000000}"/>
    <hyperlink ref="G4" location="'Kế hoạch thu nhập và chi tiêu'!E22" display="Phần 2" xr:uid="{00000000-0004-0000-0500-000001000000}"/>
  </hyperlinks>
  <pageMargins left="0.7" right="0.7" top="0.75" bottom="0.75" header="0.3" footer="0.3"/>
  <pageSetup scale="31" orientation="portrait" r:id="rId1"/>
  <ignoredErrors>
    <ignoredError sqref="E26:K40 E11:K18" unlocked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K106"/>
  <sheetViews>
    <sheetView showGridLines="0" zoomScale="80" zoomScaleNormal="80" workbookViewId="0">
      <pane xSplit="4" ySplit="4" topLeftCell="E32" activePane="bottomRight" state="frozen"/>
      <selection pane="topRight" activeCell="E1" sqref="E1"/>
      <selection pane="bottomLeft" activeCell="A5" sqref="A5"/>
      <selection pane="bottomRight" activeCell="G26" sqref="G26:J26"/>
    </sheetView>
  </sheetViews>
  <sheetFormatPr defaultColWidth="9.19921875" defaultRowHeight="14.25" x14ac:dyDescent="0.45"/>
  <cols>
    <col min="1" max="3" width="9.19921875" style="1"/>
    <col min="4" max="4" width="9.19921875" style="4"/>
    <col min="5" max="5" width="9.19921875" style="4" customWidth="1"/>
    <col min="6" max="9" width="13.19921875" style="4" customWidth="1"/>
    <col min="10" max="11" width="9.19921875" style="4"/>
    <col min="12" max="12" width="9.19921875" style="4" customWidth="1"/>
    <col min="13" max="14" width="9.19921875" style="4"/>
    <col min="15" max="15" width="13.19921875" style="4" customWidth="1"/>
    <col min="16" max="16384" width="9.19921875" style="4"/>
  </cols>
  <sheetData>
    <row r="1" spans="1:27" s="2" customFormat="1" ht="15" customHeight="1" x14ac:dyDescent="0.45">
      <c r="A1" s="1"/>
      <c r="B1" s="1"/>
      <c r="C1" s="1"/>
      <c r="E1" s="353" t="s">
        <v>319</v>
      </c>
      <c r="F1" s="353"/>
      <c r="G1" s="353"/>
      <c r="H1" s="353"/>
      <c r="I1" s="353"/>
      <c r="J1" s="353"/>
      <c r="K1" s="353"/>
    </row>
    <row r="2" spans="1:27" s="2" customFormat="1" ht="15" customHeight="1" x14ac:dyDescent="0.45">
      <c r="A2" s="1"/>
      <c r="B2" s="1"/>
      <c r="C2" s="1"/>
      <c r="E2" s="353"/>
      <c r="F2" s="353"/>
      <c r="G2" s="353"/>
      <c r="H2" s="353"/>
      <c r="I2" s="353"/>
      <c r="J2" s="353"/>
      <c r="K2" s="353"/>
    </row>
    <row r="3" spans="1:27" s="2" customFormat="1" ht="14.65" thickBot="1" x14ac:dyDescent="0.5">
      <c r="A3" s="1"/>
      <c r="B3" s="1"/>
      <c r="C3" s="1"/>
      <c r="E3" s="353"/>
      <c r="F3" s="353"/>
      <c r="G3" s="353"/>
      <c r="H3" s="353"/>
      <c r="I3" s="353"/>
      <c r="J3" s="353"/>
      <c r="K3" s="353"/>
      <c r="L3" s="3" t="s">
        <v>45</v>
      </c>
    </row>
    <row r="4" spans="1:27" ht="14.65" thickBot="1" x14ac:dyDescent="0.5">
      <c r="F4" s="154" t="s">
        <v>132</v>
      </c>
      <c r="G4" s="154" t="s">
        <v>133</v>
      </c>
    </row>
    <row r="5" spans="1:27" ht="15" customHeight="1" x14ac:dyDescent="0.45">
      <c r="F5" s="6"/>
      <c r="G5" s="6"/>
      <c r="H5" s="6"/>
      <c r="I5" s="6"/>
      <c r="J5" s="6"/>
      <c r="K5" s="6"/>
      <c r="L5" s="6"/>
      <c r="M5" s="6"/>
      <c r="N5" s="6"/>
      <c r="O5" s="6"/>
      <c r="P5" s="6"/>
      <c r="Q5" s="6"/>
      <c r="R5" s="6"/>
      <c r="S5" s="6"/>
      <c r="T5" s="6"/>
      <c r="U5" s="6"/>
      <c r="V5" s="6"/>
      <c r="W5" s="6"/>
      <c r="X5" s="6"/>
      <c r="Y5" s="6"/>
      <c r="Z5" s="6"/>
      <c r="AA5" s="6"/>
    </row>
    <row r="6" spans="1:27" ht="15" customHeight="1" x14ac:dyDescent="0.45">
      <c r="E6" s="532" t="s">
        <v>135</v>
      </c>
      <c r="F6" s="532"/>
      <c r="G6" s="532"/>
      <c r="H6" s="532"/>
      <c r="I6" s="532"/>
      <c r="J6" s="532"/>
      <c r="K6" s="532"/>
      <c r="L6" s="532"/>
      <c r="M6" s="532"/>
      <c r="N6" s="5"/>
      <c r="O6" s="5"/>
      <c r="P6" s="5"/>
      <c r="Q6" s="5"/>
      <c r="R6" s="5"/>
      <c r="S6" s="6"/>
      <c r="T6" s="6"/>
      <c r="U6" s="6"/>
      <c r="V6" s="6"/>
      <c r="W6" s="6"/>
      <c r="X6" s="6"/>
      <c r="Y6" s="6"/>
      <c r="Z6" s="6"/>
      <c r="AA6" s="6"/>
    </row>
    <row r="7" spans="1:27" s="8" customFormat="1" ht="15" customHeight="1" thickBot="1" x14ac:dyDescent="0.5">
      <c r="A7" s="7"/>
      <c r="B7" s="7"/>
      <c r="C7" s="7"/>
      <c r="E7" s="533"/>
      <c r="F7" s="533"/>
      <c r="G7" s="533"/>
      <c r="H7" s="533"/>
      <c r="I7" s="533"/>
      <c r="J7" s="533"/>
      <c r="K7" s="533"/>
      <c r="L7" s="533"/>
      <c r="M7" s="533"/>
      <c r="N7" s="9"/>
      <c r="O7" s="9"/>
      <c r="P7" s="9"/>
      <c r="Q7" s="9"/>
      <c r="R7" s="9"/>
      <c r="S7" s="10"/>
      <c r="T7" s="10"/>
      <c r="U7" s="10"/>
      <c r="V7" s="10"/>
      <c r="W7" s="10"/>
      <c r="X7" s="10"/>
      <c r="Y7" s="10"/>
      <c r="Z7" s="10"/>
      <c r="AA7" s="10"/>
    </row>
    <row r="8" spans="1:27" ht="15" customHeight="1" x14ac:dyDescent="0.45">
      <c r="E8" s="6"/>
      <c r="F8" s="6"/>
      <c r="G8" s="6"/>
      <c r="H8" s="6"/>
      <c r="I8" s="6"/>
      <c r="J8" s="6"/>
      <c r="K8" s="6"/>
      <c r="L8" s="6"/>
      <c r="M8" s="6"/>
      <c r="N8" s="6"/>
      <c r="O8" s="6"/>
      <c r="P8" s="6"/>
      <c r="Q8" s="6"/>
      <c r="R8" s="6"/>
      <c r="S8" s="6"/>
      <c r="T8" s="6"/>
      <c r="U8" s="6"/>
      <c r="V8" s="6"/>
      <c r="W8" s="6"/>
      <c r="X8" s="6"/>
      <c r="Y8" s="6"/>
      <c r="Z8" s="6"/>
      <c r="AA8" s="6"/>
    </row>
    <row r="9" spans="1:27" ht="15" customHeight="1" x14ac:dyDescent="0.45">
      <c r="E9" s="632" t="s">
        <v>124</v>
      </c>
      <c r="F9" s="632"/>
      <c r="G9" s="632"/>
      <c r="H9" s="632"/>
      <c r="I9" s="637">
        <f>N37</f>
        <v>24</v>
      </c>
    </row>
    <row r="10" spans="1:27" ht="15" customHeight="1" x14ac:dyDescent="0.45">
      <c r="E10" s="632"/>
      <c r="F10" s="632"/>
      <c r="G10" s="632"/>
      <c r="H10" s="632"/>
      <c r="I10" s="637"/>
    </row>
    <row r="11" spans="1:27" ht="15" customHeight="1" x14ac:dyDescent="0.45">
      <c r="E11" s="632"/>
      <c r="F11" s="632"/>
      <c r="G11" s="632"/>
      <c r="H11" s="632"/>
      <c r="I11" s="637"/>
    </row>
    <row r="12" spans="1:27" ht="15" customHeight="1" x14ac:dyDescent="0.45">
      <c r="E12" s="632"/>
      <c r="F12" s="632"/>
      <c r="G12" s="632"/>
      <c r="H12" s="632"/>
      <c r="I12" s="637"/>
    </row>
    <row r="13" spans="1:27" x14ac:dyDescent="0.45">
      <c r="E13" s="89"/>
      <c r="F13" s="89"/>
      <c r="G13" s="89"/>
      <c r="I13" s="89"/>
    </row>
    <row r="14" spans="1:27" ht="15" customHeight="1" x14ac:dyDescent="0.45">
      <c r="E14" s="633" t="s">
        <v>136</v>
      </c>
      <c r="F14" s="633"/>
      <c r="G14" s="633"/>
      <c r="H14" s="633"/>
      <c r="I14" s="637">
        <f>N83</f>
        <v>17.5</v>
      </c>
    </row>
    <row r="15" spans="1:27" ht="15" customHeight="1" x14ac:dyDescent="0.45">
      <c r="E15" s="633"/>
      <c r="F15" s="633"/>
      <c r="G15" s="633"/>
      <c r="H15" s="633"/>
      <c r="I15" s="637"/>
    </row>
    <row r="16" spans="1:27" ht="15" customHeight="1" x14ac:dyDescent="0.45">
      <c r="E16" s="633"/>
      <c r="F16" s="633"/>
      <c r="G16" s="633"/>
      <c r="H16" s="633"/>
      <c r="I16" s="637"/>
    </row>
    <row r="17" spans="5:37" ht="15" customHeight="1" x14ac:dyDescent="0.45">
      <c r="E17" s="633"/>
      <c r="F17" s="633"/>
      <c r="G17" s="633"/>
      <c r="H17" s="633"/>
      <c r="I17" s="637"/>
    </row>
    <row r="18" spans="5:37" x14ac:dyDescent="0.45">
      <c r="E18" s="89"/>
      <c r="F18" s="89"/>
      <c r="G18" s="89"/>
      <c r="I18" s="89"/>
    </row>
    <row r="19" spans="5:37" ht="15" customHeight="1" x14ac:dyDescent="0.45">
      <c r="E19" s="634" t="s">
        <v>96</v>
      </c>
      <c r="F19" s="634"/>
      <c r="G19" s="634"/>
      <c r="H19" s="634"/>
      <c r="I19" s="637">
        <f>I9-I14</f>
        <v>6.5</v>
      </c>
    </row>
    <row r="20" spans="5:37" ht="15" customHeight="1" x14ac:dyDescent="0.45">
      <c r="E20" s="634"/>
      <c r="F20" s="634"/>
      <c r="G20" s="634"/>
      <c r="H20" s="634"/>
      <c r="I20" s="637"/>
    </row>
    <row r="21" spans="5:37" ht="15" customHeight="1" x14ac:dyDescent="0.45">
      <c r="E21" s="634"/>
      <c r="F21" s="634"/>
      <c r="G21" s="634"/>
      <c r="H21" s="634"/>
      <c r="I21" s="637"/>
    </row>
    <row r="22" spans="5:37" ht="15" customHeight="1" x14ac:dyDescent="0.45">
      <c r="E22" s="634"/>
      <c r="F22" s="634"/>
      <c r="G22" s="634"/>
      <c r="H22" s="634"/>
      <c r="I22" s="637"/>
    </row>
    <row r="24" spans="5:37" ht="14.65" thickBot="1" x14ac:dyDescent="0.5">
      <c r="E24" s="6"/>
      <c r="F24" s="6"/>
      <c r="G24" s="6"/>
      <c r="H24" s="6"/>
    </row>
    <row r="25" spans="5:37" ht="15.75" customHeight="1" thickBot="1" x14ac:dyDescent="0.6">
      <c r="E25" s="626" t="s">
        <v>143</v>
      </c>
      <c r="F25" s="627"/>
      <c r="G25" s="627"/>
      <c r="H25" s="627"/>
      <c r="I25" s="627"/>
      <c r="J25" s="627"/>
      <c r="K25" s="627"/>
      <c r="L25" s="627"/>
      <c r="M25" s="627"/>
      <c r="N25" s="628"/>
      <c r="P25" s="626" t="s">
        <v>144</v>
      </c>
      <c r="Q25" s="627"/>
      <c r="R25" s="627"/>
      <c r="S25" s="627"/>
      <c r="T25" s="627"/>
      <c r="U25" s="627"/>
      <c r="V25" s="627"/>
      <c r="W25" s="627"/>
      <c r="X25" s="627"/>
      <c r="Y25" s="627"/>
      <c r="Z25" s="627"/>
      <c r="AA25" s="627"/>
      <c r="AB25" s="627"/>
      <c r="AC25" s="627"/>
      <c r="AD25" s="627"/>
      <c r="AE25" s="627"/>
      <c r="AF25" s="627"/>
      <c r="AG25" s="627"/>
      <c r="AH25" s="627"/>
      <c r="AI25" s="627"/>
      <c r="AJ25" s="627"/>
      <c r="AK25" s="628"/>
    </row>
    <row r="26" spans="5:37" ht="15" customHeight="1" x14ac:dyDescent="0.45">
      <c r="E26" s="644" t="s">
        <v>146</v>
      </c>
      <c r="F26" s="645"/>
      <c r="G26" s="647" t="s">
        <v>346</v>
      </c>
      <c r="H26" s="647"/>
      <c r="I26" s="647"/>
      <c r="J26" s="647"/>
      <c r="K26" s="647" t="s">
        <v>345</v>
      </c>
      <c r="L26" s="647"/>
      <c r="M26" s="647"/>
      <c r="N26" s="134" t="s">
        <v>148</v>
      </c>
      <c r="P26" s="651" t="s">
        <v>147</v>
      </c>
      <c r="Q26" s="652"/>
      <c r="R26" s="652"/>
      <c r="S26" s="652"/>
      <c r="T26" s="652" t="s">
        <v>149</v>
      </c>
      <c r="U26" s="652"/>
      <c r="V26" s="652" t="s">
        <v>150</v>
      </c>
      <c r="W26" s="652"/>
      <c r="X26" s="652" t="s">
        <v>151</v>
      </c>
      <c r="Y26" s="652"/>
      <c r="Z26" s="652" t="s">
        <v>152</v>
      </c>
      <c r="AA26" s="652"/>
      <c r="AB26" s="652"/>
      <c r="AC26" s="652"/>
      <c r="AD26" s="652"/>
      <c r="AE26" s="652"/>
      <c r="AF26" s="652" t="s">
        <v>153</v>
      </c>
      <c r="AG26" s="652"/>
      <c r="AH26" s="652"/>
      <c r="AI26" s="652"/>
      <c r="AJ26" s="652"/>
      <c r="AK26" s="659"/>
    </row>
    <row r="27" spans="5:37" ht="15" x14ac:dyDescent="0.45">
      <c r="E27" s="635">
        <v>44576</v>
      </c>
      <c r="F27" s="636"/>
      <c r="G27" s="643" t="s">
        <v>21</v>
      </c>
      <c r="H27" s="643"/>
      <c r="I27" s="643"/>
      <c r="J27" s="643"/>
      <c r="K27" s="646"/>
      <c r="L27" s="646"/>
      <c r="M27" s="646"/>
      <c r="N27" s="135">
        <v>20</v>
      </c>
      <c r="P27" s="653" t="str">
        <f>'Từ khóa'!M12</f>
        <v>Lương từ công ty</v>
      </c>
      <c r="Q27" s="654"/>
      <c r="R27" s="654"/>
      <c r="S27" s="654"/>
      <c r="T27" s="655">
        <f>'Kế hoạch thu nhập và chi tiêu'!L11</f>
        <v>20</v>
      </c>
      <c r="U27" s="655"/>
      <c r="V27" s="263"/>
      <c r="W27" s="264">
        <f t="shared" ref="W27:W34" ca="1" si="0">SUMIF($G$27:$J$36,P27,$N$27:$N$36)</f>
        <v>20</v>
      </c>
      <c r="X27" s="655">
        <f t="shared" ref="X27:X34" ca="1" si="1">W27-T27</f>
        <v>0</v>
      </c>
      <c r="Y27" s="655"/>
      <c r="Z27" s="646" t="s">
        <v>420</v>
      </c>
      <c r="AA27" s="646"/>
      <c r="AB27" s="646"/>
      <c r="AC27" s="646"/>
      <c r="AD27" s="646"/>
      <c r="AE27" s="646"/>
      <c r="AF27" s="646"/>
      <c r="AG27" s="646"/>
      <c r="AH27" s="646"/>
      <c r="AI27" s="646"/>
      <c r="AJ27" s="646"/>
      <c r="AK27" s="658"/>
    </row>
    <row r="28" spans="5:37" ht="15" x14ac:dyDescent="0.45">
      <c r="E28" s="635">
        <v>44591</v>
      </c>
      <c r="F28" s="636"/>
      <c r="G28" s="643" t="s">
        <v>372</v>
      </c>
      <c r="H28" s="643"/>
      <c r="I28" s="643"/>
      <c r="J28" s="643"/>
      <c r="K28" s="646"/>
      <c r="L28" s="646"/>
      <c r="M28" s="646"/>
      <c r="N28" s="135">
        <v>4</v>
      </c>
      <c r="P28" s="653" t="str">
        <f>'Từ khóa'!M13</f>
        <v>Thu nhập khác</v>
      </c>
      <c r="Q28" s="654"/>
      <c r="R28" s="654"/>
      <c r="S28" s="654"/>
      <c r="T28" s="655">
        <f>'Kế hoạch thu nhập và chi tiêu'!L12</f>
        <v>10</v>
      </c>
      <c r="U28" s="655"/>
      <c r="V28" s="263"/>
      <c r="W28" s="264">
        <f t="shared" ca="1" si="0"/>
        <v>4</v>
      </c>
      <c r="X28" s="655">
        <f t="shared" ca="1" si="1"/>
        <v>-6</v>
      </c>
      <c r="Y28" s="655"/>
      <c r="Z28" s="646"/>
      <c r="AA28" s="646"/>
      <c r="AB28" s="646"/>
      <c r="AC28" s="646"/>
      <c r="AD28" s="646"/>
      <c r="AE28" s="646"/>
      <c r="AF28" s="646"/>
      <c r="AG28" s="646"/>
      <c r="AH28" s="646"/>
      <c r="AI28" s="646"/>
      <c r="AJ28" s="646"/>
      <c r="AK28" s="658"/>
    </row>
    <row r="29" spans="5:37" ht="15" x14ac:dyDescent="0.45">
      <c r="E29" s="635"/>
      <c r="F29" s="636"/>
      <c r="G29" s="643"/>
      <c r="H29" s="643"/>
      <c r="I29" s="643"/>
      <c r="J29" s="643"/>
      <c r="K29" s="646"/>
      <c r="L29" s="646"/>
      <c r="M29" s="646"/>
      <c r="N29" s="135"/>
      <c r="P29" s="653">
        <f>'Từ khóa'!M14</f>
        <v>0</v>
      </c>
      <c r="Q29" s="654"/>
      <c r="R29" s="654"/>
      <c r="S29" s="654"/>
      <c r="T29" s="655">
        <f>'Kế hoạch thu nhập và chi tiêu'!L13</f>
        <v>0</v>
      </c>
      <c r="U29" s="655"/>
      <c r="V29" s="263"/>
      <c r="W29" s="264">
        <f t="shared" ca="1" si="0"/>
        <v>0</v>
      </c>
      <c r="X29" s="655">
        <f t="shared" ca="1" si="1"/>
        <v>0</v>
      </c>
      <c r="Y29" s="655"/>
      <c r="Z29" s="646"/>
      <c r="AA29" s="646"/>
      <c r="AB29" s="646"/>
      <c r="AC29" s="646"/>
      <c r="AD29" s="646"/>
      <c r="AE29" s="646"/>
      <c r="AF29" s="646"/>
      <c r="AG29" s="646"/>
      <c r="AH29" s="646"/>
      <c r="AI29" s="646"/>
      <c r="AJ29" s="646"/>
      <c r="AK29" s="658"/>
    </row>
    <row r="30" spans="5:37" ht="15" x14ac:dyDescent="0.45">
      <c r="E30" s="635"/>
      <c r="F30" s="636"/>
      <c r="G30" s="643"/>
      <c r="H30" s="643"/>
      <c r="I30" s="643"/>
      <c r="J30" s="643"/>
      <c r="K30" s="646"/>
      <c r="L30" s="646"/>
      <c r="M30" s="646"/>
      <c r="N30" s="135"/>
      <c r="P30" s="653">
        <f>'Từ khóa'!M15</f>
        <v>0</v>
      </c>
      <c r="Q30" s="654"/>
      <c r="R30" s="654"/>
      <c r="S30" s="654"/>
      <c r="T30" s="655">
        <f>'Kế hoạch thu nhập và chi tiêu'!L14</f>
        <v>0</v>
      </c>
      <c r="U30" s="655"/>
      <c r="V30" s="263"/>
      <c r="W30" s="264">
        <f t="shared" ca="1" si="0"/>
        <v>0</v>
      </c>
      <c r="X30" s="655">
        <f t="shared" ca="1" si="1"/>
        <v>0</v>
      </c>
      <c r="Y30" s="655"/>
      <c r="Z30" s="646"/>
      <c r="AA30" s="646"/>
      <c r="AB30" s="646"/>
      <c r="AC30" s="646"/>
      <c r="AD30" s="646"/>
      <c r="AE30" s="646"/>
      <c r="AF30" s="646"/>
      <c r="AG30" s="646"/>
      <c r="AH30" s="646"/>
      <c r="AI30" s="646"/>
      <c r="AJ30" s="646"/>
      <c r="AK30" s="658"/>
    </row>
    <row r="31" spans="5:37" ht="15" x14ac:dyDescent="0.45">
      <c r="E31" s="635"/>
      <c r="F31" s="636"/>
      <c r="G31" s="643"/>
      <c r="H31" s="643"/>
      <c r="I31" s="643"/>
      <c r="J31" s="643"/>
      <c r="K31" s="646"/>
      <c r="L31" s="646"/>
      <c r="M31" s="646"/>
      <c r="N31" s="135"/>
      <c r="P31" s="653">
        <f>'Từ khóa'!M16</f>
        <v>0</v>
      </c>
      <c r="Q31" s="654"/>
      <c r="R31" s="654"/>
      <c r="S31" s="654"/>
      <c r="T31" s="655">
        <f>'Kế hoạch thu nhập và chi tiêu'!L15</f>
        <v>0</v>
      </c>
      <c r="U31" s="655"/>
      <c r="V31" s="263"/>
      <c r="W31" s="264">
        <f t="shared" ca="1" si="0"/>
        <v>0</v>
      </c>
      <c r="X31" s="655">
        <f t="shared" ca="1" si="1"/>
        <v>0</v>
      </c>
      <c r="Y31" s="655"/>
      <c r="Z31" s="646"/>
      <c r="AA31" s="646"/>
      <c r="AB31" s="646"/>
      <c r="AC31" s="646"/>
      <c r="AD31" s="646"/>
      <c r="AE31" s="646"/>
      <c r="AF31" s="646"/>
      <c r="AG31" s="646"/>
      <c r="AH31" s="646"/>
      <c r="AI31" s="646"/>
      <c r="AJ31" s="646"/>
      <c r="AK31" s="658"/>
    </row>
    <row r="32" spans="5:37" ht="15" x14ac:dyDescent="0.45">
      <c r="E32" s="635"/>
      <c r="F32" s="636"/>
      <c r="G32" s="643"/>
      <c r="H32" s="643"/>
      <c r="I32" s="643"/>
      <c r="J32" s="643"/>
      <c r="K32" s="646"/>
      <c r="L32" s="646"/>
      <c r="M32" s="646"/>
      <c r="N32" s="135"/>
      <c r="P32" s="653">
        <f>'Từ khóa'!M17</f>
        <v>0</v>
      </c>
      <c r="Q32" s="654"/>
      <c r="R32" s="654"/>
      <c r="S32" s="654"/>
      <c r="T32" s="655">
        <f>'Kế hoạch thu nhập và chi tiêu'!L16</f>
        <v>0</v>
      </c>
      <c r="U32" s="655"/>
      <c r="V32" s="263"/>
      <c r="W32" s="264">
        <f t="shared" ca="1" si="0"/>
        <v>0</v>
      </c>
      <c r="X32" s="655">
        <f t="shared" ca="1" si="1"/>
        <v>0</v>
      </c>
      <c r="Y32" s="655"/>
      <c r="Z32" s="646"/>
      <c r="AA32" s="646"/>
      <c r="AB32" s="646"/>
      <c r="AC32" s="646"/>
      <c r="AD32" s="646"/>
      <c r="AE32" s="646"/>
      <c r="AF32" s="646"/>
      <c r="AG32" s="646"/>
      <c r="AH32" s="646"/>
      <c r="AI32" s="646"/>
      <c r="AJ32" s="646"/>
      <c r="AK32" s="658"/>
    </row>
    <row r="33" spans="5:37" ht="15" x14ac:dyDescent="0.45">
      <c r="E33" s="635"/>
      <c r="F33" s="636"/>
      <c r="G33" s="643"/>
      <c r="H33" s="643"/>
      <c r="I33" s="643"/>
      <c r="J33" s="643"/>
      <c r="K33" s="646"/>
      <c r="L33" s="646"/>
      <c r="M33" s="646"/>
      <c r="N33" s="135"/>
      <c r="P33" s="653">
        <f>'Từ khóa'!M18</f>
        <v>0</v>
      </c>
      <c r="Q33" s="654"/>
      <c r="R33" s="654"/>
      <c r="S33" s="654"/>
      <c r="T33" s="655">
        <f>'Kế hoạch thu nhập và chi tiêu'!L17</f>
        <v>0</v>
      </c>
      <c r="U33" s="655"/>
      <c r="V33" s="263"/>
      <c r="W33" s="264">
        <f t="shared" ca="1" si="0"/>
        <v>0</v>
      </c>
      <c r="X33" s="655">
        <f t="shared" ca="1" si="1"/>
        <v>0</v>
      </c>
      <c r="Y33" s="655"/>
      <c r="Z33" s="646"/>
      <c r="AA33" s="646"/>
      <c r="AB33" s="646"/>
      <c r="AC33" s="646"/>
      <c r="AD33" s="646"/>
      <c r="AE33" s="646"/>
      <c r="AF33" s="646"/>
      <c r="AG33" s="646"/>
      <c r="AH33" s="646"/>
      <c r="AI33" s="646"/>
      <c r="AJ33" s="646"/>
      <c r="AK33" s="658"/>
    </row>
    <row r="34" spans="5:37" ht="15" x14ac:dyDescent="0.45">
      <c r="E34" s="635"/>
      <c r="F34" s="636"/>
      <c r="G34" s="643"/>
      <c r="H34" s="643"/>
      <c r="I34" s="643"/>
      <c r="J34" s="643"/>
      <c r="K34" s="646"/>
      <c r="L34" s="646"/>
      <c r="M34" s="646"/>
      <c r="N34" s="135"/>
      <c r="P34" s="653">
        <f>'Từ khóa'!M19</f>
        <v>0</v>
      </c>
      <c r="Q34" s="654"/>
      <c r="R34" s="654"/>
      <c r="S34" s="654"/>
      <c r="T34" s="655">
        <f>'Kế hoạch thu nhập và chi tiêu'!L18</f>
        <v>0</v>
      </c>
      <c r="U34" s="655"/>
      <c r="V34" s="263"/>
      <c r="W34" s="264">
        <f t="shared" ca="1" si="0"/>
        <v>0</v>
      </c>
      <c r="X34" s="655">
        <f t="shared" ca="1" si="1"/>
        <v>0</v>
      </c>
      <c r="Y34" s="655"/>
      <c r="Z34" s="646"/>
      <c r="AA34" s="646"/>
      <c r="AB34" s="646"/>
      <c r="AC34" s="646"/>
      <c r="AD34" s="646"/>
      <c r="AE34" s="646"/>
      <c r="AF34" s="646"/>
      <c r="AG34" s="646"/>
      <c r="AH34" s="646"/>
      <c r="AI34" s="646"/>
      <c r="AJ34" s="646"/>
      <c r="AK34" s="658"/>
    </row>
    <row r="35" spans="5:37" ht="15" x14ac:dyDescent="0.45">
      <c r="E35" s="635"/>
      <c r="F35" s="636"/>
      <c r="G35" s="643"/>
      <c r="H35" s="643"/>
      <c r="I35" s="643"/>
      <c r="J35" s="643"/>
      <c r="K35" s="646"/>
      <c r="L35" s="646"/>
      <c r="M35" s="646"/>
      <c r="N35" s="135"/>
      <c r="P35" s="653"/>
      <c r="Q35" s="654"/>
      <c r="R35" s="654"/>
      <c r="S35" s="654"/>
      <c r="T35" s="656"/>
      <c r="U35" s="657"/>
      <c r="V35" s="263"/>
      <c r="W35" s="264"/>
      <c r="X35" s="655"/>
      <c r="Y35" s="655"/>
      <c r="Z35" s="646"/>
      <c r="AA35" s="646"/>
      <c r="AB35" s="646"/>
      <c r="AC35" s="646"/>
      <c r="AD35" s="646"/>
      <c r="AE35" s="646"/>
      <c r="AF35" s="646"/>
      <c r="AG35" s="646"/>
      <c r="AH35" s="646"/>
      <c r="AI35" s="646"/>
      <c r="AJ35" s="646"/>
      <c r="AK35" s="658"/>
    </row>
    <row r="36" spans="5:37" ht="15" x14ac:dyDescent="0.45">
      <c r="E36" s="635"/>
      <c r="F36" s="636"/>
      <c r="G36" s="643"/>
      <c r="H36" s="643"/>
      <c r="I36" s="643"/>
      <c r="J36" s="643"/>
      <c r="K36" s="646"/>
      <c r="L36" s="646"/>
      <c r="M36" s="646"/>
      <c r="N36" s="135"/>
      <c r="P36" s="653"/>
      <c r="Q36" s="654"/>
      <c r="R36" s="654"/>
      <c r="S36" s="654"/>
      <c r="T36" s="656"/>
      <c r="U36" s="657"/>
      <c r="V36" s="263"/>
      <c r="W36" s="264"/>
      <c r="X36" s="655"/>
      <c r="Y36" s="655"/>
      <c r="Z36" s="646"/>
      <c r="AA36" s="646"/>
      <c r="AB36" s="646"/>
      <c r="AC36" s="646"/>
      <c r="AD36" s="646"/>
      <c r="AE36" s="646"/>
      <c r="AF36" s="646"/>
      <c r="AG36" s="646"/>
      <c r="AH36" s="646"/>
      <c r="AI36" s="646"/>
      <c r="AJ36" s="646"/>
      <c r="AK36" s="658"/>
    </row>
    <row r="37" spans="5:37" ht="16.5" customHeight="1" thickBot="1" x14ac:dyDescent="0.6">
      <c r="E37" s="648" t="s">
        <v>124</v>
      </c>
      <c r="F37" s="649"/>
      <c r="G37" s="649"/>
      <c r="H37" s="649"/>
      <c r="I37" s="649"/>
      <c r="J37" s="649"/>
      <c r="K37" s="649"/>
      <c r="L37" s="649"/>
      <c r="M37" s="650"/>
      <c r="N37" s="144">
        <f>SUBTOTAL(109,'T1'!$N$27:$N$36)</f>
        <v>24</v>
      </c>
      <c r="P37" s="648" t="s">
        <v>124</v>
      </c>
      <c r="Q37" s="649"/>
      <c r="R37" s="649"/>
      <c r="S37" s="650"/>
      <c r="T37" s="662">
        <f>SUM(T27:U36)</f>
        <v>30</v>
      </c>
      <c r="U37" s="663"/>
      <c r="V37" s="662">
        <f ca="1">SUM(W27:W36)</f>
        <v>24</v>
      </c>
      <c r="W37" s="663"/>
      <c r="X37" s="662">
        <f t="shared" ref="X37" ca="1" si="2">SUM(X27:Y36)</f>
        <v>-6</v>
      </c>
      <c r="Y37" s="663"/>
      <c r="Z37" s="660"/>
      <c r="AA37" s="660"/>
      <c r="AB37" s="660"/>
      <c r="AC37" s="660"/>
      <c r="AD37" s="660"/>
      <c r="AE37" s="660"/>
      <c r="AF37" s="660"/>
      <c r="AG37" s="660"/>
      <c r="AH37" s="660"/>
      <c r="AI37" s="660"/>
      <c r="AJ37" s="660"/>
      <c r="AK37" s="661"/>
    </row>
    <row r="39" spans="5:37" ht="14.65" thickBot="1" x14ac:dyDescent="0.5"/>
    <row r="40" spans="5:37" ht="15.75" customHeight="1" x14ac:dyDescent="0.55000000000000004">
      <c r="E40" s="623" t="s">
        <v>320</v>
      </c>
      <c r="F40" s="624"/>
      <c r="G40" s="624"/>
      <c r="H40" s="624"/>
      <c r="I40" s="624"/>
      <c r="J40" s="624"/>
      <c r="K40" s="624"/>
      <c r="L40" s="624"/>
      <c r="M40" s="624"/>
      <c r="N40" s="625"/>
      <c r="P40" s="623" t="s">
        <v>321</v>
      </c>
      <c r="Q40" s="624"/>
      <c r="R40" s="624"/>
      <c r="S40" s="624"/>
      <c r="T40" s="624"/>
      <c r="U40" s="624"/>
      <c r="V40" s="624"/>
      <c r="W40" s="624"/>
      <c r="X40" s="624"/>
      <c r="Y40" s="624"/>
      <c r="Z40" s="624"/>
      <c r="AA40" s="624"/>
      <c r="AB40" s="624"/>
      <c r="AC40" s="624"/>
      <c r="AD40" s="624"/>
      <c r="AE40" s="624"/>
      <c r="AF40" s="624"/>
      <c r="AG40" s="624"/>
      <c r="AH40" s="624"/>
      <c r="AI40" s="624"/>
      <c r="AJ40" s="624"/>
      <c r="AK40" s="625"/>
    </row>
    <row r="41" spans="5:37" ht="15" x14ac:dyDescent="0.45">
      <c r="E41" s="664" t="s">
        <v>146</v>
      </c>
      <c r="F41" s="665"/>
      <c r="G41" s="666" t="s">
        <v>347</v>
      </c>
      <c r="H41" s="666"/>
      <c r="I41" s="666"/>
      <c r="J41" s="666"/>
      <c r="K41" s="666" t="s">
        <v>345</v>
      </c>
      <c r="L41" s="666"/>
      <c r="M41" s="666"/>
      <c r="N41" s="136" t="s">
        <v>148</v>
      </c>
      <c r="P41" s="668" t="s">
        <v>147</v>
      </c>
      <c r="Q41" s="666"/>
      <c r="R41" s="666"/>
      <c r="S41" s="666"/>
      <c r="T41" s="666" t="s">
        <v>149</v>
      </c>
      <c r="U41" s="666"/>
      <c r="V41" s="666" t="s">
        <v>150</v>
      </c>
      <c r="W41" s="666"/>
      <c r="X41" s="666" t="s">
        <v>151</v>
      </c>
      <c r="Y41" s="666"/>
      <c r="Z41" s="666" t="s">
        <v>152</v>
      </c>
      <c r="AA41" s="666"/>
      <c r="AB41" s="666"/>
      <c r="AC41" s="666"/>
      <c r="AD41" s="666"/>
      <c r="AE41" s="666"/>
      <c r="AF41" s="666" t="s">
        <v>153</v>
      </c>
      <c r="AG41" s="666"/>
      <c r="AH41" s="666"/>
      <c r="AI41" s="666"/>
      <c r="AJ41" s="666"/>
      <c r="AK41" s="667"/>
    </row>
    <row r="42" spans="5:37" ht="15" x14ac:dyDescent="0.55000000000000004">
      <c r="E42" s="638">
        <v>44562</v>
      </c>
      <c r="F42" s="639"/>
      <c r="G42" s="640" t="s">
        <v>5</v>
      </c>
      <c r="H42" s="641"/>
      <c r="I42" s="641"/>
      <c r="J42" s="642"/>
      <c r="K42" s="640" t="s">
        <v>414</v>
      </c>
      <c r="L42" s="641"/>
      <c r="M42" s="642"/>
      <c r="N42" s="137">
        <v>5.5</v>
      </c>
      <c r="P42" s="653" t="str">
        <f>'Từ khóa'!F12</f>
        <v>Mua thực phẩm</v>
      </c>
      <c r="Q42" s="654"/>
      <c r="R42" s="654"/>
      <c r="S42" s="654"/>
      <c r="T42" s="655">
        <f>'Kế hoạch thu nhập và chi tiêu'!L26</f>
        <v>5</v>
      </c>
      <c r="U42" s="655"/>
      <c r="V42" s="263"/>
      <c r="W42" s="264">
        <f t="shared" ref="W42:W55" ca="1" si="3">SUMIF($G$42:$J$82,P42,$N$42:$N$82)</f>
        <v>5.5</v>
      </c>
      <c r="X42" s="656">
        <f t="shared" ref="X42:X56" ca="1" si="4">T42-W42</f>
        <v>-0.5</v>
      </c>
      <c r="Y42" s="657"/>
      <c r="Z42" s="646" t="s">
        <v>158</v>
      </c>
      <c r="AA42" s="646"/>
      <c r="AB42" s="646"/>
      <c r="AC42" s="646"/>
      <c r="AD42" s="646"/>
      <c r="AE42" s="646"/>
      <c r="AF42" s="646" t="s">
        <v>322</v>
      </c>
      <c r="AG42" s="646"/>
      <c r="AH42" s="646"/>
      <c r="AI42" s="646"/>
      <c r="AJ42" s="646"/>
      <c r="AK42" s="658"/>
    </row>
    <row r="43" spans="5:37" ht="15" x14ac:dyDescent="0.55000000000000004">
      <c r="E43" s="638">
        <v>44565</v>
      </c>
      <c r="F43" s="639"/>
      <c r="G43" s="640" t="s">
        <v>6</v>
      </c>
      <c r="H43" s="641"/>
      <c r="I43" s="641"/>
      <c r="J43" s="642"/>
      <c r="K43" s="640" t="s">
        <v>415</v>
      </c>
      <c r="L43" s="641"/>
      <c r="M43" s="642"/>
      <c r="N43" s="138">
        <v>0.3</v>
      </c>
      <c r="P43" s="653" t="str">
        <f>'Từ khóa'!F13</f>
        <v>Mua đồ dùng trong nhà</v>
      </c>
      <c r="Q43" s="654"/>
      <c r="R43" s="654"/>
      <c r="S43" s="654"/>
      <c r="T43" s="655">
        <f>'Kế hoạch thu nhập và chi tiêu'!L27</f>
        <v>0.5</v>
      </c>
      <c r="U43" s="655"/>
      <c r="V43" s="263"/>
      <c r="W43" s="264">
        <f t="shared" ca="1" si="3"/>
        <v>0.3</v>
      </c>
      <c r="X43" s="656">
        <f t="shared" ca="1" si="4"/>
        <v>0.2</v>
      </c>
      <c r="Y43" s="657"/>
      <c r="Z43" s="646"/>
      <c r="AA43" s="646"/>
      <c r="AB43" s="646"/>
      <c r="AC43" s="646"/>
      <c r="AD43" s="646"/>
      <c r="AE43" s="646"/>
      <c r="AF43" s="646"/>
      <c r="AG43" s="646"/>
      <c r="AH43" s="646"/>
      <c r="AI43" s="646"/>
      <c r="AJ43" s="646"/>
      <c r="AK43" s="658"/>
    </row>
    <row r="44" spans="5:37" ht="15" x14ac:dyDescent="0.55000000000000004">
      <c r="E44" s="638">
        <v>44568</v>
      </c>
      <c r="F44" s="639"/>
      <c r="G44" s="640" t="s">
        <v>7</v>
      </c>
      <c r="H44" s="641"/>
      <c r="I44" s="641"/>
      <c r="J44" s="642"/>
      <c r="K44" s="640" t="s">
        <v>416</v>
      </c>
      <c r="L44" s="641"/>
      <c r="M44" s="642"/>
      <c r="N44" s="138">
        <v>0.2</v>
      </c>
      <c r="P44" s="653" t="str">
        <f>'Từ khóa'!F14</f>
        <v>Đi ăn ở ngoài</v>
      </c>
      <c r="Q44" s="654"/>
      <c r="R44" s="654"/>
      <c r="S44" s="654"/>
      <c r="T44" s="655">
        <f>'Kế hoạch thu nhập và chi tiêu'!L28</f>
        <v>2</v>
      </c>
      <c r="U44" s="655"/>
      <c r="V44" s="263"/>
      <c r="W44" s="264">
        <f t="shared" ca="1" si="3"/>
        <v>0.8</v>
      </c>
      <c r="X44" s="656">
        <f t="shared" ca="1" si="4"/>
        <v>1.2</v>
      </c>
      <c r="Y44" s="657"/>
      <c r="Z44" s="646"/>
      <c r="AA44" s="646"/>
      <c r="AB44" s="646"/>
      <c r="AC44" s="646"/>
      <c r="AD44" s="646"/>
      <c r="AE44" s="646"/>
      <c r="AF44" s="646"/>
      <c r="AG44" s="646"/>
      <c r="AH44" s="646"/>
      <c r="AI44" s="646"/>
      <c r="AJ44" s="646"/>
      <c r="AK44" s="658"/>
    </row>
    <row r="45" spans="5:37" ht="15" x14ac:dyDescent="0.55000000000000004">
      <c r="E45" s="638">
        <v>44571</v>
      </c>
      <c r="F45" s="639"/>
      <c r="G45" s="640" t="s">
        <v>7</v>
      </c>
      <c r="H45" s="641"/>
      <c r="I45" s="641"/>
      <c r="J45" s="642"/>
      <c r="K45" s="640"/>
      <c r="L45" s="641"/>
      <c r="M45" s="642"/>
      <c r="N45" s="138">
        <v>0.6</v>
      </c>
      <c r="P45" s="653" t="str">
        <f>'Từ khóa'!F15</f>
        <v>Chi tiền phát triển bản thân</v>
      </c>
      <c r="Q45" s="654"/>
      <c r="R45" s="654"/>
      <c r="S45" s="654"/>
      <c r="T45" s="655">
        <f>'Kế hoạch thu nhập và chi tiêu'!L29</f>
        <v>1.5</v>
      </c>
      <c r="U45" s="655"/>
      <c r="V45" s="263"/>
      <c r="W45" s="264">
        <f t="shared" ca="1" si="3"/>
        <v>1.1000000000000001</v>
      </c>
      <c r="X45" s="656">
        <f t="shared" ca="1" si="4"/>
        <v>0.39999999999999991</v>
      </c>
      <c r="Y45" s="657"/>
      <c r="Z45" s="646"/>
      <c r="AA45" s="646"/>
      <c r="AB45" s="646"/>
      <c r="AC45" s="646"/>
      <c r="AD45" s="646"/>
      <c r="AE45" s="646"/>
      <c r="AF45" s="646"/>
      <c r="AG45" s="646"/>
      <c r="AH45" s="646"/>
      <c r="AI45" s="646"/>
      <c r="AJ45" s="646"/>
      <c r="AK45" s="658"/>
    </row>
    <row r="46" spans="5:37" ht="15" x14ac:dyDescent="0.55000000000000004">
      <c r="E46" s="638">
        <v>44589</v>
      </c>
      <c r="F46" s="639"/>
      <c r="G46" s="640" t="s">
        <v>10</v>
      </c>
      <c r="H46" s="641"/>
      <c r="I46" s="641"/>
      <c r="J46" s="642"/>
      <c r="K46" s="640" t="s">
        <v>417</v>
      </c>
      <c r="L46" s="641"/>
      <c r="M46" s="642"/>
      <c r="N46" s="138">
        <v>0.5</v>
      </c>
      <c r="P46" s="653" t="str">
        <f>'Từ khóa'!F16</f>
        <v>Chi tiền bảo hiểm</v>
      </c>
      <c r="Q46" s="654"/>
      <c r="R46" s="654"/>
      <c r="S46" s="654"/>
      <c r="T46" s="655">
        <f>'Kế hoạch thu nhập và chi tiêu'!L30</f>
        <v>0</v>
      </c>
      <c r="U46" s="655"/>
      <c r="V46" s="263"/>
      <c r="W46" s="264">
        <f t="shared" ca="1" si="3"/>
        <v>0</v>
      </c>
      <c r="X46" s="656">
        <f t="shared" ca="1" si="4"/>
        <v>0</v>
      </c>
      <c r="Y46" s="657"/>
      <c r="Z46" s="646"/>
      <c r="AA46" s="646"/>
      <c r="AB46" s="646"/>
      <c r="AC46" s="646"/>
      <c r="AD46" s="646"/>
      <c r="AE46" s="646"/>
      <c r="AF46" s="646"/>
      <c r="AG46" s="646"/>
      <c r="AH46" s="646"/>
      <c r="AI46" s="646"/>
      <c r="AJ46" s="646"/>
      <c r="AK46" s="658"/>
    </row>
    <row r="47" spans="5:37" ht="15" x14ac:dyDescent="0.55000000000000004">
      <c r="E47" s="638">
        <v>44590</v>
      </c>
      <c r="F47" s="639"/>
      <c r="G47" s="640" t="s">
        <v>10</v>
      </c>
      <c r="H47" s="641"/>
      <c r="I47" s="641"/>
      <c r="J47" s="642"/>
      <c r="K47" s="640" t="s">
        <v>418</v>
      </c>
      <c r="L47" s="641"/>
      <c r="M47" s="642"/>
      <c r="N47" s="138">
        <v>0.3</v>
      </c>
      <c r="P47" s="653" t="str">
        <f>'Từ khóa'!F17</f>
        <v>Chi tiền điện, nước, internet, điện thoại, xăng xe</v>
      </c>
      <c r="Q47" s="654"/>
      <c r="R47" s="654"/>
      <c r="S47" s="654"/>
      <c r="T47" s="655">
        <f>'Kế hoạch thu nhập và chi tiêu'!L31</f>
        <v>2</v>
      </c>
      <c r="U47" s="655"/>
      <c r="V47" s="263"/>
      <c r="W47" s="264">
        <f t="shared" ca="1" si="3"/>
        <v>1.3</v>
      </c>
      <c r="X47" s="656">
        <f t="shared" ca="1" si="4"/>
        <v>0.7</v>
      </c>
      <c r="Y47" s="657"/>
      <c r="Z47" s="646"/>
      <c r="AA47" s="646"/>
      <c r="AB47" s="646"/>
      <c r="AC47" s="646"/>
      <c r="AD47" s="646"/>
      <c r="AE47" s="646"/>
      <c r="AF47" s="646"/>
      <c r="AG47" s="646"/>
      <c r="AH47" s="646"/>
      <c r="AI47" s="646"/>
      <c r="AJ47" s="646"/>
      <c r="AK47" s="658"/>
    </row>
    <row r="48" spans="5:37" ht="15" x14ac:dyDescent="0.55000000000000004">
      <c r="E48" s="638">
        <v>44591</v>
      </c>
      <c r="F48" s="639"/>
      <c r="G48" s="640" t="s">
        <v>10</v>
      </c>
      <c r="H48" s="641"/>
      <c r="I48" s="641"/>
      <c r="J48" s="642"/>
      <c r="K48" s="640" t="s">
        <v>419</v>
      </c>
      <c r="L48" s="641"/>
      <c r="M48" s="642"/>
      <c r="N48" s="138">
        <v>0.3</v>
      </c>
      <c r="P48" s="653" t="str">
        <f>'Từ khóa'!F18</f>
        <v>Chi tiền giải trí, quà tặng</v>
      </c>
      <c r="Q48" s="654"/>
      <c r="R48" s="654"/>
      <c r="S48" s="654"/>
      <c r="T48" s="655">
        <f>'Kế hoạch thu nhập và chi tiêu'!L32</f>
        <v>0</v>
      </c>
      <c r="U48" s="655"/>
      <c r="V48" s="263"/>
      <c r="W48" s="264">
        <f t="shared" ca="1" si="3"/>
        <v>0</v>
      </c>
      <c r="X48" s="656">
        <f t="shared" ca="1" si="4"/>
        <v>0</v>
      </c>
      <c r="Y48" s="657"/>
      <c r="Z48" s="646"/>
      <c r="AA48" s="646"/>
      <c r="AB48" s="646"/>
      <c r="AC48" s="646"/>
      <c r="AD48" s="646"/>
      <c r="AE48" s="646"/>
      <c r="AF48" s="646"/>
      <c r="AG48" s="646"/>
      <c r="AH48" s="646"/>
      <c r="AI48" s="646"/>
      <c r="AJ48" s="646"/>
      <c r="AK48" s="658"/>
    </row>
    <row r="49" spans="5:37" ht="15" x14ac:dyDescent="0.55000000000000004">
      <c r="E49" s="638">
        <v>44576</v>
      </c>
      <c r="F49" s="639"/>
      <c r="G49" s="640" t="s">
        <v>10</v>
      </c>
      <c r="H49" s="641"/>
      <c r="I49" s="641"/>
      <c r="J49" s="642"/>
      <c r="K49" s="640" t="s">
        <v>395</v>
      </c>
      <c r="L49" s="641"/>
      <c r="M49" s="642"/>
      <c r="N49" s="138">
        <v>0.2</v>
      </c>
      <c r="P49" s="653" t="str">
        <f>'Từ khóa'!F19</f>
        <v>Chi tiền cho con</v>
      </c>
      <c r="Q49" s="654"/>
      <c r="R49" s="654"/>
      <c r="S49" s="654"/>
      <c r="T49" s="655">
        <f>'Kế hoạch thu nhập và chi tiêu'!L33</f>
        <v>0</v>
      </c>
      <c r="U49" s="655"/>
      <c r="V49" s="263"/>
      <c r="W49" s="264">
        <f t="shared" ca="1" si="3"/>
        <v>0</v>
      </c>
      <c r="X49" s="656">
        <f t="shared" ca="1" si="4"/>
        <v>0</v>
      </c>
      <c r="Y49" s="657"/>
      <c r="Z49" s="646"/>
      <c r="AA49" s="646"/>
      <c r="AB49" s="646"/>
      <c r="AC49" s="646"/>
      <c r="AD49" s="646"/>
      <c r="AE49" s="646"/>
      <c r="AF49" s="646"/>
      <c r="AG49" s="646"/>
      <c r="AH49" s="646"/>
      <c r="AI49" s="646"/>
      <c r="AJ49" s="646"/>
      <c r="AK49" s="658"/>
    </row>
    <row r="50" spans="5:37" ht="15" x14ac:dyDescent="0.55000000000000004">
      <c r="E50" s="638">
        <v>44571</v>
      </c>
      <c r="F50" s="639"/>
      <c r="G50" s="640" t="s">
        <v>13</v>
      </c>
      <c r="H50" s="641"/>
      <c r="I50" s="641"/>
      <c r="J50" s="642"/>
      <c r="K50" s="640"/>
      <c r="L50" s="641"/>
      <c r="M50" s="642"/>
      <c r="N50" s="138">
        <v>6.5</v>
      </c>
      <c r="P50" s="653" t="str">
        <f>'Từ khóa'!F20</f>
        <v>Chi tiền trả nợ</v>
      </c>
      <c r="Q50" s="654"/>
      <c r="R50" s="654"/>
      <c r="S50" s="654"/>
      <c r="T50" s="655">
        <f>'Kế hoạch thu nhập và chi tiêu'!L34</f>
        <v>6.5</v>
      </c>
      <c r="U50" s="655"/>
      <c r="V50" s="263"/>
      <c r="W50" s="264">
        <f t="shared" ca="1" si="3"/>
        <v>6.5</v>
      </c>
      <c r="X50" s="656">
        <f t="shared" ca="1" si="4"/>
        <v>0</v>
      </c>
      <c r="Y50" s="657"/>
      <c r="Z50" s="646"/>
      <c r="AA50" s="646"/>
      <c r="AB50" s="646"/>
      <c r="AC50" s="646"/>
      <c r="AD50" s="646"/>
      <c r="AE50" s="646"/>
      <c r="AF50" s="646"/>
      <c r="AG50" s="646"/>
      <c r="AH50" s="646"/>
      <c r="AI50" s="646"/>
      <c r="AJ50" s="646"/>
      <c r="AK50" s="658"/>
    </row>
    <row r="51" spans="5:37" ht="15" x14ac:dyDescent="0.55000000000000004">
      <c r="E51" s="638">
        <v>44566</v>
      </c>
      <c r="F51" s="639"/>
      <c r="G51" s="640" t="s">
        <v>14</v>
      </c>
      <c r="H51" s="641"/>
      <c r="I51" s="641"/>
      <c r="J51" s="642"/>
      <c r="K51" s="640"/>
      <c r="L51" s="641"/>
      <c r="M51" s="642"/>
      <c r="N51" s="138">
        <v>2</v>
      </c>
      <c r="P51" s="653" t="str">
        <f>'Từ khóa'!F21</f>
        <v>Chi tiền cho tặng gia đình</v>
      </c>
      <c r="Q51" s="654"/>
      <c r="R51" s="654"/>
      <c r="S51" s="654"/>
      <c r="T51" s="655">
        <f>'Kế hoạch thu nhập và chi tiêu'!L35</f>
        <v>1</v>
      </c>
      <c r="U51" s="655"/>
      <c r="V51" s="263"/>
      <c r="W51" s="264">
        <f t="shared" ca="1" si="3"/>
        <v>2</v>
      </c>
      <c r="X51" s="656">
        <f t="shared" ca="1" si="4"/>
        <v>-1</v>
      </c>
      <c r="Y51" s="657"/>
      <c r="Z51" s="646"/>
      <c r="AA51" s="646"/>
      <c r="AB51" s="646"/>
      <c r="AC51" s="646"/>
      <c r="AD51" s="646"/>
      <c r="AE51" s="646"/>
      <c r="AF51" s="646"/>
      <c r="AG51" s="646"/>
      <c r="AH51" s="646"/>
      <c r="AI51" s="646"/>
      <c r="AJ51" s="646"/>
      <c r="AK51" s="658"/>
    </row>
    <row r="52" spans="5:37" ht="15" x14ac:dyDescent="0.55000000000000004">
      <c r="E52" s="638">
        <v>44562</v>
      </c>
      <c r="F52" s="639"/>
      <c r="G52" s="640" t="s">
        <v>8</v>
      </c>
      <c r="H52" s="641"/>
      <c r="I52" s="641"/>
      <c r="J52" s="642"/>
      <c r="K52" s="640" t="s">
        <v>23</v>
      </c>
      <c r="L52" s="641"/>
      <c r="M52" s="642"/>
      <c r="N52" s="138">
        <v>0.1</v>
      </c>
      <c r="P52" s="653" t="str">
        <f>'Từ khóa'!F22</f>
        <v>Chi tiêu 1</v>
      </c>
      <c r="Q52" s="654"/>
      <c r="R52" s="654"/>
      <c r="S52" s="654"/>
      <c r="T52" s="655">
        <f>'Kế hoạch thu nhập và chi tiêu'!L36</f>
        <v>0</v>
      </c>
      <c r="U52" s="655"/>
      <c r="V52" s="263"/>
      <c r="W52" s="264">
        <f t="shared" ca="1" si="3"/>
        <v>0</v>
      </c>
      <c r="X52" s="656">
        <f t="shared" ca="1" si="4"/>
        <v>0</v>
      </c>
      <c r="Y52" s="657"/>
      <c r="Z52" s="646"/>
      <c r="AA52" s="646"/>
      <c r="AB52" s="646"/>
      <c r="AC52" s="646"/>
      <c r="AD52" s="646"/>
      <c r="AE52" s="646"/>
      <c r="AF52" s="646"/>
      <c r="AG52" s="646"/>
      <c r="AH52" s="646"/>
      <c r="AI52" s="646"/>
      <c r="AJ52" s="646"/>
      <c r="AK52" s="658"/>
    </row>
    <row r="53" spans="5:37" ht="15" x14ac:dyDescent="0.55000000000000004">
      <c r="E53" s="638">
        <v>44573</v>
      </c>
      <c r="F53" s="639"/>
      <c r="G53" s="640" t="s">
        <v>8</v>
      </c>
      <c r="H53" s="641"/>
      <c r="I53" s="641"/>
      <c r="J53" s="642"/>
      <c r="K53" s="640" t="s">
        <v>169</v>
      </c>
      <c r="L53" s="641"/>
      <c r="M53" s="642"/>
      <c r="N53" s="138">
        <v>1</v>
      </c>
      <c r="P53" s="653" t="str">
        <f>'Từ khóa'!F23</f>
        <v>Chi tiêu 2</v>
      </c>
      <c r="Q53" s="654"/>
      <c r="R53" s="654"/>
      <c r="S53" s="654"/>
      <c r="T53" s="655">
        <f>'Kế hoạch thu nhập và chi tiêu'!L37</f>
        <v>0</v>
      </c>
      <c r="U53" s="655"/>
      <c r="V53" s="263"/>
      <c r="W53" s="264">
        <f t="shared" ca="1" si="3"/>
        <v>0</v>
      </c>
      <c r="X53" s="656">
        <f t="shared" ca="1" si="4"/>
        <v>0</v>
      </c>
      <c r="Y53" s="657"/>
      <c r="Z53" s="646"/>
      <c r="AA53" s="646"/>
      <c r="AB53" s="646"/>
      <c r="AC53" s="646"/>
      <c r="AD53" s="646"/>
      <c r="AE53" s="646"/>
      <c r="AF53" s="646"/>
      <c r="AG53" s="646"/>
      <c r="AH53" s="646"/>
      <c r="AI53" s="646"/>
      <c r="AJ53" s="646"/>
      <c r="AK53" s="658"/>
    </row>
    <row r="54" spans="5:37" ht="15" x14ac:dyDescent="0.55000000000000004">
      <c r="E54" s="638"/>
      <c r="F54" s="639"/>
      <c r="G54" s="640"/>
      <c r="H54" s="641"/>
      <c r="I54" s="641"/>
      <c r="J54" s="642"/>
      <c r="K54" s="640"/>
      <c r="L54" s="641"/>
      <c r="M54" s="642"/>
      <c r="N54" s="138"/>
      <c r="P54" s="653" t="str">
        <f>'Từ khóa'!F24</f>
        <v>Chi tiêu 3</v>
      </c>
      <c r="Q54" s="654"/>
      <c r="R54" s="654"/>
      <c r="S54" s="654"/>
      <c r="T54" s="655">
        <f>'Kế hoạch thu nhập và chi tiêu'!L38</f>
        <v>0</v>
      </c>
      <c r="U54" s="655"/>
      <c r="V54" s="263"/>
      <c r="W54" s="264">
        <f t="shared" ca="1" si="3"/>
        <v>0</v>
      </c>
      <c r="X54" s="656">
        <f t="shared" ca="1" si="4"/>
        <v>0</v>
      </c>
      <c r="Y54" s="657"/>
      <c r="Z54" s="646"/>
      <c r="AA54" s="646"/>
      <c r="AB54" s="646"/>
      <c r="AC54" s="646"/>
      <c r="AD54" s="646"/>
      <c r="AE54" s="646"/>
      <c r="AF54" s="646"/>
      <c r="AG54" s="646"/>
      <c r="AH54" s="646"/>
      <c r="AI54" s="646"/>
      <c r="AJ54" s="646"/>
      <c r="AK54" s="658"/>
    </row>
    <row r="55" spans="5:37" ht="15" x14ac:dyDescent="0.55000000000000004">
      <c r="E55" s="638"/>
      <c r="F55" s="639"/>
      <c r="G55" s="640"/>
      <c r="H55" s="641"/>
      <c r="I55" s="641"/>
      <c r="J55" s="642"/>
      <c r="K55" s="640"/>
      <c r="L55" s="641"/>
      <c r="M55" s="642"/>
      <c r="N55" s="138"/>
      <c r="P55" s="653" t="str">
        <f>'Từ khóa'!F25</f>
        <v>Chi tiêu 4</v>
      </c>
      <c r="Q55" s="654"/>
      <c r="R55" s="654"/>
      <c r="S55" s="654"/>
      <c r="T55" s="655">
        <f>'Kế hoạch thu nhập và chi tiêu'!L39</f>
        <v>0</v>
      </c>
      <c r="U55" s="655"/>
      <c r="V55" s="263"/>
      <c r="W55" s="264">
        <f t="shared" ca="1" si="3"/>
        <v>0</v>
      </c>
      <c r="X55" s="656">
        <f t="shared" ca="1" si="4"/>
        <v>0</v>
      </c>
      <c r="Y55" s="657"/>
      <c r="Z55" s="646"/>
      <c r="AA55" s="646"/>
      <c r="AB55" s="646"/>
      <c r="AC55" s="646"/>
      <c r="AD55" s="646"/>
      <c r="AE55" s="646"/>
      <c r="AF55" s="646"/>
      <c r="AG55" s="646"/>
      <c r="AH55" s="646"/>
      <c r="AI55" s="646"/>
      <c r="AJ55" s="646"/>
      <c r="AK55" s="658"/>
    </row>
    <row r="56" spans="5:37" ht="15" x14ac:dyDescent="0.55000000000000004">
      <c r="E56" s="638"/>
      <c r="F56" s="639"/>
      <c r="G56" s="640"/>
      <c r="H56" s="641"/>
      <c r="I56" s="641"/>
      <c r="J56" s="642"/>
      <c r="K56" s="640"/>
      <c r="L56" s="641"/>
      <c r="M56" s="642"/>
      <c r="N56" s="138"/>
      <c r="P56" s="653" t="str">
        <f>'Từ khóa'!F26</f>
        <v>Chi tiêu 5</v>
      </c>
      <c r="Q56" s="654"/>
      <c r="R56" s="654"/>
      <c r="S56" s="654"/>
      <c r="T56" s="655">
        <f>'Kế hoạch thu nhập và chi tiêu'!L40</f>
        <v>0</v>
      </c>
      <c r="U56" s="655"/>
      <c r="V56" s="263"/>
      <c r="W56" s="264"/>
      <c r="X56" s="656">
        <f t="shared" si="4"/>
        <v>0</v>
      </c>
      <c r="Y56" s="657"/>
      <c r="Z56" s="646"/>
      <c r="AA56" s="646"/>
      <c r="AB56" s="646"/>
      <c r="AC56" s="646"/>
      <c r="AD56" s="646"/>
      <c r="AE56" s="646"/>
      <c r="AF56" s="646"/>
      <c r="AG56" s="646"/>
      <c r="AH56" s="646"/>
      <c r="AI56" s="646"/>
      <c r="AJ56" s="646"/>
      <c r="AK56" s="658"/>
    </row>
    <row r="57" spans="5:37" ht="15.4" thickBot="1" x14ac:dyDescent="0.6">
      <c r="E57" s="638"/>
      <c r="F57" s="639"/>
      <c r="G57" s="640"/>
      <c r="H57" s="641"/>
      <c r="I57" s="641"/>
      <c r="J57" s="642"/>
      <c r="K57" s="640"/>
      <c r="L57" s="641"/>
      <c r="M57" s="642"/>
      <c r="N57" s="138"/>
      <c r="P57" s="671" t="s">
        <v>317</v>
      </c>
      <c r="Q57" s="672"/>
      <c r="R57" s="672"/>
      <c r="S57" s="673"/>
      <c r="T57" s="674">
        <f>SUM(T42:U56)</f>
        <v>18.5</v>
      </c>
      <c r="U57" s="675"/>
      <c r="V57" s="674">
        <f ca="1">SUM(W42:W56)</f>
        <v>17.5</v>
      </c>
      <c r="W57" s="675"/>
      <c r="X57" s="674">
        <f t="shared" ref="X57" ca="1" si="5">SUM(X42:Y56)</f>
        <v>0.99999999999999978</v>
      </c>
      <c r="Y57" s="675"/>
      <c r="Z57" s="669"/>
      <c r="AA57" s="669"/>
      <c r="AB57" s="669"/>
      <c r="AC57" s="669"/>
      <c r="AD57" s="669"/>
      <c r="AE57" s="669"/>
      <c r="AF57" s="669"/>
      <c r="AG57" s="669"/>
      <c r="AH57" s="669"/>
      <c r="AI57" s="669"/>
      <c r="AJ57" s="669"/>
      <c r="AK57" s="670"/>
    </row>
    <row r="58" spans="5:37" ht="15" x14ac:dyDescent="0.55000000000000004">
      <c r="E58" s="638"/>
      <c r="F58" s="639"/>
      <c r="G58" s="640"/>
      <c r="H58" s="641"/>
      <c r="I58" s="641"/>
      <c r="J58" s="642"/>
      <c r="K58" s="640"/>
      <c r="L58" s="641"/>
      <c r="M58" s="642"/>
      <c r="N58" s="139"/>
      <c r="Q58" s="6"/>
      <c r="R58" s="6"/>
      <c r="S58" s="6"/>
      <c r="T58" s="6"/>
    </row>
    <row r="59" spans="5:37" ht="15" x14ac:dyDescent="0.55000000000000004">
      <c r="E59" s="638"/>
      <c r="F59" s="639"/>
      <c r="G59" s="640"/>
      <c r="H59" s="641"/>
      <c r="I59" s="641"/>
      <c r="J59" s="642"/>
      <c r="K59" s="640"/>
      <c r="L59" s="641"/>
      <c r="M59" s="642"/>
      <c r="N59" s="140"/>
      <c r="Q59" s="6"/>
      <c r="R59" s="6"/>
      <c r="S59" s="6"/>
      <c r="T59" s="6"/>
    </row>
    <row r="60" spans="5:37" ht="15" x14ac:dyDescent="0.55000000000000004">
      <c r="E60" s="638"/>
      <c r="F60" s="639"/>
      <c r="G60" s="640"/>
      <c r="H60" s="641"/>
      <c r="I60" s="641"/>
      <c r="J60" s="642"/>
      <c r="K60" s="640"/>
      <c r="L60" s="641"/>
      <c r="M60" s="642"/>
      <c r="N60" s="140"/>
    </row>
    <row r="61" spans="5:37" ht="15" x14ac:dyDescent="0.55000000000000004">
      <c r="E61" s="638"/>
      <c r="F61" s="639"/>
      <c r="G61" s="640"/>
      <c r="H61" s="641"/>
      <c r="I61" s="641"/>
      <c r="J61" s="642"/>
      <c r="K61" s="640"/>
      <c r="L61" s="641"/>
      <c r="M61" s="642"/>
      <c r="N61" s="140"/>
    </row>
    <row r="62" spans="5:37" ht="15" x14ac:dyDescent="0.55000000000000004">
      <c r="E62" s="638"/>
      <c r="F62" s="639"/>
      <c r="G62" s="640"/>
      <c r="H62" s="641"/>
      <c r="I62" s="641"/>
      <c r="J62" s="642"/>
      <c r="K62" s="640"/>
      <c r="L62" s="641"/>
      <c r="M62" s="642"/>
      <c r="N62" s="140"/>
    </row>
    <row r="63" spans="5:37" ht="15" x14ac:dyDescent="0.55000000000000004">
      <c r="E63" s="638"/>
      <c r="F63" s="639"/>
      <c r="G63" s="640"/>
      <c r="H63" s="641"/>
      <c r="I63" s="641"/>
      <c r="J63" s="642"/>
      <c r="K63" s="640"/>
      <c r="L63" s="641"/>
      <c r="M63" s="642"/>
      <c r="N63" s="140"/>
    </row>
    <row r="64" spans="5:37" ht="15" x14ac:dyDescent="0.55000000000000004">
      <c r="E64" s="638"/>
      <c r="F64" s="639"/>
      <c r="G64" s="640"/>
      <c r="H64" s="641"/>
      <c r="I64" s="641"/>
      <c r="J64" s="642"/>
      <c r="K64" s="640"/>
      <c r="L64" s="641"/>
      <c r="M64" s="642"/>
      <c r="N64" s="140"/>
    </row>
    <row r="65" spans="5:14" ht="15" x14ac:dyDescent="0.55000000000000004">
      <c r="E65" s="638"/>
      <c r="F65" s="639"/>
      <c r="G65" s="640"/>
      <c r="H65" s="641"/>
      <c r="I65" s="641"/>
      <c r="J65" s="642"/>
      <c r="K65" s="640"/>
      <c r="L65" s="641"/>
      <c r="M65" s="642"/>
      <c r="N65" s="140"/>
    </row>
    <row r="66" spans="5:14" ht="15" x14ac:dyDescent="0.55000000000000004">
      <c r="E66" s="638"/>
      <c r="F66" s="639"/>
      <c r="G66" s="640"/>
      <c r="H66" s="641"/>
      <c r="I66" s="641"/>
      <c r="J66" s="642"/>
      <c r="K66" s="640"/>
      <c r="L66" s="641"/>
      <c r="M66" s="642"/>
      <c r="N66" s="140"/>
    </row>
    <row r="67" spans="5:14" ht="15" x14ac:dyDescent="0.55000000000000004">
      <c r="E67" s="638"/>
      <c r="F67" s="639"/>
      <c r="G67" s="640"/>
      <c r="H67" s="641"/>
      <c r="I67" s="641"/>
      <c r="J67" s="642"/>
      <c r="K67" s="640"/>
      <c r="L67" s="641"/>
      <c r="M67" s="642"/>
      <c r="N67" s="140"/>
    </row>
    <row r="68" spans="5:14" ht="15" x14ac:dyDescent="0.55000000000000004">
      <c r="E68" s="638"/>
      <c r="F68" s="639"/>
      <c r="G68" s="640"/>
      <c r="H68" s="641"/>
      <c r="I68" s="641"/>
      <c r="J68" s="642"/>
      <c r="K68" s="640"/>
      <c r="L68" s="641"/>
      <c r="M68" s="642"/>
      <c r="N68" s="140"/>
    </row>
    <row r="69" spans="5:14" ht="15" x14ac:dyDescent="0.55000000000000004">
      <c r="E69" s="638"/>
      <c r="F69" s="639"/>
      <c r="G69" s="640"/>
      <c r="H69" s="641"/>
      <c r="I69" s="641"/>
      <c r="J69" s="642"/>
      <c r="K69" s="640"/>
      <c r="L69" s="641"/>
      <c r="M69" s="642"/>
      <c r="N69" s="140"/>
    </row>
    <row r="70" spans="5:14" ht="15" x14ac:dyDescent="0.55000000000000004">
      <c r="E70" s="638"/>
      <c r="F70" s="639"/>
      <c r="G70" s="640"/>
      <c r="H70" s="641"/>
      <c r="I70" s="641"/>
      <c r="J70" s="642"/>
      <c r="K70" s="640"/>
      <c r="L70" s="641"/>
      <c r="M70" s="642"/>
      <c r="N70" s="140"/>
    </row>
    <row r="71" spans="5:14" ht="15" x14ac:dyDescent="0.55000000000000004">
      <c r="E71" s="638"/>
      <c r="F71" s="639"/>
      <c r="G71" s="640"/>
      <c r="H71" s="641"/>
      <c r="I71" s="641"/>
      <c r="J71" s="642"/>
      <c r="K71" s="640"/>
      <c r="L71" s="641"/>
      <c r="M71" s="642"/>
      <c r="N71" s="140"/>
    </row>
    <row r="72" spans="5:14" ht="15" x14ac:dyDescent="0.55000000000000004">
      <c r="E72" s="638"/>
      <c r="F72" s="639"/>
      <c r="G72" s="640"/>
      <c r="H72" s="641"/>
      <c r="I72" s="641"/>
      <c r="J72" s="642"/>
      <c r="K72" s="640"/>
      <c r="L72" s="641"/>
      <c r="M72" s="642"/>
      <c r="N72" s="140"/>
    </row>
    <row r="73" spans="5:14" ht="15" x14ac:dyDescent="0.55000000000000004">
      <c r="E73" s="638"/>
      <c r="F73" s="639"/>
      <c r="G73" s="640"/>
      <c r="H73" s="641"/>
      <c r="I73" s="641"/>
      <c r="J73" s="642"/>
      <c r="K73" s="640"/>
      <c r="L73" s="641"/>
      <c r="M73" s="642"/>
      <c r="N73" s="140"/>
    </row>
    <row r="74" spans="5:14" ht="15" x14ac:dyDescent="0.55000000000000004">
      <c r="E74" s="638"/>
      <c r="F74" s="639"/>
      <c r="G74" s="640"/>
      <c r="H74" s="641"/>
      <c r="I74" s="641"/>
      <c r="J74" s="642"/>
      <c r="K74" s="640"/>
      <c r="L74" s="641"/>
      <c r="M74" s="642"/>
      <c r="N74" s="140"/>
    </row>
    <row r="75" spans="5:14" ht="15" x14ac:dyDescent="0.55000000000000004">
      <c r="E75" s="638"/>
      <c r="F75" s="639"/>
      <c r="G75" s="640"/>
      <c r="H75" s="641"/>
      <c r="I75" s="641"/>
      <c r="J75" s="642"/>
      <c r="K75" s="640"/>
      <c r="L75" s="641"/>
      <c r="M75" s="642"/>
      <c r="N75" s="140"/>
    </row>
    <row r="76" spans="5:14" ht="15" x14ac:dyDescent="0.55000000000000004">
      <c r="E76" s="638"/>
      <c r="F76" s="639"/>
      <c r="G76" s="640"/>
      <c r="H76" s="641"/>
      <c r="I76" s="641"/>
      <c r="J76" s="642"/>
      <c r="K76" s="640"/>
      <c r="L76" s="641"/>
      <c r="M76" s="642"/>
      <c r="N76" s="140"/>
    </row>
    <row r="77" spans="5:14" ht="15" x14ac:dyDescent="0.55000000000000004">
      <c r="E77" s="638"/>
      <c r="F77" s="639"/>
      <c r="G77" s="640"/>
      <c r="H77" s="641"/>
      <c r="I77" s="641"/>
      <c r="J77" s="642"/>
      <c r="K77" s="640"/>
      <c r="L77" s="641"/>
      <c r="M77" s="642"/>
      <c r="N77" s="140"/>
    </row>
    <row r="78" spans="5:14" ht="15" x14ac:dyDescent="0.55000000000000004">
      <c r="E78" s="638"/>
      <c r="F78" s="639"/>
      <c r="G78" s="640"/>
      <c r="H78" s="641"/>
      <c r="I78" s="641"/>
      <c r="J78" s="642"/>
      <c r="K78" s="640"/>
      <c r="L78" s="641"/>
      <c r="M78" s="642"/>
      <c r="N78" s="140"/>
    </row>
    <row r="79" spans="5:14" ht="15" x14ac:dyDescent="0.55000000000000004">
      <c r="E79" s="638"/>
      <c r="F79" s="639"/>
      <c r="G79" s="640"/>
      <c r="H79" s="641"/>
      <c r="I79" s="641"/>
      <c r="J79" s="642"/>
      <c r="K79" s="640"/>
      <c r="L79" s="641"/>
      <c r="M79" s="642"/>
      <c r="N79" s="140"/>
    </row>
    <row r="80" spans="5:14" ht="15" x14ac:dyDescent="0.55000000000000004">
      <c r="E80" s="638"/>
      <c r="F80" s="639"/>
      <c r="G80" s="640"/>
      <c r="H80" s="641"/>
      <c r="I80" s="641"/>
      <c r="J80" s="642"/>
      <c r="K80" s="640"/>
      <c r="L80" s="641"/>
      <c r="M80" s="642"/>
      <c r="N80" s="140"/>
    </row>
    <row r="81" spans="1:31" ht="15" x14ac:dyDescent="0.55000000000000004">
      <c r="E81" s="638"/>
      <c r="F81" s="639"/>
      <c r="G81" s="640"/>
      <c r="H81" s="641"/>
      <c r="I81" s="641"/>
      <c r="J81" s="642"/>
      <c r="K81" s="640"/>
      <c r="L81" s="641"/>
      <c r="M81" s="642"/>
      <c r="N81" s="140"/>
    </row>
    <row r="82" spans="1:31" ht="15" x14ac:dyDescent="0.55000000000000004">
      <c r="E82" s="638"/>
      <c r="F82" s="639"/>
      <c r="G82" s="640"/>
      <c r="H82" s="641"/>
      <c r="I82" s="641"/>
      <c r="J82" s="642"/>
      <c r="K82" s="640"/>
      <c r="L82" s="641"/>
      <c r="M82" s="642"/>
      <c r="N82" s="140"/>
    </row>
    <row r="83" spans="1:31" ht="15.4" thickBot="1" x14ac:dyDescent="0.6">
      <c r="E83" s="671" t="s">
        <v>317</v>
      </c>
      <c r="F83" s="672"/>
      <c r="G83" s="672"/>
      <c r="H83" s="672"/>
      <c r="I83" s="672"/>
      <c r="J83" s="672"/>
      <c r="K83" s="672"/>
      <c r="L83" s="672"/>
      <c r="M83" s="673"/>
      <c r="N83" s="143">
        <f>SUM(N42:N82)</f>
        <v>17.5</v>
      </c>
    </row>
    <row r="86" spans="1:31" ht="15" customHeight="1" x14ac:dyDescent="0.45">
      <c r="E86" s="532" t="s">
        <v>348</v>
      </c>
      <c r="F86" s="532"/>
      <c r="G86" s="532"/>
      <c r="H86" s="532"/>
      <c r="I86" s="532"/>
      <c r="J86" s="532"/>
      <c r="K86" s="532"/>
      <c r="L86" s="532"/>
      <c r="M86" s="532"/>
      <c r="N86" s="5"/>
      <c r="O86" s="5"/>
      <c r="P86" s="5"/>
      <c r="Q86" s="5"/>
      <c r="R86" s="5"/>
      <c r="S86" s="6"/>
      <c r="T86" s="6"/>
      <c r="U86" s="6"/>
      <c r="V86" s="6"/>
      <c r="W86" s="6"/>
      <c r="X86" s="6"/>
      <c r="Y86" s="6"/>
      <c r="Z86" s="6"/>
      <c r="AA86" s="6"/>
    </row>
    <row r="87" spans="1:31" s="8" customFormat="1" ht="15" customHeight="1" thickBot="1" x14ac:dyDescent="0.5">
      <c r="A87" s="7"/>
      <c r="B87" s="7"/>
      <c r="C87" s="7"/>
      <c r="E87" s="533"/>
      <c r="F87" s="533"/>
      <c r="G87" s="533"/>
      <c r="H87" s="533"/>
      <c r="I87" s="533"/>
      <c r="J87" s="533"/>
      <c r="K87" s="533"/>
      <c r="L87" s="533"/>
      <c r="M87" s="533"/>
      <c r="N87" s="9"/>
      <c r="O87" s="9"/>
      <c r="P87" s="9"/>
      <c r="Q87" s="9"/>
      <c r="R87" s="9"/>
      <c r="S87" s="10"/>
      <c r="T87" s="10"/>
      <c r="U87" s="10"/>
      <c r="V87" s="10"/>
      <c r="W87" s="10"/>
      <c r="X87" s="10"/>
      <c r="Y87" s="10"/>
      <c r="Z87" s="10"/>
      <c r="AA87" s="10"/>
    </row>
    <row r="88" spans="1:31" ht="14.65" thickBot="1" x14ac:dyDescent="0.5"/>
    <row r="89" spans="1:31" ht="14.65" thickBot="1" x14ac:dyDescent="0.5">
      <c r="E89" s="620" t="s">
        <v>350</v>
      </c>
      <c r="F89" s="621"/>
      <c r="G89" s="621"/>
      <c r="H89" s="621"/>
      <c r="I89" s="621"/>
      <c r="J89" s="621"/>
      <c r="K89" s="621"/>
      <c r="L89" s="621"/>
      <c r="M89" s="621"/>
      <c r="N89" s="621"/>
      <c r="O89" s="621"/>
      <c r="P89" s="621"/>
      <c r="Q89" s="621"/>
      <c r="R89" s="621"/>
      <c r="S89" s="621"/>
      <c r="T89" s="621"/>
      <c r="U89" s="621"/>
      <c r="V89" s="621"/>
      <c r="W89" s="621"/>
      <c r="X89" s="621"/>
      <c r="Y89" s="622"/>
      <c r="AA89" s="629" t="s">
        <v>353</v>
      </c>
      <c r="AB89" s="630"/>
      <c r="AC89" s="630"/>
      <c r="AD89" s="630"/>
      <c r="AE89" s="631"/>
    </row>
    <row r="90" spans="1:31" x14ac:dyDescent="0.45">
      <c r="E90" s="615" t="s">
        <v>146</v>
      </c>
      <c r="F90" s="350"/>
      <c r="G90" s="350" t="s">
        <v>349</v>
      </c>
      <c r="H90" s="350"/>
      <c r="I90" s="350" t="s">
        <v>345</v>
      </c>
      <c r="J90" s="350"/>
      <c r="K90" s="133" t="s">
        <v>148</v>
      </c>
      <c r="L90" s="350" t="s">
        <v>166</v>
      </c>
      <c r="M90" s="350"/>
      <c r="N90" s="350"/>
      <c r="O90" s="350"/>
      <c r="P90" s="350"/>
      <c r="Q90" s="350"/>
      <c r="R90" s="350"/>
      <c r="S90" s="350" t="s">
        <v>352</v>
      </c>
      <c r="T90" s="350"/>
      <c r="U90" s="350"/>
      <c r="V90" s="350"/>
      <c r="W90" s="350"/>
      <c r="X90" s="350"/>
      <c r="Y90" s="614"/>
      <c r="AA90" s="615" t="s">
        <v>147</v>
      </c>
      <c r="AB90" s="350"/>
      <c r="AC90" s="350"/>
      <c r="AD90" s="350"/>
      <c r="AE90" s="616" t="s">
        <v>324</v>
      </c>
    </row>
    <row r="91" spans="1:31" x14ac:dyDescent="0.45">
      <c r="E91" s="617">
        <v>44562</v>
      </c>
      <c r="F91" s="618"/>
      <c r="G91" s="555" t="s">
        <v>23</v>
      </c>
      <c r="H91" s="555"/>
      <c r="I91" s="555" t="s">
        <v>167</v>
      </c>
      <c r="J91" s="555"/>
      <c r="K91" s="149">
        <v>0.1</v>
      </c>
      <c r="L91" s="619" t="s">
        <v>168</v>
      </c>
      <c r="M91" s="619"/>
      <c r="N91" s="619"/>
      <c r="O91" s="619"/>
      <c r="P91" s="619"/>
      <c r="Q91" s="619"/>
      <c r="R91" s="619"/>
      <c r="S91" s="555" t="s">
        <v>432</v>
      </c>
      <c r="T91" s="555"/>
      <c r="U91" s="555"/>
      <c r="V91" s="555"/>
      <c r="W91" s="555"/>
      <c r="X91" s="555"/>
      <c r="Y91" s="556"/>
      <c r="AA91" s="615"/>
      <c r="AB91" s="350"/>
      <c r="AC91" s="350"/>
      <c r="AD91" s="350"/>
      <c r="AE91" s="616"/>
    </row>
    <row r="92" spans="1:31" x14ac:dyDescent="0.45">
      <c r="E92" s="604">
        <v>44573</v>
      </c>
      <c r="F92" s="605"/>
      <c r="G92" s="557" t="s">
        <v>24</v>
      </c>
      <c r="H92" s="557"/>
      <c r="I92" s="557" t="s">
        <v>169</v>
      </c>
      <c r="J92" s="557"/>
      <c r="K92" s="150">
        <v>1</v>
      </c>
      <c r="L92" s="606" t="s">
        <v>168</v>
      </c>
      <c r="M92" s="606"/>
      <c r="N92" s="606"/>
      <c r="O92" s="606"/>
      <c r="P92" s="606"/>
      <c r="Q92" s="606"/>
      <c r="R92" s="606"/>
      <c r="S92" s="555" t="s">
        <v>432</v>
      </c>
      <c r="T92" s="555"/>
      <c r="U92" s="555"/>
      <c r="V92" s="555"/>
      <c r="W92" s="555"/>
      <c r="X92" s="555"/>
      <c r="Y92" s="556"/>
      <c r="AA92" s="610" t="str">
        <f>'Từ khóa'!S12:S12</f>
        <v>Mua sách</v>
      </c>
      <c r="AB92" s="611"/>
      <c r="AC92" s="611"/>
      <c r="AD92" s="611"/>
      <c r="AE92" s="265">
        <f ca="1">SUMIF($G$91:$H$105,AA92,$K$91:$K$105)</f>
        <v>0.1</v>
      </c>
    </row>
    <row r="93" spans="1:31" x14ac:dyDescent="0.45">
      <c r="E93" s="604"/>
      <c r="F93" s="605"/>
      <c r="G93" s="557"/>
      <c r="H93" s="557"/>
      <c r="I93" s="557"/>
      <c r="J93" s="557"/>
      <c r="K93" s="150"/>
      <c r="L93" s="606"/>
      <c r="M93" s="606"/>
      <c r="N93" s="606"/>
      <c r="O93" s="606"/>
      <c r="P93" s="606"/>
      <c r="Q93" s="606"/>
      <c r="R93" s="606"/>
      <c r="S93" s="557"/>
      <c r="T93" s="557"/>
      <c r="U93" s="557"/>
      <c r="V93" s="557"/>
      <c r="W93" s="557"/>
      <c r="X93" s="557"/>
      <c r="Y93" s="558"/>
      <c r="AA93" s="612" t="str">
        <f>'Từ khóa'!S13:S13</f>
        <v>Khóa học ngắn hạn</v>
      </c>
      <c r="AB93" s="613"/>
      <c r="AC93" s="613"/>
      <c r="AD93" s="613"/>
      <c r="AE93" s="266">
        <f t="shared" ref="AE93:AE101" ca="1" si="6">SUMIF($G$91:$H$105,AA93,$K$91:$K$105)</f>
        <v>1</v>
      </c>
    </row>
    <row r="94" spans="1:31" x14ac:dyDescent="0.45">
      <c r="E94" s="604"/>
      <c r="F94" s="605"/>
      <c r="G94" s="557"/>
      <c r="H94" s="557"/>
      <c r="I94" s="557"/>
      <c r="J94" s="557"/>
      <c r="K94" s="150"/>
      <c r="L94" s="606"/>
      <c r="M94" s="606"/>
      <c r="N94" s="606"/>
      <c r="O94" s="606"/>
      <c r="P94" s="606"/>
      <c r="Q94" s="606"/>
      <c r="R94" s="606"/>
      <c r="S94" s="557"/>
      <c r="T94" s="557"/>
      <c r="U94" s="557"/>
      <c r="V94" s="557"/>
      <c r="W94" s="557"/>
      <c r="X94" s="557"/>
      <c r="Y94" s="558"/>
      <c r="AA94" s="612" t="str">
        <f>'Từ khóa'!S14:S14</f>
        <v>Khóa học dài hạn</v>
      </c>
      <c r="AB94" s="613"/>
      <c r="AC94" s="613"/>
      <c r="AD94" s="613"/>
      <c r="AE94" s="266">
        <f t="shared" ca="1" si="6"/>
        <v>0</v>
      </c>
    </row>
    <row r="95" spans="1:31" x14ac:dyDescent="0.45">
      <c r="E95" s="604"/>
      <c r="F95" s="605"/>
      <c r="G95" s="557"/>
      <c r="H95" s="557"/>
      <c r="I95" s="557"/>
      <c r="J95" s="557"/>
      <c r="K95" s="150"/>
      <c r="L95" s="606"/>
      <c r="M95" s="606"/>
      <c r="N95" s="606"/>
      <c r="O95" s="606"/>
      <c r="P95" s="606"/>
      <c r="Q95" s="606"/>
      <c r="R95" s="606"/>
      <c r="S95" s="557"/>
      <c r="T95" s="557"/>
      <c r="U95" s="557"/>
      <c r="V95" s="557"/>
      <c r="W95" s="557"/>
      <c r="X95" s="557"/>
      <c r="Y95" s="558"/>
      <c r="AA95" s="612" t="e">
        <f>'Từ khóa'!#REF!</f>
        <v>#REF!</v>
      </c>
      <c r="AB95" s="613"/>
      <c r="AC95" s="613"/>
      <c r="AD95" s="613"/>
      <c r="AE95" s="266">
        <f t="shared" ca="1" si="6"/>
        <v>0</v>
      </c>
    </row>
    <row r="96" spans="1:31" x14ac:dyDescent="0.45">
      <c r="E96" s="604"/>
      <c r="F96" s="605"/>
      <c r="G96" s="557"/>
      <c r="H96" s="557"/>
      <c r="I96" s="557"/>
      <c r="J96" s="557"/>
      <c r="K96" s="150"/>
      <c r="L96" s="606"/>
      <c r="M96" s="606"/>
      <c r="N96" s="606"/>
      <c r="O96" s="606"/>
      <c r="P96" s="606"/>
      <c r="Q96" s="606"/>
      <c r="R96" s="606"/>
      <c r="S96" s="557"/>
      <c r="T96" s="557"/>
      <c r="U96" s="557"/>
      <c r="V96" s="557"/>
      <c r="W96" s="557"/>
      <c r="X96" s="557"/>
      <c r="Y96" s="558"/>
      <c r="AA96" s="612" t="str">
        <f>'Từ khóa'!S15:S15</f>
        <v>Tham gia các buổi diễn thuyết</v>
      </c>
      <c r="AB96" s="613"/>
      <c r="AC96" s="613"/>
      <c r="AD96" s="613"/>
      <c r="AE96" s="266">
        <f t="shared" ca="1" si="6"/>
        <v>0</v>
      </c>
    </row>
    <row r="97" spans="5:31" x14ac:dyDescent="0.45">
      <c r="E97" s="604"/>
      <c r="F97" s="605"/>
      <c r="G97" s="557"/>
      <c r="H97" s="557"/>
      <c r="I97" s="557"/>
      <c r="J97" s="557"/>
      <c r="K97" s="150"/>
      <c r="L97" s="606"/>
      <c r="M97" s="606"/>
      <c r="N97" s="606"/>
      <c r="O97" s="606"/>
      <c r="P97" s="606"/>
      <c r="Q97" s="606"/>
      <c r="R97" s="606"/>
      <c r="S97" s="557"/>
      <c r="T97" s="557"/>
      <c r="U97" s="557"/>
      <c r="V97" s="557"/>
      <c r="W97" s="557"/>
      <c r="X97" s="557"/>
      <c r="Y97" s="558"/>
      <c r="AA97" s="612" t="str">
        <f>'Từ khóa'!S16:S16</f>
        <v>Chi phát triển bản thân khác</v>
      </c>
      <c r="AB97" s="613"/>
      <c r="AC97" s="613"/>
      <c r="AD97" s="613"/>
      <c r="AE97" s="266">
        <f t="shared" ca="1" si="6"/>
        <v>0</v>
      </c>
    </row>
    <row r="98" spans="5:31" x14ac:dyDescent="0.45">
      <c r="E98" s="604"/>
      <c r="F98" s="605"/>
      <c r="G98" s="557"/>
      <c r="H98" s="557"/>
      <c r="I98" s="557"/>
      <c r="J98" s="557"/>
      <c r="K98" s="150"/>
      <c r="L98" s="606"/>
      <c r="M98" s="606"/>
      <c r="N98" s="606"/>
      <c r="O98" s="606"/>
      <c r="P98" s="606"/>
      <c r="Q98" s="606"/>
      <c r="R98" s="606"/>
      <c r="S98" s="557"/>
      <c r="T98" s="557"/>
      <c r="U98" s="557"/>
      <c r="V98" s="557"/>
      <c r="W98" s="557"/>
      <c r="X98" s="557"/>
      <c r="Y98" s="558"/>
      <c r="AA98" s="612">
        <f>'Từ khóa'!S18:S18</f>
        <v>0</v>
      </c>
      <c r="AB98" s="613"/>
      <c r="AC98" s="613"/>
      <c r="AD98" s="613"/>
      <c r="AE98" s="266">
        <f t="shared" ca="1" si="6"/>
        <v>0</v>
      </c>
    </row>
    <row r="99" spans="5:31" x14ac:dyDescent="0.45">
      <c r="E99" s="604"/>
      <c r="F99" s="605"/>
      <c r="G99" s="557"/>
      <c r="H99" s="557"/>
      <c r="I99" s="557"/>
      <c r="J99" s="557"/>
      <c r="K99" s="150"/>
      <c r="L99" s="606"/>
      <c r="M99" s="606"/>
      <c r="N99" s="606"/>
      <c r="O99" s="606"/>
      <c r="P99" s="606"/>
      <c r="Q99" s="606"/>
      <c r="R99" s="606"/>
      <c r="S99" s="557"/>
      <c r="T99" s="557"/>
      <c r="U99" s="557"/>
      <c r="V99" s="557"/>
      <c r="W99" s="557"/>
      <c r="X99" s="557"/>
      <c r="Y99" s="558"/>
      <c r="AA99" s="612">
        <f>'Từ khóa'!S19:S19</f>
        <v>0</v>
      </c>
      <c r="AB99" s="613"/>
      <c r="AC99" s="613"/>
      <c r="AD99" s="613"/>
      <c r="AE99" s="266">
        <f t="shared" ca="1" si="6"/>
        <v>0</v>
      </c>
    </row>
    <row r="100" spans="5:31" x14ac:dyDescent="0.45">
      <c r="E100" s="604"/>
      <c r="F100" s="605"/>
      <c r="G100" s="557"/>
      <c r="H100" s="557"/>
      <c r="I100" s="557"/>
      <c r="J100" s="557"/>
      <c r="K100" s="150"/>
      <c r="L100" s="606"/>
      <c r="M100" s="606"/>
      <c r="N100" s="606"/>
      <c r="O100" s="606"/>
      <c r="P100" s="606"/>
      <c r="Q100" s="606"/>
      <c r="R100" s="606"/>
      <c r="S100" s="557"/>
      <c r="T100" s="557"/>
      <c r="U100" s="557"/>
      <c r="V100" s="557"/>
      <c r="W100" s="557"/>
      <c r="X100" s="557"/>
      <c r="Y100" s="558"/>
      <c r="AA100" s="612">
        <f>'Từ khóa'!S20:S20</f>
        <v>0</v>
      </c>
      <c r="AB100" s="613"/>
      <c r="AC100" s="613"/>
      <c r="AD100" s="613"/>
      <c r="AE100" s="266">
        <f t="shared" ca="1" si="6"/>
        <v>0</v>
      </c>
    </row>
    <row r="101" spans="5:31" ht="14.65" thickBot="1" x14ac:dyDescent="0.5">
      <c r="E101" s="604"/>
      <c r="F101" s="605"/>
      <c r="G101" s="557"/>
      <c r="H101" s="557"/>
      <c r="I101" s="557"/>
      <c r="J101" s="557"/>
      <c r="K101" s="150"/>
      <c r="L101" s="606"/>
      <c r="M101" s="606"/>
      <c r="N101" s="606"/>
      <c r="O101" s="606"/>
      <c r="P101" s="606"/>
      <c r="Q101" s="606"/>
      <c r="R101" s="606"/>
      <c r="S101" s="557"/>
      <c r="T101" s="557"/>
      <c r="U101" s="557"/>
      <c r="V101" s="557"/>
      <c r="W101" s="557"/>
      <c r="X101" s="557"/>
      <c r="Y101" s="558"/>
      <c r="AA101" s="596">
        <f>'Từ khóa'!S21:S21</f>
        <v>0</v>
      </c>
      <c r="AB101" s="597"/>
      <c r="AC101" s="597"/>
      <c r="AD101" s="597"/>
      <c r="AE101" s="267">
        <f t="shared" ca="1" si="6"/>
        <v>0</v>
      </c>
    </row>
    <row r="102" spans="5:31" ht="14.65" thickBot="1" x14ac:dyDescent="0.5">
      <c r="E102" s="604"/>
      <c r="F102" s="605"/>
      <c r="G102" s="557"/>
      <c r="H102" s="557"/>
      <c r="I102" s="557"/>
      <c r="J102" s="557"/>
      <c r="K102" s="150"/>
      <c r="L102" s="606"/>
      <c r="M102" s="606"/>
      <c r="N102" s="606"/>
      <c r="O102" s="606"/>
      <c r="P102" s="606"/>
      <c r="Q102" s="606"/>
      <c r="R102" s="606"/>
      <c r="S102" s="557"/>
      <c r="T102" s="557"/>
      <c r="U102" s="557"/>
      <c r="V102" s="557"/>
      <c r="W102" s="557"/>
      <c r="X102" s="557"/>
      <c r="Y102" s="558"/>
      <c r="AA102" s="598" t="s">
        <v>351</v>
      </c>
      <c r="AB102" s="599"/>
      <c r="AC102" s="599"/>
      <c r="AD102" s="599"/>
      <c r="AE102" s="148">
        <f ca="1">SUM(AE92:AE101)</f>
        <v>1.1000000000000001</v>
      </c>
    </row>
    <row r="103" spans="5:31" x14ac:dyDescent="0.45">
      <c r="E103" s="604"/>
      <c r="F103" s="605"/>
      <c r="G103" s="557"/>
      <c r="H103" s="557"/>
      <c r="I103" s="557"/>
      <c r="J103" s="557"/>
      <c r="K103" s="150"/>
      <c r="L103" s="606"/>
      <c r="M103" s="606"/>
      <c r="N103" s="606"/>
      <c r="O103" s="606"/>
      <c r="P103" s="606"/>
      <c r="Q103" s="606"/>
      <c r="R103" s="606"/>
      <c r="S103" s="557"/>
      <c r="T103" s="557"/>
      <c r="U103" s="557"/>
      <c r="V103" s="557"/>
      <c r="W103" s="557"/>
      <c r="X103" s="557"/>
      <c r="Y103" s="558"/>
      <c r="AA103" s="600"/>
      <c r="AB103" s="600"/>
      <c r="AC103" s="600"/>
      <c r="AD103" s="600"/>
    </row>
    <row r="104" spans="5:31" x14ac:dyDescent="0.45">
      <c r="E104" s="604"/>
      <c r="F104" s="605"/>
      <c r="G104" s="557"/>
      <c r="H104" s="557"/>
      <c r="I104" s="557"/>
      <c r="J104" s="557"/>
      <c r="K104" s="150"/>
      <c r="L104" s="606"/>
      <c r="M104" s="606"/>
      <c r="N104" s="606"/>
      <c r="O104" s="606"/>
      <c r="P104" s="606"/>
      <c r="Q104" s="606"/>
      <c r="R104" s="606"/>
      <c r="S104" s="557"/>
      <c r="T104" s="557"/>
      <c r="U104" s="557"/>
      <c r="V104" s="557"/>
      <c r="W104" s="557"/>
      <c r="X104" s="557"/>
      <c r="Y104" s="558"/>
      <c r="AA104" s="600"/>
      <c r="AB104" s="600"/>
      <c r="AC104" s="600"/>
      <c r="AD104" s="600"/>
    </row>
    <row r="105" spans="5:31" ht="14.65" thickBot="1" x14ac:dyDescent="0.5">
      <c r="E105" s="607"/>
      <c r="F105" s="608"/>
      <c r="G105" s="546"/>
      <c r="H105" s="546"/>
      <c r="I105" s="546"/>
      <c r="J105" s="546"/>
      <c r="K105" s="151"/>
      <c r="L105" s="609"/>
      <c r="M105" s="609"/>
      <c r="N105" s="609"/>
      <c r="O105" s="609"/>
      <c r="P105" s="609"/>
      <c r="Q105" s="609"/>
      <c r="R105" s="609"/>
      <c r="S105" s="546"/>
      <c r="T105" s="546"/>
      <c r="U105" s="546"/>
      <c r="V105" s="546"/>
      <c r="W105" s="546"/>
      <c r="X105" s="546"/>
      <c r="Y105" s="547"/>
      <c r="AA105" s="600"/>
      <c r="AB105" s="600"/>
      <c r="AC105" s="600"/>
      <c r="AD105" s="600"/>
    </row>
    <row r="106" spans="5:31" ht="14.65" thickBot="1" x14ac:dyDescent="0.5">
      <c r="E106" s="601" t="s">
        <v>351</v>
      </c>
      <c r="F106" s="602"/>
      <c r="G106" s="602"/>
      <c r="H106" s="602"/>
      <c r="I106" s="602"/>
      <c r="J106" s="602"/>
      <c r="K106" s="603">
        <f>SUM(K91:K105)</f>
        <v>1.1000000000000001</v>
      </c>
      <c r="L106" s="603"/>
      <c r="M106" s="603"/>
      <c r="N106" s="603"/>
      <c r="O106" s="603"/>
      <c r="P106" s="603"/>
      <c r="Q106" s="603"/>
      <c r="R106" s="603"/>
      <c r="S106" s="141"/>
      <c r="T106" s="141"/>
      <c r="U106" s="141"/>
      <c r="V106" s="141"/>
      <c r="W106" s="141"/>
      <c r="X106" s="141"/>
      <c r="Y106" s="142"/>
    </row>
  </sheetData>
  <sheetProtection algorithmName="SHA-512" hashValue="oHBNAmbQv2tbPnkb5U/AJUBT3UpFAAxMg8hJbbac+QrjHD2n3djymnR9H5E4eAB87SOjd2Zq8kJ6V4uGQRi/6A==" saltValue="H/vxyU3hKJ40dtnjAH4FeA==" spinCount="100000" sheet="1" formatCells="0" formatColumns="0" formatRows="0" insertColumns="0" insertRows="0" insertHyperlinks="0" deleteColumns="0" deleteRows="0" sort="0" autoFilter="0" pivotTables="0"/>
  <mergeCells count="423">
    <mergeCell ref="K69:M69"/>
    <mergeCell ref="K70:M70"/>
    <mergeCell ref="K71:M71"/>
    <mergeCell ref="AF52:AK52"/>
    <mergeCell ref="AF53:AK53"/>
    <mergeCell ref="AF54:AK54"/>
    <mergeCell ref="AF55:AK55"/>
    <mergeCell ref="T55:U55"/>
    <mergeCell ref="X51:Y51"/>
    <mergeCell ref="X52:Y52"/>
    <mergeCell ref="X53:Y53"/>
    <mergeCell ref="X54:Y54"/>
    <mergeCell ref="X55:Y55"/>
    <mergeCell ref="Z51:AE51"/>
    <mergeCell ref="Z52:AE52"/>
    <mergeCell ref="Z53:AE53"/>
    <mergeCell ref="Z54:AE54"/>
    <mergeCell ref="Z55:AE55"/>
    <mergeCell ref="P57:S57"/>
    <mergeCell ref="T57:U57"/>
    <mergeCell ref="V57:W57"/>
    <mergeCell ref="X57:Y57"/>
    <mergeCell ref="T52:U52"/>
    <mergeCell ref="T53:U53"/>
    <mergeCell ref="K81:M81"/>
    <mergeCell ref="K82:M82"/>
    <mergeCell ref="E83:M83"/>
    <mergeCell ref="K75:M75"/>
    <mergeCell ref="K76:M76"/>
    <mergeCell ref="K77:M77"/>
    <mergeCell ref="K78:M78"/>
    <mergeCell ref="K79:M79"/>
    <mergeCell ref="K80:M80"/>
    <mergeCell ref="G81:J81"/>
    <mergeCell ref="G82:J82"/>
    <mergeCell ref="E81:F81"/>
    <mergeCell ref="E82:F82"/>
    <mergeCell ref="E79:F79"/>
    <mergeCell ref="E80:F80"/>
    <mergeCell ref="G78:J78"/>
    <mergeCell ref="G79:J79"/>
    <mergeCell ref="G80:J80"/>
    <mergeCell ref="G76:J76"/>
    <mergeCell ref="G77:J77"/>
    <mergeCell ref="G75:J75"/>
    <mergeCell ref="E75:F75"/>
    <mergeCell ref="E76:F76"/>
    <mergeCell ref="E77:F77"/>
    <mergeCell ref="K72:M72"/>
    <mergeCell ref="K73:M73"/>
    <mergeCell ref="K74:M74"/>
    <mergeCell ref="G63:J63"/>
    <mergeCell ref="G64:J64"/>
    <mergeCell ref="G65:J65"/>
    <mergeCell ref="G52:J52"/>
    <mergeCell ref="G53:J53"/>
    <mergeCell ref="G54:J54"/>
    <mergeCell ref="K57:M57"/>
    <mergeCell ref="K58:M58"/>
    <mergeCell ref="K59:M59"/>
    <mergeCell ref="K60:M60"/>
    <mergeCell ref="K61:M61"/>
    <mergeCell ref="K62:M62"/>
    <mergeCell ref="K63:M63"/>
    <mergeCell ref="K64:M64"/>
    <mergeCell ref="K65:M65"/>
    <mergeCell ref="G72:J72"/>
    <mergeCell ref="G73:J73"/>
    <mergeCell ref="G74:J74"/>
    <mergeCell ref="K66:M66"/>
    <mergeCell ref="K67:M67"/>
    <mergeCell ref="K68:M68"/>
    <mergeCell ref="G66:J66"/>
    <mergeCell ref="G67:J67"/>
    <mergeCell ref="G68:J68"/>
    <mergeCell ref="G69:J69"/>
    <mergeCell ref="G70:J70"/>
    <mergeCell ref="G71:J71"/>
    <mergeCell ref="E63:F63"/>
    <mergeCell ref="E64:F64"/>
    <mergeCell ref="E65:F65"/>
    <mergeCell ref="E66:F66"/>
    <mergeCell ref="E67:F67"/>
    <mergeCell ref="E68:F68"/>
    <mergeCell ref="E78:F78"/>
    <mergeCell ref="E69:F69"/>
    <mergeCell ref="E70:F70"/>
    <mergeCell ref="E71:F71"/>
    <mergeCell ref="E72:F72"/>
    <mergeCell ref="E73:F73"/>
    <mergeCell ref="E74:F74"/>
    <mergeCell ref="E52:F52"/>
    <mergeCell ref="E53:F53"/>
    <mergeCell ref="E54:F54"/>
    <mergeCell ref="E55:F55"/>
    <mergeCell ref="E56:F56"/>
    <mergeCell ref="K52:M52"/>
    <mergeCell ref="K53:M53"/>
    <mergeCell ref="K54:M54"/>
    <mergeCell ref="K55:M55"/>
    <mergeCell ref="K56:M56"/>
    <mergeCell ref="P52:S52"/>
    <mergeCell ref="P53:S53"/>
    <mergeCell ref="P54:S54"/>
    <mergeCell ref="P55:S55"/>
    <mergeCell ref="T54:U54"/>
    <mergeCell ref="P56:S56"/>
    <mergeCell ref="T56:U56"/>
    <mergeCell ref="X56:Y56"/>
    <mergeCell ref="Z56:AE56"/>
    <mergeCell ref="AF56:AK56"/>
    <mergeCell ref="E60:F60"/>
    <mergeCell ref="E61:F61"/>
    <mergeCell ref="E62:F62"/>
    <mergeCell ref="AF57:AK57"/>
    <mergeCell ref="Z57:AE57"/>
    <mergeCell ref="G58:J58"/>
    <mergeCell ref="G59:J59"/>
    <mergeCell ref="G60:J60"/>
    <mergeCell ref="G61:J61"/>
    <mergeCell ref="G62:J62"/>
    <mergeCell ref="E57:F57"/>
    <mergeCell ref="E58:F58"/>
    <mergeCell ref="E59:F59"/>
    <mergeCell ref="G55:J55"/>
    <mergeCell ref="G56:J56"/>
    <mergeCell ref="G57:J57"/>
    <mergeCell ref="E50:F50"/>
    <mergeCell ref="G50:J50"/>
    <mergeCell ref="K50:M50"/>
    <mergeCell ref="P50:S50"/>
    <mergeCell ref="T50:U50"/>
    <mergeCell ref="X50:Y50"/>
    <mergeCell ref="Z50:AE50"/>
    <mergeCell ref="AF50:AK50"/>
    <mergeCell ref="E51:F51"/>
    <mergeCell ref="G51:J51"/>
    <mergeCell ref="K51:M51"/>
    <mergeCell ref="P51:S51"/>
    <mergeCell ref="T51:U51"/>
    <mergeCell ref="AF51:AK51"/>
    <mergeCell ref="E48:F48"/>
    <mergeCell ref="G48:J48"/>
    <mergeCell ref="K48:M48"/>
    <mergeCell ref="P48:S48"/>
    <mergeCell ref="T48:U48"/>
    <mergeCell ref="X48:Y48"/>
    <mergeCell ref="Z48:AE48"/>
    <mergeCell ref="AF48:AK48"/>
    <mergeCell ref="E49:F49"/>
    <mergeCell ref="G49:J49"/>
    <mergeCell ref="K49:M49"/>
    <mergeCell ref="P49:S49"/>
    <mergeCell ref="T49:U49"/>
    <mergeCell ref="X49:Y49"/>
    <mergeCell ref="Z49:AE49"/>
    <mergeCell ref="AF49:AK49"/>
    <mergeCell ref="T46:U46"/>
    <mergeCell ref="X46:Y46"/>
    <mergeCell ref="Z46:AE46"/>
    <mergeCell ref="AF46:AK46"/>
    <mergeCell ref="E47:F47"/>
    <mergeCell ref="G47:J47"/>
    <mergeCell ref="K47:M47"/>
    <mergeCell ref="P47:S47"/>
    <mergeCell ref="T47:U47"/>
    <mergeCell ref="K46:M46"/>
    <mergeCell ref="P46:S46"/>
    <mergeCell ref="X47:Y47"/>
    <mergeCell ref="Z47:AE47"/>
    <mergeCell ref="AF47:AK47"/>
    <mergeCell ref="AF44:AK44"/>
    <mergeCell ref="E45:F45"/>
    <mergeCell ref="G45:J45"/>
    <mergeCell ref="K45:M45"/>
    <mergeCell ref="P45:S45"/>
    <mergeCell ref="T45:U45"/>
    <mergeCell ref="X45:Y45"/>
    <mergeCell ref="Z45:AE45"/>
    <mergeCell ref="AF45:AK45"/>
    <mergeCell ref="K44:M44"/>
    <mergeCell ref="P44:S44"/>
    <mergeCell ref="T44:U44"/>
    <mergeCell ref="X44:Y44"/>
    <mergeCell ref="Z44:AE44"/>
    <mergeCell ref="AF42:AK42"/>
    <mergeCell ref="E43:F43"/>
    <mergeCell ref="G43:J43"/>
    <mergeCell ref="K43:M43"/>
    <mergeCell ref="P43:S43"/>
    <mergeCell ref="T43:U43"/>
    <mergeCell ref="X43:Y43"/>
    <mergeCell ref="Z43:AE43"/>
    <mergeCell ref="AF43:AK43"/>
    <mergeCell ref="K42:M42"/>
    <mergeCell ref="P42:S42"/>
    <mergeCell ref="T42:U42"/>
    <mergeCell ref="X42:Y42"/>
    <mergeCell ref="Z42:AE42"/>
    <mergeCell ref="E41:F41"/>
    <mergeCell ref="G41:J41"/>
    <mergeCell ref="K41:M41"/>
    <mergeCell ref="T41:U41"/>
    <mergeCell ref="V41:W41"/>
    <mergeCell ref="X41:Y41"/>
    <mergeCell ref="Z41:AE41"/>
    <mergeCell ref="AF41:AK41"/>
    <mergeCell ref="P41:S41"/>
    <mergeCell ref="AF37:AK37"/>
    <mergeCell ref="P37:S37"/>
    <mergeCell ref="T37:U37"/>
    <mergeCell ref="V37:W37"/>
    <mergeCell ref="X37:Y37"/>
    <mergeCell ref="AF30:AK30"/>
    <mergeCell ref="AF31:AK31"/>
    <mergeCell ref="AF32:AK32"/>
    <mergeCell ref="AF33:AK33"/>
    <mergeCell ref="AF34:AK34"/>
    <mergeCell ref="AF35:AK35"/>
    <mergeCell ref="Z32:AE32"/>
    <mergeCell ref="Z33:AE33"/>
    <mergeCell ref="Z34:AE34"/>
    <mergeCell ref="Z35:AE35"/>
    <mergeCell ref="Z36:AE36"/>
    <mergeCell ref="Z37:AE37"/>
    <mergeCell ref="Z30:AE30"/>
    <mergeCell ref="AF27:AK27"/>
    <mergeCell ref="AF28:AK28"/>
    <mergeCell ref="AF29:AK29"/>
    <mergeCell ref="AF36:AK36"/>
    <mergeCell ref="Z31:AE31"/>
    <mergeCell ref="X26:Y26"/>
    <mergeCell ref="X27:Y27"/>
    <mergeCell ref="X28:Y28"/>
    <mergeCell ref="X29:Y29"/>
    <mergeCell ref="X30:Y30"/>
    <mergeCell ref="X31:Y31"/>
    <mergeCell ref="X35:Y35"/>
    <mergeCell ref="X36:Y36"/>
    <mergeCell ref="X33:Y33"/>
    <mergeCell ref="X34:Y34"/>
    <mergeCell ref="X32:Y32"/>
    <mergeCell ref="Z26:AE26"/>
    <mergeCell ref="Z27:AE27"/>
    <mergeCell ref="Z28:AE28"/>
    <mergeCell ref="Z29:AE29"/>
    <mergeCell ref="AF26:AK26"/>
    <mergeCell ref="V26:W26"/>
    <mergeCell ref="P35:S35"/>
    <mergeCell ref="T35:U35"/>
    <mergeCell ref="P36:S36"/>
    <mergeCell ref="T36:U36"/>
    <mergeCell ref="P33:S33"/>
    <mergeCell ref="T33:U33"/>
    <mergeCell ref="P34:S34"/>
    <mergeCell ref="T34:U34"/>
    <mergeCell ref="P31:S31"/>
    <mergeCell ref="T31:U31"/>
    <mergeCell ref="P32:S32"/>
    <mergeCell ref="T32:U32"/>
    <mergeCell ref="P28:S28"/>
    <mergeCell ref="P29:S29"/>
    <mergeCell ref="T29:U29"/>
    <mergeCell ref="P30:S30"/>
    <mergeCell ref="T30:U30"/>
    <mergeCell ref="E25:N25"/>
    <mergeCell ref="E37:M37"/>
    <mergeCell ref="P26:S26"/>
    <mergeCell ref="T26:U26"/>
    <mergeCell ref="P27:S27"/>
    <mergeCell ref="T27:U27"/>
    <mergeCell ref="K32:M32"/>
    <mergeCell ref="K33:M33"/>
    <mergeCell ref="K34:M34"/>
    <mergeCell ref="K35:M35"/>
    <mergeCell ref="K36:M36"/>
    <mergeCell ref="G34:J34"/>
    <mergeCell ref="G35:J35"/>
    <mergeCell ref="G36:J36"/>
    <mergeCell ref="K26:M26"/>
    <mergeCell ref="K27:M27"/>
    <mergeCell ref="K28:M28"/>
    <mergeCell ref="K29:M29"/>
    <mergeCell ref="K30:M30"/>
    <mergeCell ref="E28:F28"/>
    <mergeCell ref="E29:F29"/>
    <mergeCell ref="E30:F30"/>
    <mergeCell ref="E31:F31"/>
    <mergeCell ref="T28:U28"/>
    <mergeCell ref="I9:I12"/>
    <mergeCell ref="I14:I17"/>
    <mergeCell ref="E46:F46"/>
    <mergeCell ref="G46:J46"/>
    <mergeCell ref="E44:F44"/>
    <mergeCell ref="G44:J44"/>
    <mergeCell ref="E42:F42"/>
    <mergeCell ref="G42:J42"/>
    <mergeCell ref="E40:N40"/>
    <mergeCell ref="E36:F36"/>
    <mergeCell ref="E34:F34"/>
    <mergeCell ref="E35:F35"/>
    <mergeCell ref="G32:J32"/>
    <mergeCell ref="G33:J33"/>
    <mergeCell ref="E26:F26"/>
    <mergeCell ref="E27:F27"/>
    <mergeCell ref="I19:I22"/>
    <mergeCell ref="K31:M31"/>
    <mergeCell ref="G26:J26"/>
    <mergeCell ref="G27:J27"/>
    <mergeCell ref="G28:J28"/>
    <mergeCell ref="G29:J29"/>
    <mergeCell ref="G30:J30"/>
    <mergeCell ref="G31:J31"/>
    <mergeCell ref="E1:K3"/>
    <mergeCell ref="E6:M7"/>
    <mergeCell ref="E86:M87"/>
    <mergeCell ref="L90:R90"/>
    <mergeCell ref="S90:Y90"/>
    <mergeCell ref="AA90:AD91"/>
    <mergeCell ref="AE90:AE91"/>
    <mergeCell ref="G90:H90"/>
    <mergeCell ref="I90:J90"/>
    <mergeCell ref="E90:F90"/>
    <mergeCell ref="E91:F91"/>
    <mergeCell ref="G91:H91"/>
    <mergeCell ref="I91:J91"/>
    <mergeCell ref="L91:R91"/>
    <mergeCell ref="S91:Y91"/>
    <mergeCell ref="E89:Y89"/>
    <mergeCell ref="P40:AK40"/>
    <mergeCell ref="P25:AK25"/>
    <mergeCell ref="AA89:AE89"/>
    <mergeCell ref="E9:H12"/>
    <mergeCell ref="E14:H17"/>
    <mergeCell ref="E19:H22"/>
    <mergeCell ref="E32:F32"/>
    <mergeCell ref="E33:F33"/>
    <mergeCell ref="E92:F92"/>
    <mergeCell ref="G92:H92"/>
    <mergeCell ref="I92:J92"/>
    <mergeCell ref="L92:R92"/>
    <mergeCell ref="S92:Y92"/>
    <mergeCell ref="E93:F93"/>
    <mergeCell ref="G93:H93"/>
    <mergeCell ref="I93:J93"/>
    <mergeCell ref="L93:R93"/>
    <mergeCell ref="S93:Y93"/>
    <mergeCell ref="E94:F94"/>
    <mergeCell ref="G94:H94"/>
    <mergeCell ref="I94:J94"/>
    <mergeCell ref="L94:R94"/>
    <mergeCell ref="S94:Y94"/>
    <mergeCell ref="E95:F95"/>
    <mergeCell ref="G95:H95"/>
    <mergeCell ref="I95:J95"/>
    <mergeCell ref="L95:R95"/>
    <mergeCell ref="S95:Y95"/>
    <mergeCell ref="E96:F96"/>
    <mergeCell ref="G96:H96"/>
    <mergeCell ref="I96:J96"/>
    <mergeCell ref="L96:R96"/>
    <mergeCell ref="S96:Y96"/>
    <mergeCell ref="E97:F97"/>
    <mergeCell ref="G97:H97"/>
    <mergeCell ref="I97:J97"/>
    <mergeCell ref="L97:R97"/>
    <mergeCell ref="S97:Y97"/>
    <mergeCell ref="E98:F98"/>
    <mergeCell ref="G98:H98"/>
    <mergeCell ref="I98:J98"/>
    <mergeCell ref="L98:R98"/>
    <mergeCell ref="S98:Y98"/>
    <mergeCell ref="E99:F99"/>
    <mergeCell ref="G99:H99"/>
    <mergeCell ref="I99:J99"/>
    <mergeCell ref="L99:R99"/>
    <mergeCell ref="S99:Y99"/>
    <mergeCell ref="I103:J103"/>
    <mergeCell ref="L103:R103"/>
    <mergeCell ref="S103:Y103"/>
    <mergeCell ref="E100:F100"/>
    <mergeCell ref="G100:H100"/>
    <mergeCell ref="I100:J100"/>
    <mergeCell ref="L100:R100"/>
    <mergeCell ref="S100:Y100"/>
    <mergeCell ref="E101:F101"/>
    <mergeCell ref="G101:H101"/>
    <mergeCell ref="I101:J101"/>
    <mergeCell ref="L101:R101"/>
    <mergeCell ref="S101:Y101"/>
    <mergeCell ref="AA92:AD92"/>
    <mergeCell ref="AA93:AD93"/>
    <mergeCell ref="AA94:AD94"/>
    <mergeCell ref="AA95:AD95"/>
    <mergeCell ref="AA96:AD96"/>
    <mergeCell ref="AA97:AD97"/>
    <mergeCell ref="AA98:AD98"/>
    <mergeCell ref="AA99:AD99"/>
    <mergeCell ref="AA100:AD100"/>
    <mergeCell ref="AA101:AD101"/>
    <mergeCell ref="AA102:AD102"/>
    <mergeCell ref="AA103:AD103"/>
    <mergeCell ref="AA104:AD104"/>
    <mergeCell ref="AA105:AD105"/>
    <mergeCell ref="E106:J106"/>
    <mergeCell ref="K106:R106"/>
    <mergeCell ref="E104:F104"/>
    <mergeCell ref="G104:H104"/>
    <mergeCell ref="I104:J104"/>
    <mergeCell ref="L104:R104"/>
    <mergeCell ref="S104:Y104"/>
    <mergeCell ref="E105:F105"/>
    <mergeCell ref="G105:H105"/>
    <mergeCell ref="I105:J105"/>
    <mergeCell ref="L105:R105"/>
    <mergeCell ref="S105:Y105"/>
    <mergeCell ref="E102:F102"/>
    <mergeCell ref="G102:H102"/>
    <mergeCell ref="I102:J102"/>
    <mergeCell ref="L102:R102"/>
    <mergeCell ref="S102:Y102"/>
    <mergeCell ref="E103:F103"/>
    <mergeCell ref="G103:H103"/>
  </mergeCells>
  <conditionalFormatting sqref="X27:Y36">
    <cfRule type="cellIs" dxfId="24" priority="3" operator="lessThan">
      <formula>0</formula>
    </cfRule>
  </conditionalFormatting>
  <conditionalFormatting sqref="X42:Y56">
    <cfRule type="cellIs" dxfId="23" priority="2" operator="lessThan">
      <formula>0</formula>
    </cfRule>
  </conditionalFormatting>
  <conditionalFormatting sqref="AE92:AE101">
    <cfRule type="dataBar" priority="1">
      <dataBar>
        <cfvo type="min"/>
        <cfvo type="max"/>
        <color theme="6" tint="0.39997558519241921"/>
      </dataBar>
      <extLst>
        <ext xmlns:x14="http://schemas.microsoft.com/office/spreadsheetml/2009/9/main" uri="{B025F937-C7B1-47D3-B67F-A62EFF666E3E}">
          <x14:id>{A23798E6-E3E0-40E4-B797-1E320A191081}</x14:id>
        </ext>
      </extLst>
    </cfRule>
  </conditionalFormatting>
  <dataValidations count="1">
    <dataValidation allowBlank="1" showInputMessage="1" showErrorMessage="1" prompt="Nhập dữ liệu" sqref="E91:F105 I91:Y105 K42:N82 E42:F82 E27:F36 K27:N36" xr:uid="{00000000-0002-0000-0600-000000000000}"/>
  </dataValidations>
  <hyperlinks>
    <hyperlink ref="F4" location="'T1'!E7" display="Phần 1" xr:uid="{00000000-0004-0000-0600-000000000000}"/>
    <hyperlink ref="G4" location="'T1'!E87" display="Phần 2" xr:uid="{00000000-0004-0000-0600-000001000000}"/>
  </hyperlinks>
  <pageMargins left="0.7" right="0.7" top="0.75" bottom="0.75" header="0.3" footer="0.3"/>
  <pageSetup scale="31" orientation="portrait" r:id="rId1"/>
  <drawing r:id="rId2"/>
  <extLst>
    <ext xmlns:x14="http://schemas.microsoft.com/office/spreadsheetml/2009/9/main" uri="{78C0D931-6437-407d-A8EE-F0AAD7539E65}">
      <x14:conditionalFormattings>
        <x14:conditionalFormatting xmlns:xm="http://schemas.microsoft.com/office/excel/2006/main">
          <x14:cfRule type="dataBar" id="{A23798E6-E3E0-40E4-B797-1E320A191081}">
            <x14:dataBar minLength="0" maxLength="100" gradient="0">
              <x14:cfvo type="autoMin"/>
              <x14:cfvo type="autoMax"/>
              <x14:negativeFillColor rgb="FFFF0000"/>
              <x14:axisColor rgb="FF000000"/>
            </x14:dataBar>
          </x14:cfRule>
          <xm:sqref>AE92:AE101</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prompt="Chọn dữ liệu" xr:uid="{00000000-0002-0000-0600-000001000000}">
          <x14:formula1>
            <xm:f>'Từ khóa'!$M$12:$M$19</xm:f>
          </x14:formula1>
          <xm:sqref>G27:J36</xm:sqref>
        </x14:dataValidation>
        <x14:dataValidation type="list" allowBlank="1" showInputMessage="1" showErrorMessage="1" prompt="Chọn dữ liệu" xr:uid="{00000000-0002-0000-0600-000002000000}">
          <x14:formula1>
            <xm:f>'Từ khóa'!$F$12:$F$26</xm:f>
          </x14:formula1>
          <xm:sqref>G42:J82</xm:sqref>
        </x14:dataValidation>
        <x14:dataValidation type="list" allowBlank="1" showInputMessage="1" showErrorMessage="1" prompt="Chọn dữ liệu" xr:uid="{00000000-0002-0000-0600-000003000000}">
          <x14:formula1>
            <xm:f>'Từ khóa'!$S$12:$S$21</xm:f>
          </x14:formula1>
          <xm:sqref>G91:H105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106"/>
  <sheetViews>
    <sheetView showGridLines="0" topLeftCell="A177" zoomScale="80" zoomScaleNormal="80" workbookViewId="0"/>
  </sheetViews>
  <sheetFormatPr defaultColWidth="9.19921875" defaultRowHeight="14.25" x14ac:dyDescent="0.45"/>
  <cols>
    <col min="1" max="3" width="9.19921875" style="1"/>
    <col min="4" max="5" width="9.19921875" style="4"/>
    <col min="6" max="9" width="13.19921875" style="4" customWidth="1"/>
    <col min="10" max="14" width="9.19921875" style="4"/>
    <col min="15" max="15" width="13.19921875" style="4" customWidth="1"/>
    <col min="16" max="16384" width="9.19921875" style="4"/>
  </cols>
  <sheetData>
    <row r="1" spans="1:27" s="2" customFormat="1" ht="15" customHeight="1" x14ac:dyDescent="0.45">
      <c r="A1" s="1"/>
      <c r="B1" s="1"/>
      <c r="C1" s="1"/>
      <c r="E1" s="353" t="s">
        <v>327</v>
      </c>
      <c r="F1" s="353"/>
      <c r="G1" s="353"/>
      <c r="H1" s="353"/>
      <c r="I1" s="353"/>
      <c r="J1" s="353"/>
      <c r="K1" s="353"/>
    </row>
    <row r="2" spans="1:27" s="2" customFormat="1" ht="15" customHeight="1" x14ac:dyDescent="0.45">
      <c r="A2" s="1"/>
      <c r="B2" s="1"/>
      <c r="C2" s="1"/>
      <c r="E2" s="353"/>
      <c r="F2" s="353"/>
      <c r="G2" s="353"/>
      <c r="H2" s="353"/>
      <c r="I2" s="353"/>
      <c r="J2" s="353"/>
      <c r="K2" s="353"/>
    </row>
    <row r="3" spans="1:27" s="2" customFormat="1" ht="14.65" thickBot="1" x14ac:dyDescent="0.5">
      <c r="A3" s="1"/>
      <c r="B3" s="1"/>
      <c r="C3" s="1"/>
      <c r="E3" s="353"/>
      <c r="F3" s="353"/>
      <c r="G3" s="353"/>
      <c r="H3" s="353"/>
      <c r="I3" s="353"/>
      <c r="J3" s="353"/>
      <c r="K3" s="353"/>
      <c r="L3" s="3" t="s">
        <v>45</v>
      </c>
    </row>
    <row r="4" spans="1:27" ht="14.65" thickBot="1" x14ac:dyDescent="0.5">
      <c r="F4" s="154" t="s">
        <v>132</v>
      </c>
      <c r="G4" s="154" t="s">
        <v>133</v>
      </c>
    </row>
    <row r="5" spans="1:27" ht="15" customHeight="1" x14ac:dyDescent="0.45">
      <c r="F5" s="6"/>
      <c r="G5" s="6"/>
      <c r="H5" s="6"/>
      <c r="I5" s="6"/>
      <c r="J5" s="6"/>
      <c r="K5" s="6"/>
      <c r="L5" s="6"/>
      <c r="M5" s="6"/>
      <c r="N5" s="6"/>
      <c r="O5" s="6"/>
      <c r="P5" s="6"/>
      <c r="Q5" s="6"/>
      <c r="R5" s="6"/>
      <c r="S5" s="6"/>
      <c r="T5" s="6"/>
      <c r="U5" s="6"/>
      <c r="V5" s="6"/>
      <c r="W5" s="6"/>
      <c r="X5" s="6"/>
      <c r="Y5" s="6"/>
      <c r="Z5" s="6"/>
      <c r="AA5" s="6"/>
    </row>
    <row r="6" spans="1:27" ht="15" customHeight="1" x14ac:dyDescent="0.45">
      <c r="E6" s="532" t="s">
        <v>135</v>
      </c>
      <c r="F6" s="532"/>
      <c r="G6" s="532"/>
      <c r="H6" s="532"/>
      <c r="I6" s="532"/>
      <c r="J6" s="532"/>
      <c r="K6" s="532"/>
      <c r="L6" s="532"/>
      <c r="M6" s="532"/>
      <c r="N6" s="5"/>
      <c r="O6" s="5"/>
      <c r="P6" s="5"/>
      <c r="Q6" s="5"/>
      <c r="R6" s="5"/>
      <c r="S6" s="6"/>
      <c r="T6" s="6"/>
      <c r="U6" s="6"/>
      <c r="V6" s="6"/>
      <c r="W6" s="6"/>
      <c r="X6" s="6"/>
      <c r="Y6" s="6"/>
      <c r="Z6" s="6"/>
      <c r="AA6" s="6"/>
    </row>
    <row r="7" spans="1:27" s="8" customFormat="1" ht="15" customHeight="1" thickBot="1" x14ac:dyDescent="0.5">
      <c r="A7" s="7"/>
      <c r="B7" s="7"/>
      <c r="C7" s="7"/>
      <c r="E7" s="533"/>
      <c r="F7" s="533"/>
      <c r="G7" s="533"/>
      <c r="H7" s="533"/>
      <c r="I7" s="533"/>
      <c r="J7" s="533"/>
      <c r="K7" s="533"/>
      <c r="L7" s="533"/>
      <c r="M7" s="533"/>
      <c r="N7" s="9"/>
      <c r="O7" s="9"/>
      <c r="P7" s="9"/>
      <c r="Q7" s="9"/>
      <c r="R7" s="9"/>
      <c r="S7" s="10"/>
      <c r="T7" s="10"/>
      <c r="U7" s="10"/>
      <c r="V7" s="10"/>
      <c r="W7" s="10"/>
      <c r="X7" s="10"/>
      <c r="Y7" s="10"/>
      <c r="Z7" s="10"/>
      <c r="AA7" s="10"/>
    </row>
    <row r="8" spans="1:27" ht="15" customHeight="1" x14ac:dyDescent="0.45">
      <c r="E8" s="6"/>
      <c r="F8" s="6"/>
      <c r="G8" s="6"/>
      <c r="H8" s="6"/>
      <c r="I8" s="6"/>
      <c r="J8" s="6"/>
      <c r="K8" s="6"/>
      <c r="L8" s="6"/>
      <c r="M8" s="6"/>
      <c r="N8" s="6"/>
      <c r="O8" s="6"/>
      <c r="P8" s="6"/>
      <c r="Q8" s="6"/>
      <c r="R8" s="6"/>
      <c r="S8" s="6"/>
      <c r="T8" s="6"/>
      <c r="U8" s="6"/>
      <c r="V8" s="6"/>
      <c r="W8" s="6"/>
      <c r="X8" s="6"/>
      <c r="Y8" s="6"/>
      <c r="Z8" s="6"/>
      <c r="AA8" s="6"/>
    </row>
    <row r="9" spans="1:27" ht="15" customHeight="1" x14ac:dyDescent="0.45">
      <c r="E9" s="632" t="s">
        <v>124</v>
      </c>
      <c r="F9" s="632"/>
      <c r="G9" s="632"/>
      <c r="H9" s="632"/>
      <c r="I9" s="708">
        <f>N37</f>
        <v>29.5</v>
      </c>
    </row>
    <row r="10" spans="1:27" ht="15" customHeight="1" x14ac:dyDescent="0.45">
      <c r="E10" s="632"/>
      <c r="F10" s="632"/>
      <c r="G10" s="632"/>
      <c r="H10" s="632"/>
      <c r="I10" s="708"/>
    </row>
    <row r="11" spans="1:27" ht="15" customHeight="1" x14ac:dyDescent="0.45">
      <c r="E11" s="632"/>
      <c r="F11" s="632"/>
      <c r="G11" s="632"/>
      <c r="H11" s="632"/>
      <c r="I11" s="708"/>
    </row>
    <row r="12" spans="1:27" ht="15" customHeight="1" x14ac:dyDescent="0.45">
      <c r="E12" s="632"/>
      <c r="F12" s="632"/>
      <c r="G12" s="632"/>
      <c r="H12" s="632"/>
      <c r="I12" s="708"/>
    </row>
    <row r="13" spans="1:27" x14ac:dyDescent="0.45">
      <c r="E13" s="89"/>
      <c r="F13" s="89"/>
      <c r="G13" s="89"/>
      <c r="I13" s="89"/>
    </row>
    <row r="14" spans="1:27" ht="15" customHeight="1" x14ac:dyDescent="0.45">
      <c r="E14" s="633" t="s">
        <v>136</v>
      </c>
      <c r="F14" s="633"/>
      <c r="G14" s="633"/>
      <c r="H14" s="633"/>
      <c r="I14" s="708">
        <f>N83</f>
        <v>19.200000000000006</v>
      </c>
    </row>
    <row r="15" spans="1:27" ht="15" customHeight="1" x14ac:dyDescent="0.45">
      <c r="E15" s="633"/>
      <c r="F15" s="633"/>
      <c r="G15" s="633"/>
      <c r="H15" s="633"/>
      <c r="I15" s="708"/>
    </row>
    <row r="16" spans="1:27" ht="15" customHeight="1" x14ac:dyDescent="0.45">
      <c r="E16" s="633"/>
      <c r="F16" s="633"/>
      <c r="G16" s="633"/>
      <c r="H16" s="633"/>
      <c r="I16" s="708"/>
    </row>
    <row r="17" spans="5:37" ht="15" customHeight="1" x14ac:dyDescent="0.45">
      <c r="E17" s="633"/>
      <c r="F17" s="633"/>
      <c r="G17" s="633"/>
      <c r="H17" s="633"/>
      <c r="I17" s="708"/>
    </row>
    <row r="18" spans="5:37" x14ac:dyDescent="0.45">
      <c r="E18" s="89"/>
      <c r="F18" s="89"/>
      <c r="G18" s="89"/>
      <c r="I18" s="89"/>
    </row>
    <row r="19" spans="5:37" ht="15" customHeight="1" x14ac:dyDescent="0.45">
      <c r="E19" s="634" t="s">
        <v>96</v>
      </c>
      <c r="F19" s="634"/>
      <c r="G19" s="634"/>
      <c r="H19" s="634"/>
      <c r="I19" s="708">
        <f>I9-I14</f>
        <v>10.299999999999994</v>
      </c>
    </row>
    <row r="20" spans="5:37" ht="15" customHeight="1" x14ac:dyDescent="0.45">
      <c r="E20" s="634"/>
      <c r="F20" s="634"/>
      <c r="G20" s="634"/>
      <c r="H20" s="634"/>
      <c r="I20" s="708"/>
    </row>
    <row r="21" spans="5:37" ht="15" customHeight="1" x14ac:dyDescent="0.45">
      <c r="E21" s="634"/>
      <c r="F21" s="634"/>
      <c r="G21" s="634"/>
      <c r="H21" s="634"/>
      <c r="I21" s="708"/>
    </row>
    <row r="22" spans="5:37" ht="15" customHeight="1" x14ac:dyDescent="0.45">
      <c r="E22" s="634"/>
      <c r="F22" s="634"/>
      <c r="G22" s="634"/>
      <c r="H22" s="634"/>
      <c r="I22" s="708"/>
    </row>
    <row r="24" spans="5:37" ht="14.65" thickBot="1" x14ac:dyDescent="0.5">
      <c r="E24" s="6"/>
      <c r="F24" s="6"/>
      <c r="G24" s="6"/>
      <c r="H24" s="6"/>
    </row>
    <row r="25" spans="5:37" ht="15.75" customHeight="1" thickBot="1" x14ac:dyDescent="0.6">
      <c r="E25" s="626" t="s">
        <v>143</v>
      </c>
      <c r="F25" s="627"/>
      <c r="G25" s="627"/>
      <c r="H25" s="627"/>
      <c r="I25" s="627"/>
      <c r="J25" s="627"/>
      <c r="K25" s="627"/>
      <c r="L25" s="627"/>
      <c r="M25" s="627"/>
      <c r="N25" s="628"/>
      <c r="P25" s="626" t="s">
        <v>144</v>
      </c>
      <c r="Q25" s="627"/>
      <c r="R25" s="627"/>
      <c r="S25" s="627"/>
      <c r="T25" s="627"/>
      <c r="U25" s="627"/>
      <c r="V25" s="627"/>
      <c r="W25" s="627"/>
      <c r="X25" s="627"/>
      <c r="Y25" s="627"/>
      <c r="Z25" s="627"/>
      <c r="AA25" s="627"/>
      <c r="AB25" s="627"/>
      <c r="AC25" s="627"/>
      <c r="AD25" s="627"/>
      <c r="AE25" s="627"/>
      <c r="AF25" s="627"/>
      <c r="AG25" s="627"/>
      <c r="AH25" s="627"/>
      <c r="AI25" s="627"/>
      <c r="AJ25" s="627"/>
      <c r="AK25" s="628"/>
    </row>
    <row r="26" spans="5:37" ht="15" customHeight="1" x14ac:dyDescent="0.45">
      <c r="E26" s="644" t="s">
        <v>146</v>
      </c>
      <c r="F26" s="645"/>
      <c r="G26" s="647" t="s">
        <v>346</v>
      </c>
      <c r="H26" s="647"/>
      <c r="I26" s="647"/>
      <c r="J26" s="647"/>
      <c r="K26" s="647" t="s">
        <v>345</v>
      </c>
      <c r="L26" s="647"/>
      <c r="M26" s="647"/>
      <c r="N26" s="134" t="s">
        <v>148</v>
      </c>
      <c r="P26" s="706" t="s">
        <v>147</v>
      </c>
      <c r="Q26" s="707"/>
      <c r="R26" s="707"/>
      <c r="S26" s="707"/>
      <c r="T26" s="707" t="s">
        <v>149</v>
      </c>
      <c r="U26" s="707"/>
      <c r="V26" s="707" t="s">
        <v>150</v>
      </c>
      <c r="W26" s="707"/>
      <c r="X26" s="707" t="s">
        <v>151</v>
      </c>
      <c r="Y26" s="707"/>
      <c r="Z26" s="652" t="s">
        <v>152</v>
      </c>
      <c r="AA26" s="652"/>
      <c r="AB26" s="652"/>
      <c r="AC26" s="652"/>
      <c r="AD26" s="652"/>
      <c r="AE26" s="652"/>
      <c r="AF26" s="652" t="s">
        <v>153</v>
      </c>
      <c r="AG26" s="652"/>
      <c r="AH26" s="652"/>
      <c r="AI26" s="652"/>
      <c r="AJ26" s="652"/>
      <c r="AK26" s="659"/>
    </row>
    <row r="27" spans="5:37" ht="15" x14ac:dyDescent="0.45">
      <c r="E27" s="687">
        <v>44607</v>
      </c>
      <c r="F27" s="688"/>
      <c r="G27" s="643" t="s">
        <v>21</v>
      </c>
      <c r="H27" s="643"/>
      <c r="I27" s="643"/>
      <c r="J27" s="643"/>
      <c r="K27" s="646"/>
      <c r="L27" s="646"/>
      <c r="M27" s="646"/>
      <c r="N27" s="135">
        <v>25</v>
      </c>
      <c r="P27" s="694" t="str">
        <f>'Từ khóa'!M12</f>
        <v>Lương từ công ty</v>
      </c>
      <c r="Q27" s="695"/>
      <c r="R27" s="695"/>
      <c r="S27" s="695"/>
      <c r="T27" s="696">
        <f>'Kế hoạch thu nhập và chi tiêu'!L11</f>
        <v>20</v>
      </c>
      <c r="U27" s="696"/>
      <c r="V27" s="152"/>
      <c r="W27" s="153">
        <f t="shared" ref="W27:W34" ca="1" si="0">SUMIF($G$27:$J$36,P27,$N$27:$N$36)</f>
        <v>25</v>
      </c>
      <c r="X27" s="696">
        <f t="shared" ref="X27:X34" ca="1" si="1">W27-T27</f>
        <v>5</v>
      </c>
      <c r="Y27" s="696"/>
      <c r="Z27" s="646" t="s">
        <v>422</v>
      </c>
      <c r="AA27" s="646"/>
      <c r="AB27" s="646"/>
      <c r="AC27" s="646"/>
      <c r="AD27" s="646"/>
      <c r="AE27" s="646"/>
      <c r="AF27" s="646"/>
      <c r="AG27" s="646"/>
      <c r="AH27" s="646"/>
      <c r="AI27" s="646"/>
      <c r="AJ27" s="646"/>
      <c r="AK27" s="658"/>
    </row>
    <row r="28" spans="5:37" ht="15" x14ac:dyDescent="0.45">
      <c r="E28" s="687">
        <v>44612</v>
      </c>
      <c r="F28" s="688">
        <v>44612</v>
      </c>
      <c r="G28" s="643" t="s">
        <v>372</v>
      </c>
      <c r="H28" s="643"/>
      <c r="I28" s="643"/>
      <c r="J28" s="643"/>
      <c r="K28" s="646"/>
      <c r="L28" s="646"/>
      <c r="M28" s="646"/>
      <c r="N28" s="135">
        <v>1</v>
      </c>
      <c r="P28" s="694" t="str">
        <f>'Từ khóa'!M13</f>
        <v>Thu nhập khác</v>
      </c>
      <c r="Q28" s="695"/>
      <c r="R28" s="695"/>
      <c r="S28" s="695"/>
      <c r="T28" s="696">
        <f>'Kế hoạch thu nhập và chi tiêu'!L12</f>
        <v>10</v>
      </c>
      <c r="U28" s="696"/>
      <c r="V28" s="152"/>
      <c r="W28" s="153">
        <f t="shared" ca="1" si="0"/>
        <v>4.5</v>
      </c>
      <c r="X28" s="696">
        <f t="shared" ca="1" si="1"/>
        <v>-5.5</v>
      </c>
      <c r="Y28" s="696"/>
      <c r="Z28" s="646"/>
      <c r="AA28" s="646"/>
      <c r="AB28" s="646"/>
      <c r="AC28" s="646"/>
      <c r="AD28" s="646"/>
      <c r="AE28" s="646"/>
      <c r="AF28" s="646"/>
      <c r="AG28" s="646"/>
      <c r="AH28" s="646"/>
      <c r="AI28" s="646"/>
      <c r="AJ28" s="646"/>
      <c r="AK28" s="658"/>
    </row>
    <row r="29" spans="5:37" ht="15" x14ac:dyDescent="0.45">
      <c r="E29" s="687">
        <v>44620</v>
      </c>
      <c r="F29" s="688">
        <v>44620</v>
      </c>
      <c r="G29" s="643" t="s">
        <v>372</v>
      </c>
      <c r="H29" s="643"/>
      <c r="I29" s="643"/>
      <c r="J29" s="643"/>
      <c r="K29" s="646"/>
      <c r="L29" s="646"/>
      <c r="M29" s="646"/>
      <c r="N29" s="135">
        <v>1.5</v>
      </c>
      <c r="P29" s="694">
        <f>'Từ khóa'!M14</f>
        <v>0</v>
      </c>
      <c r="Q29" s="695"/>
      <c r="R29" s="695"/>
      <c r="S29" s="695"/>
      <c r="T29" s="696">
        <f>'Kế hoạch thu nhập và chi tiêu'!L13</f>
        <v>0</v>
      </c>
      <c r="U29" s="696"/>
      <c r="V29" s="152"/>
      <c r="W29" s="153">
        <f t="shared" ca="1" si="0"/>
        <v>0</v>
      </c>
      <c r="X29" s="696">
        <f t="shared" ca="1" si="1"/>
        <v>0</v>
      </c>
      <c r="Y29" s="696"/>
      <c r="Z29" s="646"/>
      <c r="AA29" s="646"/>
      <c r="AB29" s="646"/>
      <c r="AC29" s="646"/>
      <c r="AD29" s="646"/>
      <c r="AE29" s="646"/>
      <c r="AF29" s="646"/>
      <c r="AG29" s="646"/>
      <c r="AH29" s="646"/>
      <c r="AI29" s="646"/>
      <c r="AJ29" s="646"/>
      <c r="AK29" s="658"/>
    </row>
    <row r="30" spans="5:37" ht="15" x14ac:dyDescent="0.45">
      <c r="E30" s="687">
        <v>44620</v>
      </c>
      <c r="F30" s="688">
        <v>44620</v>
      </c>
      <c r="G30" s="643" t="s">
        <v>372</v>
      </c>
      <c r="H30" s="643"/>
      <c r="I30" s="643"/>
      <c r="J30" s="643"/>
      <c r="K30" s="646"/>
      <c r="L30" s="646"/>
      <c r="M30" s="646"/>
      <c r="N30" s="135">
        <v>2</v>
      </c>
      <c r="P30" s="694">
        <f>'Từ khóa'!M15</f>
        <v>0</v>
      </c>
      <c r="Q30" s="695"/>
      <c r="R30" s="695"/>
      <c r="S30" s="695"/>
      <c r="T30" s="696">
        <f>'Kế hoạch thu nhập và chi tiêu'!L14</f>
        <v>0</v>
      </c>
      <c r="U30" s="696"/>
      <c r="V30" s="152"/>
      <c r="W30" s="153">
        <f t="shared" ca="1" si="0"/>
        <v>0</v>
      </c>
      <c r="X30" s="696">
        <f t="shared" ca="1" si="1"/>
        <v>0</v>
      </c>
      <c r="Y30" s="696"/>
      <c r="Z30" s="646"/>
      <c r="AA30" s="646"/>
      <c r="AB30" s="646"/>
      <c r="AC30" s="646"/>
      <c r="AD30" s="646"/>
      <c r="AE30" s="646"/>
      <c r="AF30" s="646"/>
      <c r="AG30" s="646"/>
      <c r="AH30" s="646"/>
      <c r="AI30" s="646"/>
      <c r="AJ30" s="646"/>
      <c r="AK30" s="658"/>
    </row>
    <row r="31" spans="5:37" ht="15" x14ac:dyDescent="0.45">
      <c r="E31" s="687"/>
      <c r="F31" s="688"/>
      <c r="G31" s="643"/>
      <c r="H31" s="643"/>
      <c r="I31" s="643"/>
      <c r="J31" s="643"/>
      <c r="K31" s="646"/>
      <c r="L31" s="646"/>
      <c r="M31" s="646"/>
      <c r="N31" s="135"/>
      <c r="P31" s="694">
        <f>'Từ khóa'!M16</f>
        <v>0</v>
      </c>
      <c r="Q31" s="695"/>
      <c r="R31" s="695"/>
      <c r="S31" s="695"/>
      <c r="T31" s="696">
        <f>'Kế hoạch thu nhập và chi tiêu'!L15</f>
        <v>0</v>
      </c>
      <c r="U31" s="696"/>
      <c r="V31" s="152"/>
      <c r="W31" s="153">
        <f t="shared" ca="1" si="0"/>
        <v>0</v>
      </c>
      <c r="X31" s="696">
        <f t="shared" ca="1" si="1"/>
        <v>0</v>
      </c>
      <c r="Y31" s="696"/>
      <c r="Z31" s="646"/>
      <c r="AA31" s="646"/>
      <c r="AB31" s="646"/>
      <c r="AC31" s="646"/>
      <c r="AD31" s="646"/>
      <c r="AE31" s="646"/>
      <c r="AF31" s="646"/>
      <c r="AG31" s="646"/>
      <c r="AH31" s="646"/>
      <c r="AI31" s="646"/>
      <c r="AJ31" s="646"/>
      <c r="AK31" s="658"/>
    </row>
    <row r="32" spans="5:37" ht="15" x14ac:dyDescent="0.45">
      <c r="E32" s="687"/>
      <c r="F32" s="688"/>
      <c r="G32" s="643"/>
      <c r="H32" s="643"/>
      <c r="I32" s="643"/>
      <c r="J32" s="643"/>
      <c r="K32" s="646"/>
      <c r="L32" s="646"/>
      <c r="M32" s="646"/>
      <c r="N32" s="135"/>
      <c r="P32" s="694">
        <f>'Từ khóa'!M17</f>
        <v>0</v>
      </c>
      <c r="Q32" s="695"/>
      <c r="R32" s="695"/>
      <c r="S32" s="695"/>
      <c r="T32" s="696">
        <f>'Kế hoạch thu nhập và chi tiêu'!L16</f>
        <v>0</v>
      </c>
      <c r="U32" s="696"/>
      <c r="V32" s="152"/>
      <c r="W32" s="153">
        <f t="shared" ca="1" si="0"/>
        <v>0</v>
      </c>
      <c r="X32" s="696">
        <f t="shared" ca="1" si="1"/>
        <v>0</v>
      </c>
      <c r="Y32" s="696"/>
      <c r="Z32" s="646"/>
      <c r="AA32" s="646"/>
      <c r="AB32" s="646"/>
      <c r="AC32" s="646"/>
      <c r="AD32" s="646"/>
      <c r="AE32" s="646"/>
      <c r="AF32" s="646"/>
      <c r="AG32" s="646"/>
      <c r="AH32" s="646"/>
      <c r="AI32" s="646"/>
      <c r="AJ32" s="646"/>
      <c r="AK32" s="658"/>
    </row>
    <row r="33" spans="5:37" ht="15" x14ac:dyDescent="0.45">
      <c r="E33" s="687"/>
      <c r="F33" s="688"/>
      <c r="G33" s="643"/>
      <c r="H33" s="643"/>
      <c r="I33" s="643"/>
      <c r="J33" s="643"/>
      <c r="K33" s="646"/>
      <c r="L33" s="646"/>
      <c r="M33" s="646"/>
      <c r="N33" s="135"/>
      <c r="P33" s="694">
        <f>'Từ khóa'!M18</f>
        <v>0</v>
      </c>
      <c r="Q33" s="695"/>
      <c r="R33" s="695"/>
      <c r="S33" s="695"/>
      <c r="T33" s="696">
        <f>'Kế hoạch thu nhập và chi tiêu'!L17</f>
        <v>0</v>
      </c>
      <c r="U33" s="696"/>
      <c r="V33" s="152"/>
      <c r="W33" s="153">
        <f t="shared" ca="1" si="0"/>
        <v>0</v>
      </c>
      <c r="X33" s="696">
        <f t="shared" ca="1" si="1"/>
        <v>0</v>
      </c>
      <c r="Y33" s="696"/>
      <c r="Z33" s="646"/>
      <c r="AA33" s="646"/>
      <c r="AB33" s="646"/>
      <c r="AC33" s="646"/>
      <c r="AD33" s="646"/>
      <c r="AE33" s="646"/>
      <c r="AF33" s="646"/>
      <c r="AG33" s="646"/>
      <c r="AH33" s="646"/>
      <c r="AI33" s="646"/>
      <c r="AJ33" s="646"/>
      <c r="AK33" s="658"/>
    </row>
    <row r="34" spans="5:37" ht="15" x14ac:dyDescent="0.45">
      <c r="E34" s="687"/>
      <c r="F34" s="688"/>
      <c r="G34" s="643"/>
      <c r="H34" s="643"/>
      <c r="I34" s="643"/>
      <c r="J34" s="643"/>
      <c r="K34" s="646"/>
      <c r="L34" s="646"/>
      <c r="M34" s="646"/>
      <c r="N34" s="135"/>
      <c r="P34" s="694">
        <f>'Từ khóa'!M19</f>
        <v>0</v>
      </c>
      <c r="Q34" s="695"/>
      <c r="R34" s="695"/>
      <c r="S34" s="695"/>
      <c r="T34" s="696">
        <f>'Kế hoạch thu nhập và chi tiêu'!L18</f>
        <v>0</v>
      </c>
      <c r="U34" s="696"/>
      <c r="V34" s="152"/>
      <c r="W34" s="153">
        <f t="shared" ca="1" si="0"/>
        <v>0</v>
      </c>
      <c r="X34" s="696">
        <f t="shared" ca="1" si="1"/>
        <v>0</v>
      </c>
      <c r="Y34" s="696"/>
      <c r="Z34" s="646"/>
      <c r="AA34" s="646"/>
      <c r="AB34" s="646"/>
      <c r="AC34" s="646"/>
      <c r="AD34" s="646"/>
      <c r="AE34" s="646"/>
      <c r="AF34" s="646"/>
      <c r="AG34" s="646"/>
      <c r="AH34" s="646"/>
      <c r="AI34" s="646"/>
      <c r="AJ34" s="646"/>
      <c r="AK34" s="658"/>
    </row>
    <row r="35" spans="5:37" ht="15" x14ac:dyDescent="0.45">
      <c r="E35" s="687"/>
      <c r="F35" s="688"/>
      <c r="G35" s="643"/>
      <c r="H35" s="643"/>
      <c r="I35" s="643"/>
      <c r="J35" s="643"/>
      <c r="K35" s="646"/>
      <c r="L35" s="646"/>
      <c r="M35" s="646"/>
      <c r="N35" s="135"/>
      <c r="P35" s="694"/>
      <c r="Q35" s="695"/>
      <c r="R35" s="695"/>
      <c r="S35" s="695"/>
      <c r="T35" s="697"/>
      <c r="U35" s="698"/>
      <c r="V35" s="152"/>
      <c r="W35" s="153"/>
      <c r="X35" s="696"/>
      <c r="Y35" s="696"/>
      <c r="Z35" s="646"/>
      <c r="AA35" s="646"/>
      <c r="AB35" s="646"/>
      <c r="AC35" s="646"/>
      <c r="AD35" s="646"/>
      <c r="AE35" s="646"/>
      <c r="AF35" s="646"/>
      <c r="AG35" s="646"/>
      <c r="AH35" s="646"/>
      <c r="AI35" s="646"/>
      <c r="AJ35" s="646"/>
      <c r="AK35" s="658"/>
    </row>
    <row r="36" spans="5:37" ht="15" x14ac:dyDescent="0.45">
      <c r="E36" s="687"/>
      <c r="F36" s="688"/>
      <c r="G36" s="643"/>
      <c r="H36" s="643"/>
      <c r="I36" s="643"/>
      <c r="J36" s="643"/>
      <c r="K36" s="646"/>
      <c r="L36" s="646"/>
      <c r="M36" s="646"/>
      <c r="N36" s="135"/>
      <c r="P36" s="694"/>
      <c r="Q36" s="695"/>
      <c r="R36" s="695"/>
      <c r="S36" s="695"/>
      <c r="T36" s="697"/>
      <c r="U36" s="698"/>
      <c r="V36" s="152"/>
      <c r="W36" s="153"/>
      <c r="X36" s="696"/>
      <c r="Y36" s="696"/>
      <c r="Z36" s="646"/>
      <c r="AA36" s="646"/>
      <c r="AB36" s="646"/>
      <c r="AC36" s="646"/>
      <c r="AD36" s="646"/>
      <c r="AE36" s="646"/>
      <c r="AF36" s="646"/>
      <c r="AG36" s="646"/>
      <c r="AH36" s="646"/>
      <c r="AI36" s="646"/>
      <c r="AJ36" s="646"/>
      <c r="AK36" s="658"/>
    </row>
    <row r="37" spans="5:37" ht="16.5" customHeight="1" thickBot="1" x14ac:dyDescent="0.6">
      <c r="E37" s="648" t="s">
        <v>124</v>
      </c>
      <c r="F37" s="649"/>
      <c r="G37" s="649"/>
      <c r="H37" s="649"/>
      <c r="I37" s="649"/>
      <c r="J37" s="649"/>
      <c r="K37" s="649"/>
      <c r="L37" s="649"/>
      <c r="M37" s="650"/>
      <c r="N37" s="144">
        <f>SUBTOTAL(109,'T2'!$N$27:$N$36)</f>
        <v>29.5</v>
      </c>
      <c r="P37" s="701" t="s">
        <v>124</v>
      </c>
      <c r="Q37" s="702"/>
      <c r="R37" s="702"/>
      <c r="S37" s="703"/>
      <c r="T37" s="704">
        <f>SUM(T27:U36)</f>
        <v>30</v>
      </c>
      <c r="U37" s="705"/>
      <c r="V37" s="704">
        <f ca="1">SUM(W27:W36)</f>
        <v>29.5</v>
      </c>
      <c r="W37" s="705"/>
      <c r="X37" s="704">
        <f t="shared" ref="X37" ca="1" si="2">SUM(X27:Y36)</f>
        <v>-0.5</v>
      </c>
      <c r="Y37" s="705"/>
      <c r="Z37" s="660"/>
      <c r="AA37" s="660"/>
      <c r="AB37" s="660"/>
      <c r="AC37" s="660"/>
      <c r="AD37" s="660"/>
      <c r="AE37" s="660"/>
      <c r="AF37" s="660"/>
      <c r="AG37" s="660"/>
      <c r="AH37" s="660"/>
      <c r="AI37" s="660"/>
      <c r="AJ37" s="660"/>
      <c r="AK37" s="661"/>
    </row>
    <row r="39" spans="5:37" ht="14.65" thickBot="1" x14ac:dyDescent="0.5"/>
    <row r="40" spans="5:37" ht="15.75" customHeight="1" x14ac:dyDescent="0.55000000000000004">
      <c r="E40" s="623" t="s">
        <v>320</v>
      </c>
      <c r="F40" s="624"/>
      <c r="G40" s="624"/>
      <c r="H40" s="624"/>
      <c r="I40" s="624"/>
      <c r="J40" s="624"/>
      <c r="K40" s="624"/>
      <c r="L40" s="624"/>
      <c r="M40" s="624"/>
      <c r="N40" s="625"/>
      <c r="P40" s="623" t="s">
        <v>321</v>
      </c>
      <c r="Q40" s="624"/>
      <c r="R40" s="624"/>
      <c r="S40" s="624"/>
      <c r="T40" s="624"/>
      <c r="U40" s="624"/>
      <c r="V40" s="624"/>
      <c r="W40" s="624"/>
      <c r="X40" s="624"/>
      <c r="Y40" s="624"/>
      <c r="Z40" s="624"/>
      <c r="AA40" s="624"/>
      <c r="AB40" s="624"/>
      <c r="AC40" s="624"/>
      <c r="AD40" s="624"/>
      <c r="AE40" s="624"/>
      <c r="AF40" s="624"/>
      <c r="AG40" s="624"/>
      <c r="AH40" s="624"/>
      <c r="AI40" s="624"/>
      <c r="AJ40" s="624"/>
      <c r="AK40" s="625"/>
    </row>
    <row r="41" spans="5:37" ht="15" x14ac:dyDescent="0.45">
      <c r="E41" s="664" t="s">
        <v>146</v>
      </c>
      <c r="F41" s="665"/>
      <c r="G41" s="666" t="s">
        <v>347</v>
      </c>
      <c r="H41" s="666"/>
      <c r="I41" s="666"/>
      <c r="J41" s="666"/>
      <c r="K41" s="666" t="s">
        <v>345</v>
      </c>
      <c r="L41" s="666"/>
      <c r="M41" s="666"/>
      <c r="N41" s="136" t="s">
        <v>148</v>
      </c>
      <c r="P41" s="699" t="s">
        <v>147</v>
      </c>
      <c r="Q41" s="700"/>
      <c r="R41" s="700"/>
      <c r="S41" s="700"/>
      <c r="T41" s="700" t="s">
        <v>149</v>
      </c>
      <c r="U41" s="700"/>
      <c r="V41" s="700" t="s">
        <v>150</v>
      </c>
      <c r="W41" s="700"/>
      <c r="X41" s="700" t="s">
        <v>151</v>
      </c>
      <c r="Y41" s="700"/>
      <c r="Z41" s="666" t="s">
        <v>152</v>
      </c>
      <c r="AA41" s="666"/>
      <c r="AB41" s="666"/>
      <c r="AC41" s="666"/>
      <c r="AD41" s="666"/>
      <c r="AE41" s="666"/>
      <c r="AF41" s="666" t="s">
        <v>153</v>
      </c>
      <c r="AG41" s="666"/>
      <c r="AH41" s="666"/>
      <c r="AI41" s="666"/>
      <c r="AJ41" s="666"/>
      <c r="AK41" s="667"/>
    </row>
    <row r="42" spans="5:37" ht="15" customHeight="1" x14ac:dyDescent="0.55000000000000004">
      <c r="E42" s="687">
        <v>44593</v>
      </c>
      <c r="F42" s="688">
        <v>44593</v>
      </c>
      <c r="G42" s="640" t="s">
        <v>5</v>
      </c>
      <c r="H42" s="641"/>
      <c r="I42" s="641"/>
      <c r="J42" s="642"/>
      <c r="K42" s="640"/>
      <c r="L42" s="641"/>
      <c r="M42" s="642"/>
      <c r="N42" s="137">
        <v>5</v>
      </c>
      <c r="P42" s="694" t="str">
        <f>'Từ khóa'!F12</f>
        <v>Mua thực phẩm</v>
      </c>
      <c r="Q42" s="695"/>
      <c r="R42" s="695"/>
      <c r="S42" s="695"/>
      <c r="T42" s="696">
        <f>'Kế hoạch thu nhập và chi tiêu'!L26</f>
        <v>5</v>
      </c>
      <c r="U42" s="696"/>
      <c r="V42" s="152"/>
      <c r="W42" s="153">
        <f t="shared" ref="W42:W55" ca="1" si="3">SUMIF($G$42:$J$82,P42,$N$42:$N$82)</f>
        <v>5</v>
      </c>
      <c r="X42" s="697">
        <f t="shared" ref="X42:X56" ca="1" si="4">T42-W42</f>
        <v>0</v>
      </c>
      <c r="Y42" s="698"/>
      <c r="Z42" s="646"/>
      <c r="AA42" s="646"/>
      <c r="AB42" s="646"/>
      <c r="AC42" s="646"/>
      <c r="AD42" s="646"/>
      <c r="AE42" s="646"/>
      <c r="AF42" s="646"/>
      <c r="AG42" s="646"/>
      <c r="AH42" s="646"/>
      <c r="AI42" s="646"/>
      <c r="AJ42" s="646"/>
      <c r="AK42" s="658"/>
    </row>
    <row r="43" spans="5:37" ht="15" customHeight="1" x14ac:dyDescent="0.55000000000000004">
      <c r="E43" s="687">
        <v>44593</v>
      </c>
      <c r="F43" s="688">
        <v>44593</v>
      </c>
      <c r="G43" s="640" t="s">
        <v>6</v>
      </c>
      <c r="H43" s="641" t="s">
        <v>6</v>
      </c>
      <c r="I43" s="641" t="s">
        <v>6</v>
      </c>
      <c r="J43" s="642" t="s">
        <v>6</v>
      </c>
      <c r="K43" s="640"/>
      <c r="L43" s="641"/>
      <c r="M43" s="642"/>
      <c r="N43" s="138">
        <v>0.4</v>
      </c>
      <c r="P43" s="694" t="str">
        <f>'Từ khóa'!F13</f>
        <v>Mua đồ dùng trong nhà</v>
      </c>
      <c r="Q43" s="695"/>
      <c r="R43" s="695"/>
      <c r="S43" s="695"/>
      <c r="T43" s="696">
        <f>'Kế hoạch thu nhập và chi tiêu'!L27</f>
        <v>0.5</v>
      </c>
      <c r="U43" s="696"/>
      <c r="V43" s="152"/>
      <c r="W43" s="153">
        <f t="shared" ca="1" si="3"/>
        <v>0.7</v>
      </c>
      <c r="X43" s="697">
        <f t="shared" ca="1" si="4"/>
        <v>-0.19999999999999996</v>
      </c>
      <c r="Y43" s="698"/>
      <c r="Z43" s="646" t="s">
        <v>373</v>
      </c>
      <c r="AA43" s="646"/>
      <c r="AB43" s="646"/>
      <c r="AC43" s="646"/>
      <c r="AD43" s="646"/>
      <c r="AE43" s="646"/>
      <c r="AF43" s="646"/>
      <c r="AG43" s="646"/>
      <c r="AH43" s="646"/>
      <c r="AI43" s="646"/>
      <c r="AJ43" s="646"/>
      <c r="AK43" s="658"/>
    </row>
    <row r="44" spans="5:37" ht="15" customHeight="1" x14ac:dyDescent="0.55000000000000004">
      <c r="E44" s="687">
        <v>44594</v>
      </c>
      <c r="F44" s="688">
        <v>44594</v>
      </c>
      <c r="G44" s="640" t="s">
        <v>10</v>
      </c>
      <c r="H44" s="641" t="s">
        <v>10</v>
      </c>
      <c r="I44" s="641" t="s">
        <v>10</v>
      </c>
      <c r="J44" s="642" t="s">
        <v>10</v>
      </c>
      <c r="K44" s="640" t="s">
        <v>159</v>
      </c>
      <c r="L44" s="641" t="s">
        <v>159</v>
      </c>
      <c r="M44" s="642" t="s">
        <v>159</v>
      </c>
      <c r="N44" s="138">
        <v>0.4</v>
      </c>
      <c r="P44" s="694" t="str">
        <f>'Từ khóa'!F14</f>
        <v>Đi ăn ở ngoài</v>
      </c>
      <c r="Q44" s="695"/>
      <c r="R44" s="695"/>
      <c r="S44" s="695"/>
      <c r="T44" s="696">
        <f>'Kế hoạch thu nhập và chi tiêu'!L28</f>
        <v>2</v>
      </c>
      <c r="U44" s="696"/>
      <c r="V44" s="152"/>
      <c r="W44" s="153">
        <f t="shared" ca="1" si="3"/>
        <v>1.8000000000000003</v>
      </c>
      <c r="X44" s="697">
        <f t="shared" ca="1" si="4"/>
        <v>0.19999999999999973</v>
      </c>
      <c r="Y44" s="698"/>
      <c r="Z44" s="646" t="s">
        <v>374</v>
      </c>
      <c r="AA44" s="646"/>
      <c r="AB44" s="646"/>
      <c r="AC44" s="646"/>
      <c r="AD44" s="646"/>
      <c r="AE44" s="646"/>
      <c r="AF44" s="646" t="s">
        <v>322</v>
      </c>
      <c r="AG44" s="646"/>
      <c r="AH44" s="646"/>
      <c r="AI44" s="646"/>
      <c r="AJ44" s="646"/>
      <c r="AK44" s="658"/>
    </row>
    <row r="45" spans="5:37" ht="15" customHeight="1" x14ac:dyDescent="0.55000000000000004">
      <c r="E45" s="687">
        <v>44595</v>
      </c>
      <c r="F45" s="688">
        <v>44595</v>
      </c>
      <c r="G45" s="640" t="s">
        <v>10</v>
      </c>
      <c r="H45" s="641" t="s">
        <v>10</v>
      </c>
      <c r="I45" s="641" t="s">
        <v>10</v>
      </c>
      <c r="J45" s="642" t="s">
        <v>10</v>
      </c>
      <c r="K45" s="640" t="s">
        <v>161</v>
      </c>
      <c r="L45" s="641" t="s">
        <v>161</v>
      </c>
      <c r="M45" s="642" t="s">
        <v>161</v>
      </c>
      <c r="N45" s="138">
        <v>0.3</v>
      </c>
      <c r="P45" s="694" t="str">
        <f>'Từ khóa'!F15</f>
        <v>Chi tiền phát triển bản thân</v>
      </c>
      <c r="Q45" s="695"/>
      <c r="R45" s="695"/>
      <c r="S45" s="695"/>
      <c r="T45" s="696">
        <f>'Kế hoạch thu nhập và chi tiêu'!L29</f>
        <v>1.5</v>
      </c>
      <c r="U45" s="696"/>
      <c r="V45" s="152"/>
      <c r="W45" s="153">
        <f t="shared" ca="1" si="3"/>
        <v>2.2999999999999998</v>
      </c>
      <c r="X45" s="697">
        <f t="shared" ca="1" si="4"/>
        <v>-0.79999999999999982</v>
      </c>
      <c r="Y45" s="698"/>
      <c r="Z45" s="646" t="s">
        <v>375</v>
      </c>
      <c r="AA45" s="646"/>
      <c r="AB45" s="646"/>
      <c r="AC45" s="646"/>
      <c r="AD45" s="646"/>
      <c r="AE45" s="646"/>
      <c r="AF45" s="646"/>
      <c r="AG45" s="646"/>
      <c r="AH45" s="646"/>
      <c r="AI45" s="646"/>
      <c r="AJ45" s="646"/>
      <c r="AK45" s="658"/>
    </row>
    <row r="46" spans="5:37" ht="15" customHeight="1" x14ac:dyDescent="0.55000000000000004">
      <c r="E46" s="687">
        <v>44596</v>
      </c>
      <c r="F46" s="688">
        <v>44596</v>
      </c>
      <c r="G46" s="640" t="s">
        <v>10</v>
      </c>
      <c r="H46" s="641" t="s">
        <v>10</v>
      </c>
      <c r="I46" s="641" t="s">
        <v>10</v>
      </c>
      <c r="J46" s="642" t="s">
        <v>10</v>
      </c>
      <c r="K46" s="640" t="s">
        <v>162</v>
      </c>
      <c r="L46" s="641" t="s">
        <v>162</v>
      </c>
      <c r="M46" s="642" t="s">
        <v>162</v>
      </c>
      <c r="N46" s="138">
        <v>0.3</v>
      </c>
      <c r="P46" s="694" t="str">
        <f>'Từ khóa'!F16</f>
        <v>Chi tiền bảo hiểm</v>
      </c>
      <c r="Q46" s="695"/>
      <c r="R46" s="695"/>
      <c r="S46" s="695"/>
      <c r="T46" s="696">
        <f>'Kế hoạch thu nhập và chi tiêu'!L30</f>
        <v>0</v>
      </c>
      <c r="U46" s="696"/>
      <c r="V46" s="152"/>
      <c r="W46" s="153">
        <f t="shared" ca="1" si="3"/>
        <v>0</v>
      </c>
      <c r="X46" s="697">
        <f t="shared" ca="1" si="4"/>
        <v>0</v>
      </c>
      <c r="Y46" s="698"/>
      <c r="Z46" s="646"/>
      <c r="AA46" s="646"/>
      <c r="AB46" s="646"/>
      <c r="AC46" s="646"/>
      <c r="AD46" s="646"/>
      <c r="AE46" s="646"/>
      <c r="AF46" s="646"/>
      <c r="AG46" s="646"/>
      <c r="AH46" s="646"/>
      <c r="AI46" s="646"/>
      <c r="AJ46" s="646"/>
      <c r="AK46" s="658"/>
    </row>
    <row r="47" spans="5:37" ht="15" customHeight="1" x14ac:dyDescent="0.55000000000000004">
      <c r="E47" s="687">
        <v>44597</v>
      </c>
      <c r="F47" s="688">
        <v>44597</v>
      </c>
      <c r="G47" s="640" t="s">
        <v>10</v>
      </c>
      <c r="H47" s="641" t="s">
        <v>10</v>
      </c>
      <c r="I47" s="641" t="s">
        <v>10</v>
      </c>
      <c r="J47" s="642" t="s">
        <v>10</v>
      </c>
      <c r="K47" s="640" t="s">
        <v>163</v>
      </c>
      <c r="L47" s="641" t="s">
        <v>163</v>
      </c>
      <c r="M47" s="642" t="s">
        <v>163</v>
      </c>
      <c r="N47" s="138">
        <v>0.3</v>
      </c>
      <c r="P47" s="694" t="str">
        <f>'Từ khóa'!F17</f>
        <v>Chi tiền điện, nước, internet, điện thoại, xăng xe</v>
      </c>
      <c r="Q47" s="695"/>
      <c r="R47" s="695"/>
      <c r="S47" s="695"/>
      <c r="T47" s="696">
        <f>'Kế hoạch thu nhập và chi tiêu'!L31</f>
        <v>2</v>
      </c>
      <c r="U47" s="696"/>
      <c r="V47" s="152"/>
      <c r="W47" s="153">
        <f t="shared" ca="1" si="3"/>
        <v>1.6</v>
      </c>
      <c r="X47" s="697">
        <f t="shared" ca="1" si="4"/>
        <v>0.39999999999999991</v>
      </c>
      <c r="Y47" s="698"/>
      <c r="Z47" s="646" t="s">
        <v>376</v>
      </c>
      <c r="AA47" s="646"/>
      <c r="AB47" s="646"/>
      <c r="AC47" s="646"/>
      <c r="AD47" s="646"/>
      <c r="AE47" s="646"/>
      <c r="AF47" s="646" t="s">
        <v>385</v>
      </c>
      <c r="AG47" s="646"/>
      <c r="AH47" s="646"/>
      <c r="AI47" s="646"/>
      <c r="AJ47" s="646"/>
      <c r="AK47" s="658"/>
    </row>
    <row r="48" spans="5:37" ht="15" customHeight="1" x14ac:dyDescent="0.55000000000000004">
      <c r="E48" s="687">
        <v>44599</v>
      </c>
      <c r="F48" s="688">
        <v>44599</v>
      </c>
      <c r="G48" s="640" t="s">
        <v>10</v>
      </c>
      <c r="H48" s="641" t="s">
        <v>10</v>
      </c>
      <c r="I48" s="641" t="s">
        <v>10</v>
      </c>
      <c r="J48" s="642" t="s">
        <v>10</v>
      </c>
      <c r="K48" s="640" t="s">
        <v>164</v>
      </c>
      <c r="L48" s="641" t="s">
        <v>164</v>
      </c>
      <c r="M48" s="642" t="s">
        <v>164</v>
      </c>
      <c r="N48" s="138">
        <v>0.1</v>
      </c>
      <c r="P48" s="694" t="str">
        <f>'Từ khóa'!F18</f>
        <v>Chi tiền giải trí, quà tặng</v>
      </c>
      <c r="Q48" s="695"/>
      <c r="R48" s="695"/>
      <c r="S48" s="695"/>
      <c r="T48" s="696">
        <f>'Kế hoạch thu nhập và chi tiêu'!L32</f>
        <v>0</v>
      </c>
      <c r="U48" s="696"/>
      <c r="V48" s="152"/>
      <c r="W48" s="153">
        <f t="shared" ca="1" si="3"/>
        <v>0</v>
      </c>
      <c r="X48" s="697">
        <f t="shared" ca="1" si="4"/>
        <v>0</v>
      </c>
      <c r="Y48" s="698"/>
      <c r="Z48" s="646"/>
      <c r="AA48" s="646"/>
      <c r="AB48" s="646"/>
      <c r="AC48" s="646"/>
      <c r="AD48" s="646"/>
      <c r="AE48" s="646"/>
      <c r="AF48" s="646"/>
      <c r="AG48" s="646"/>
      <c r="AH48" s="646"/>
      <c r="AI48" s="646"/>
      <c r="AJ48" s="646"/>
      <c r="AK48" s="658"/>
    </row>
    <row r="49" spans="5:37" ht="15" customHeight="1" x14ac:dyDescent="0.55000000000000004">
      <c r="E49" s="687">
        <v>44601</v>
      </c>
      <c r="F49" s="688">
        <v>44601</v>
      </c>
      <c r="G49" s="640" t="s">
        <v>7</v>
      </c>
      <c r="H49" s="641" t="s">
        <v>7</v>
      </c>
      <c r="I49" s="641" t="s">
        <v>7</v>
      </c>
      <c r="J49" s="642" t="s">
        <v>7</v>
      </c>
      <c r="K49" s="640"/>
      <c r="L49" s="641"/>
      <c r="M49" s="642"/>
      <c r="N49" s="138">
        <v>0.5</v>
      </c>
      <c r="P49" s="694" t="str">
        <f>'Từ khóa'!F19</f>
        <v>Chi tiền cho con</v>
      </c>
      <c r="Q49" s="695"/>
      <c r="R49" s="695"/>
      <c r="S49" s="695"/>
      <c r="T49" s="696">
        <f>'Kế hoạch thu nhập và chi tiêu'!L33</f>
        <v>0</v>
      </c>
      <c r="U49" s="696"/>
      <c r="V49" s="152"/>
      <c r="W49" s="153">
        <f t="shared" ca="1" si="3"/>
        <v>0</v>
      </c>
      <c r="X49" s="697">
        <f t="shared" ca="1" si="4"/>
        <v>0</v>
      </c>
      <c r="Y49" s="698"/>
      <c r="Z49" s="646"/>
      <c r="AA49" s="646"/>
      <c r="AB49" s="646"/>
      <c r="AC49" s="646"/>
      <c r="AD49" s="646"/>
      <c r="AE49" s="646"/>
      <c r="AF49" s="646"/>
      <c r="AG49" s="646"/>
      <c r="AH49" s="646"/>
      <c r="AI49" s="646"/>
      <c r="AJ49" s="646"/>
      <c r="AK49" s="658"/>
    </row>
    <row r="50" spans="5:37" ht="15" customHeight="1" x14ac:dyDescent="0.55000000000000004">
      <c r="E50" s="687">
        <v>44603</v>
      </c>
      <c r="F50" s="688">
        <v>44603</v>
      </c>
      <c r="G50" s="640" t="s">
        <v>8</v>
      </c>
      <c r="H50" s="641" t="s">
        <v>8</v>
      </c>
      <c r="I50" s="641" t="s">
        <v>8</v>
      </c>
      <c r="J50" s="642" t="s">
        <v>8</v>
      </c>
      <c r="K50" s="640" t="s">
        <v>23</v>
      </c>
      <c r="L50" s="641" t="s">
        <v>23</v>
      </c>
      <c r="M50" s="642" t="s">
        <v>23</v>
      </c>
      <c r="N50" s="138">
        <v>0.5</v>
      </c>
      <c r="P50" s="694" t="str">
        <f>'Từ khóa'!F20</f>
        <v>Chi tiền trả nợ</v>
      </c>
      <c r="Q50" s="695"/>
      <c r="R50" s="695"/>
      <c r="S50" s="695"/>
      <c r="T50" s="696">
        <f>'Kế hoạch thu nhập và chi tiêu'!L34</f>
        <v>6.5</v>
      </c>
      <c r="U50" s="696"/>
      <c r="V50" s="152"/>
      <c r="W50" s="153">
        <f t="shared" ca="1" si="3"/>
        <v>6.5</v>
      </c>
      <c r="X50" s="697">
        <f t="shared" ca="1" si="4"/>
        <v>0</v>
      </c>
      <c r="Y50" s="698"/>
      <c r="Z50" s="646"/>
      <c r="AA50" s="646"/>
      <c r="AB50" s="646"/>
      <c r="AC50" s="646"/>
      <c r="AD50" s="646"/>
      <c r="AE50" s="646"/>
      <c r="AF50" s="646"/>
      <c r="AG50" s="646"/>
      <c r="AH50" s="646"/>
      <c r="AI50" s="646"/>
      <c r="AJ50" s="646"/>
      <c r="AK50" s="658"/>
    </row>
    <row r="51" spans="5:37" ht="15" customHeight="1" x14ac:dyDescent="0.55000000000000004">
      <c r="E51" s="687">
        <v>44604</v>
      </c>
      <c r="F51" s="688">
        <v>44604</v>
      </c>
      <c r="G51" s="640" t="s">
        <v>8</v>
      </c>
      <c r="H51" s="641" t="s">
        <v>8</v>
      </c>
      <c r="I51" s="641" t="s">
        <v>8</v>
      </c>
      <c r="J51" s="642" t="s">
        <v>8</v>
      </c>
      <c r="K51" s="640" t="s">
        <v>165</v>
      </c>
      <c r="L51" s="641" t="s">
        <v>165</v>
      </c>
      <c r="M51" s="642" t="s">
        <v>165</v>
      </c>
      <c r="N51" s="138">
        <v>1</v>
      </c>
      <c r="P51" s="694" t="str">
        <f>'Từ khóa'!F21</f>
        <v>Chi tiền cho tặng gia đình</v>
      </c>
      <c r="Q51" s="695"/>
      <c r="R51" s="695"/>
      <c r="S51" s="695"/>
      <c r="T51" s="696">
        <f>'Kế hoạch thu nhập và chi tiêu'!L35</f>
        <v>1</v>
      </c>
      <c r="U51" s="696"/>
      <c r="V51" s="152"/>
      <c r="W51" s="153">
        <f t="shared" ca="1" si="3"/>
        <v>1.3</v>
      </c>
      <c r="X51" s="697">
        <f t="shared" ca="1" si="4"/>
        <v>-0.30000000000000004</v>
      </c>
      <c r="Y51" s="698"/>
      <c r="Z51" s="646"/>
      <c r="AA51" s="646"/>
      <c r="AB51" s="646"/>
      <c r="AC51" s="646"/>
      <c r="AD51" s="646"/>
      <c r="AE51" s="646"/>
      <c r="AF51" s="646"/>
      <c r="AG51" s="646"/>
      <c r="AH51" s="646"/>
      <c r="AI51" s="646"/>
      <c r="AJ51" s="646"/>
      <c r="AK51" s="658"/>
    </row>
    <row r="52" spans="5:37" ht="15" customHeight="1" x14ac:dyDescent="0.55000000000000004">
      <c r="E52" s="687">
        <v>44612</v>
      </c>
      <c r="F52" s="688">
        <v>44612</v>
      </c>
      <c r="G52" s="640" t="s">
        <v>8</v>
      </c>
      <c r="H52" s="641"/>
      <c r="I52" s="641"/>
      <c r="J52" s="642"/>
      <c r="K52" s="640" t="s">
        <v>421</v>
      </c>
      <c r="L52" s="641"/>
      <c r="M52" s="642"/>
      <c r="N52" s="138">
        <v>0.8</v>
      </c>
      <c r="P52" s="694" t="str">
        <f>'Từ khóa'!F22</f>
        <v>Chi tiêu 1</v>
      </c>
      <c r="Q52" s="695"/>
      <c r="R52" s="695"/>
      <c r="S52" s="695"/>
      <c r="T52" s="696">
        <f>'Kế hoạch thu nhập và chi tiêu'!L36</f>
        <v>0</v>
      </c>
      <c r="U52" s="696"/>
      <c r="V52" s="152"/>
      <c r="W52" s="153">
        <f t="shared" ca="1" si="3"/>
        <v>0</v>
      </c>
      <c r="X52" s="697">
        <f t="shared" ca="1" si="4"/>
        <v>0</v>
      </c>
      <c r="Y52" s="698"/>
      <c r="Z52" s="646"/>
      <c r="AA52" s="646"/>
      <c r="AB52" s="646"/>
      <c r="AC52" s="646"/>
      <c r="AD52" s="646"/>
      <c r="AE52" s="646"/>
      <c r="AF52" s="646"/>
      <c r="AG52" s="646"/>
      <c r="AH52" s="646"/>
      <c r="AI52" s="646"/>
      <c r="AJ52" s="646"/>
      <c r="AK52" s="658"/>
    </row>
    <row r="53" spans="5:37" ht="15" customHeight="1" x14ac:dyDescent="0.55000000000000004">
      <c r="E53" s="687">
        <v>44614</v>
      </c>
      <c r="F53" s="688" t="s">
        <v>174</v>
      </c>
      <c r="G53" s="640" t="s">
        <v>7</v>
      </c>
      <c r="H53" s="641"/>
      <c r="I53" s="641"/>
      <c r="J53" s="642"/>
      <c r="K53" s="640"/>
      <c r="L53" s="641"/>
      <c r="M53" s="642"/>
      <c r="N53" s="138">
        <v>0.3</v>
      </c>
      <c r="P53" s="694" t="str">
        <f>'Từ khóa'!F23</f>
        <v>Chi tiêu 2</v>
      </c>
      <c r="Q53" s="695"/>
      <c r="R53" s="695"/>
      <c r="S53" s="695"/>
      <c r="T53" s="696">
        <f>'Kế hoạch thu nhập và chi tiêu'!L37</f>
        <v>0</v>
      </c>
      <c r="U53" s="696"/>
      <c r="V53" s="152"/>
      <c r="W53" s="153">
        <f t="shared" ca="1" si="3"/>
        <v>0</v>
      </c>
      <c r="X53" s="697">
        <f t="shared" ca="1" si="4"/>
        <v>0</v>
      </c>
      <c r="Y53" s="698"/>
      <c r="Z53" s="646"/>
      <c r="AA53" s="646"/>
      <c r="AB53" s="646"/>
      <c r="AC53" s="646"/>
      <c r="AD53" s="646"/>
      <c r="AE53" s="646"/>
      <c r="AF53" s="646"/>
      <c r="AG53" s="646"/>
      <c r="AH53" s="646"/>
      <c r="AI53" s="646"/>
      <c r="AJ53" s="646"/>
      <c r="AK53" s="658"/>
    </row>
    <row r="54" spans="5:37" ht="15" customHeight="1" x14ac:dyDescent="0.55000000000000004">
      <c r="E54" s="687">
        <v>44615</v>
      </c>
      <c r="F54" s="688">
        <v>44615</v>
      </c>
      <c r="G54" s="640" t="s">
        <v>7</v>
      </c>
      <c r="H54" s="641"/>
      <c r="I54" s="641"/>
      <c r="J54" s="642"/>
      <c r="K54" s="640"/>
      <c r="L54" s="641"/>
      <c r="M54" s="642"/>
      <c r="N54" s="138">
        <v>0.4</v>
      </c>
      <c r="P54" s="694" t="str">
        <f>'Từ khóa'!F24</f>
        <v>Chi tiêu 3</v>
      </c>
      <c r="Q54" s="695"/>
      <c r="R54" s="695"/>
      <c r="S54" s="695"/>
      <c r="T54" s="696">
        <f>'Kế hoạch thu nhập và chi tiêu'!L38</f>
        <v>0</v>
      </c>
      <c r="U54" s="696"/>
      <c r="V54" s="152"/>
      <c r="W54" s="153">
        <f t="shared" ca="1" si="3"/>
        <v>0</v>
      </c>
      <c r="X54" s="697">
        <f t="shared" ca="1" si="4"/>
        <v>0</v>
      </c>
      <c r="Y54" s="698"/>
      <c r="Z54" s="646"/>
      <c r="AA54" s="646"/>
      <c r="AB54" s="646"/>
      <c r="AC54" s="646"/>
      <c r="AD54" s="646"/>
      <c r="AE54" s="646"/>
      <c r="AF54" s="646"/>
      <c r="AG54" s="646"/>
      <c r="AH54" s="646"/>
      <c r="AI54" s="646"/>
      <c r="AJ54" s="646"/>
      <c r="AK54" s="658"/>
    </row>
    <row r="55" spans="5:37" ht="15" customHeight="1" x14ac:dyDescent="0.55000000000000004">
      <c r="E55" s="687">
        <v>44616</v>
      </c>
      <c r="F55" s="688">
        <v>44616</v>
      </c>
      <c r="G55" s="640" t="s">
        <v>6</v>
      </c>
      <c r="H55" s="641"/>
      <c r="I55" s="641"/>
      <c r="J55" s="642"/>
      <c r="K55" s="640"/>
      <c r="L55" s="641"/>
      <c r="M55" s="642"/>
      <c r="N55" s="138">
        <v>0.3</v>
      </c>
      <c r="P55" s="694" t="str">
        <f>'Từ khóa'!F25</f>
        <v>Chi tiêu 4</v>
      </c>
      <c r="Q55" s="695"/>
      <c r="R55" s="695"/>
      <c r="S55" s="695"/>
      <c r="T55" s="696">
        <f>'Kế hoạch thu nhập và chi tiêu'!L39</f>
        <v>0</v>
      </c>
      <c r="U55" s="696"/>
      <c r="V55" s="152"/>
      <c r="W55" s="153">
        <f t="shared" ca="1" si="3"/>
        <v>0</v>
      </c>
      <c r="X55" s="697">
        <f t="shared" ca="1" si="4"/>
        <v>0</v>
      </c>
      <c r="Y55" s="698"/>
      <c r="Z55" s="646"/>
      <c r="AA55" s="646"/>
      <c r="AB55" s="646"/>
      <c r="AC55" s="646"/>
      <c r="AD55" s="646"/>
      <c r="AE55" s="646"/>
      <c r="AF55" s="646"/>
      <c r="AG55" s="646"/>
      <c r="AH55" s="646"/>
      <c r="AI55" s="646"/>
      <c r="AJ55" s="646"/>
      <c r="AK55" s="658"/>
    </row>
    <row r="56" spans="5:37" ht="15" customHeight="1" x14ac:dyDescent="0.55000000000000004">
      <c r="E56" s="687">
        <v>44617</v>
      </c>
      <c r="F56" s="688">
        <v>44617</v>
      </c>
      <c r="G56" s="640" t="s">
        <v>10</v>
      </c>
      <c r="H56" s="641"/>
      <c r="I56" s="641"/>
      <c r="J56" s="642"/>
      <c r="K56" s="640" t="s">
        <v>163</v>
      </c>
      <c r="L56" s="641"/>
      <c r="M56" s="642"/>
      <c r="N56" s="138">
        <v>0.2</v>
      </c>
      <c r="P56" s="694" t="str">
        <f>'Từ khóa'!F26</f>
        <v>Chi tiêu 5</v>
      </c>
      <c r="Q56" s="695"/>
      <c r="R56" s="695"/>
      <c r="S56" s="695"/>
      <c r="T56" s="696">
        <f>'Kế hoạch thu nhập và chi tiêu'!L40</f>
        <v>0</v>
      </c>
      <c r="U56" s="696"/>
      <c r="V56" s="152"/>
      <c r="W56" s="153"/>
      <c r="X56" s="697">
        <f t="shared" si="4"/>
        <v>0</v>
      </c>
      <c r="Y56" s="698"/>
      <c r="Z56" s="646"/>
      <c r="AA56" s="646"/>
      <c r="AB56" s="646"/>
      <c r="AC56" s="646"/>
      <c r="AD56" s="646"/>
      <c r="AE56" s="646"/>
      <c r="AF56" s="646"/>
      <c r="AG56" s="646"/>
      <c r="AH56" s="646"/>
      <c r="AI56" s="646"/>
      <c r="AJ56" s="646"/>
      <c r="AK56" s="658"/>
    </row>
    <row r="57" spans="5:37" ht="15.75" customHeight="1" thickBot="1" x14ac:dyDescent="0.6">
      <c r="E57" s="687">
        <v>44618</v>
      </c>
      <c r="F57" s="688">
        <v>44618</v>
      </c>
      <c r="G57" s="640" t="s">
        <v>13</v>
      </c>
      <c r="H57" s="641"/>
      <c r="I57" s="641"/>
      <c r="J57" s="642"/>
      <c r="K57" s="640"/>
      <c r="L57" s="641"/>
      <c r="M57" s="642"/>
      <c r="N57" s="138">
        <v>6.5</v>
      </c>
      <c r="P57" s="691" t="s">
        <v>317</v>
      </c>
      <c r="Q57" s="692"/>
      <c r="R57" s="692"/>
      <c r="S57" s="693"/>
      <c r="T57" s="689">
        <f>SUM(T42:U56)</f>
        <v>18.5</v>
      </c>
      <c r="U57" s="690"/>
      <c r="V57" s="689">
        <f ca="1">SUM(W42:W56)</f>
        <v>19.2</v>
      </c>
      <c r="W57" s="690"/>
      <c r="X57" s="689">
        <f t="shared" ref="X57" ca="1" si="5">SUM(X42:Y56)</f>
        <v>-0.70000000000000018</v>
      </c>
      <c r="Y57" s="690"/>
      <c r="Z57" s="669"/>
      <c r="AA57" s="669"/>
      <c r="AB57" s="669"/>
      <c r="AC57" s="669"/>
      <c r="AD57" s="669"/>
      <c r="AE57" s="669"/>
      <c r="AF57" s="669"/>
      <c r="AG57" s="669"/>
      <c r="AH57" s="669"/>
      <c r="AI57" s="669"/>
      <c r="AJ57" s="669"/>
      <c r="AK57" s="670"/>
    </row>
    <row r="58" spans="5:37" ht="15.75" customHeight="1" x14ac:dyDescent="0.55000000000000004">
      <c r="E58" s="687">
        <v>44619</v>
      </c>
      <c r="F58" s="688">
        <v>44619</v>
      </c>
      <c r="G58" s="640" t="s">
        <v>14</v>
      </c>
      <c r="H58" s="641"/>
      <c r="I58" s="641"/>
      <c r="J58" s="642"/>
      <c r="K58" s="640"/>
      <c r="L58" s="641"/>
      <c r="M58" s="642"/>
      <c r="N58" s="139">
        <v>1.3</v>
      </c>
      <c r="Q58" s="6"/>
      <c r="R58" s="6"/>
      <c r="S58" s="6"/>
      <c r="T58" s="6"/>
    </row>
    <row r="59" spans="5:37" ht="15.75" customHeight="1" x14ac:dyDescent="0.55000000000000004">
      <c r="E59" s="687">
        <v>44620</v>
      </c>
      <c r="F59" s="688" t="s">
        <v>174</v>
      </c>
      <c r="G59" s="640" t="s">
        <v>7</v>
      </c>
      <c r="H59" s="641"/>
      <c r="I59" s="641"/>
      <c r="J59" s="642"/>
      <c r="K59" s="640"/>
      <c r="L59" s="641"/>
      <c r="M59" s="642"/>
      <c r="N59" s="140">
        <v>0.6</v>
      </c>
      <c r="Q59" s="6"/>
      <c r="R59" s="6"/>
      <c r="S59" s="6"/>
      <c r="T59" s="6"/>
    </row>
    <row r="60" spans="5:37" ht="15" x14ac:dyDescent="0.55000000000000004">
      <c r="E60" s="638"/>
      <c r="F60" s="639"/>
      <c r="G60" s="640"/>
      <c r="H60" s="641"/>
      <c r="I60" s="641"/>
      <c r="J60" s="642"/>
      <c r="K60" s="640"/>
      <c r="L60" s="641"/>
      <c r="M60" s="642"/>
      <c r="N60" s="140"/>
    </row>
    <row r="61" spans="5:37" ht="15" x14ac:dyDescent="0.55000000000000004">
      <c r="E61" s="638"/>
      <c r="F61" s="639"/>
      <c r="G61" s="640"/>
      <c r="H61" s="641"/>
      <c r="I61" s="641"/>
      <c r="J61" s="642"/>
      <c r="K61" s="640"/>
      <c r="L61" s="641"/>
      <c r="M61" s="642"/>
      <c r="N61" s="140"/>
    </row>
    <row r="62" spans="5:37" ht="15" x14ac:dyDescent="0.55000000000000004">
      <c r="E62" s="638"/>
      <c r="F62" s="639"/>
      <c r="G62" s="640"/>
      <c r="H62" s="641"/>
      <c r="I62" s="641"/>
      <c r="J62" s="642"/>
      <c r="K62" s="640"/>
      <c r="L62" s="641"/>
      <c r="M62" s="642"/>
      <c r="N62" s="140"/>
    </row>
    <row r="63" spans="5:37" ht="15" x14ac:dyDescent="0.55000000000000004">
      <c r="E63" s="638"/>
      <c r="F63" s="639"/>
      <c r="G63" s="640"/>
      <c r="H63" s="641"/>
      <c r="I63" s="641"/>
      <c r="J63" s="642"/>
      <c r="K63" s="640"/>
      <c r="L63" s="641"/>
      <c r="M63" s="642"/>
      <c r="N63" s="140"/>
    </row>
    <row r="64" spans="5:37" ht="15" x14ac:dyDescent="0.55000000000000004">
      <c r="E64" s="638"/>
      <c r="F64" s="639"/>
      <c r="G64" s="640"/>
      <c r="H64" s="641"/>
      <c r="I64" s="641"/>
      <c r="J64" s="642"/>
      <c r="K64" s="640"/>
      <c r="L64" s="641"/>
      <c r="M64" s="642"/>
      <c r="N64" s="140"/>
    </row>
    <row r="65" spans="5:14" ht="15" x14ac:dyDescent="0.55000000000000004">
      <c r="E65" s="638"/>
      <c r="F65" s="639"/>
      <c r="G65" s="640"/>
      <c r="H65" s="641"/>
      <c r="I65" s="641"/>
      <c r="J65" s="642"/>
      <c r="K65" s="640"/>
      <c r="L65" s="641"/>
      <c r="M65" s="642"/>
      <c r="N65" s="140"/>
    </row>
    <row r="66" spans="5:14" ht="15" x14ac:dyDescent="0.55000000000000004">
      <c r="E66" s="638"/>
      <c r="F66" s="639"/>
      <c r="G66" s="640"/>
      <c r="H66" s="641"/>
      <c r="I66" s="641"/>
      <c r="J66" s="642"/>
      <c r="K66" s="640"/>
      <c r="L66" s="641"/>
      <c r="M66" s="642"/>
      <c r="N66" s="140"/>
    </row>
    <row r="67" spans="5:14" ht="15" x14ac:dyDescent="0.55000000000000004">
      <c r="E67" s="638"/>
      <c r="F67" s="639"/>
      <c r="G67" s="640"/>
      <c r="H67" s="641"/>
      <c r="I67" s="641"/>
      <c r="J67" s="642"/>
      <c r="K67" s="640"/>
      <c r="L67" s="641"/>
      <c r="M67" s="642"/>
      <c r="N67" s="140"/>
    </row>
    <row r="68" spans="5:14" ht="15" x14ac:dyDescent="0.55000000000000004">
      <c r="E68" s="638"/>
      <c r="F68" s="639"/>
      <c r="G68" s="640"/>
      <c r="H68" s="641"/>
      <c r="I68" s="641"/>
      <c r="J68" s="642"/>
      <c r="K68" s="640"/>
      <c r="L68" s="641"/>
      <c r="M68" s="642"/>
      <c r="N68" s="140"/>
    </row>
    <row r="69" spans="5:14" ht="15" x14ac:dyDescent="0.55000000000000004">
      <c r="E69" s="638"/>
      <c r="F69" s="639"/>
      <c r="G69" s="640"/>
      <c r="H69" s="641"/>
      <c r="I69" s="641"/>
      <c r="J69" s="642"/>
      <c r="K69" s="640"/>
      <c r="L69" s="641"/>
      <c r="M69" s="642"/>
      <c r="N69" s="140"/>
    </row>
    <row r="70" spans="5:14" ht="15" x14ac:dyDescent="0.55000000000000004">
      <c r="E70" s="638"/>
      <c r="F70" s="639"/>
      <c r="G70" s="640"/>
      <c r="H70" s="641"/>
      <c r="I70" s="641"/>
      <c r="J70" s="642"/>
      <c r="K70" s="640"/>
      <c r="L70" s="641"/>
      <c r="M70" s="642"/>
      <c r="N70" s="140"/>
    </row>
    <row r="71" spans="5:14" ht="15" x14ac:dyDescent="0.55000000000000004">
      <c r="E71" s="638"/>
      <c r="F71" s="639"/>
      <c r="G71" s="640"/>
      <c r="H71" s="641"/>
      <c r="I71" s="641"/>
      <c r="J71" s="642"/>
      <c r="K71" s="640"/>
      <c r="L71" s="641"/>
      <c r="M71" s="642"/>
      <c r="N71" s="140"/>
    </row>
    <row r="72" spans="5:14" ht="15" x14ac:dyDescent="0.55000000000000004">
      <c r="E72" s="638"/>
      <c r="F72" s="639"/>
      <c r="G72" s="640"/>
      <c r="H72" s="641"/>
      <c r="I72" s="641"/>
      <c r="J72" s="642"/>
      <c r="K72" s="640"/>
      <c r="L72" s="641"/>
      <c r="M72" s="642"/>
      <c r="N72" s="140"/>
    </row>
    <row r="73" spans="5:14" ht="15" x14ac:dyDescent="0.55000000000000004">
      <c r="E73" s="638"/>
      <c r="F73" s="639"/>
      <c r="G73" s="640"/>
      <c r="H73" s="641"/>
      <c r="I73" s="641"/>
      <c r="J73" s="642"/>
      <c r="K73" s="640"/>
      <c r="L73" s="641"/>
      <c r="M73" s="642"/>
      <c r="N73" s="140"/>
    </row>
    <row r="74" spans="5:14" ht="15" x14ac:dyDescent="0.55000000000000004">
      <c r="E74" s="638"/>
      <c r="F74" s="639"/>
      <c r="G74" s="640"/>
      <c r="H74" s="641"/>
      <c r="I74" s="641"/>
      <c r="J74" s="642"/>
      <c r="K74" s="640"/>
      <c r="L74" s="641"/>
      <c r="M74" s="642"/>
      <c r="N74" s="140"/>
    </row>
    <row r="75" spans="5:14" ht="15" x14ac:dyDescent="0.55000000000000004">
      <c r="E75" s="638"/>
      <c r="F75" s="639"/>
      <c r="G75" s="640"/>
      <c r="H75" s="641"/>
      <c r="I75" s="641"/>
      <c r="J75" s="642"/>
      <c r="K75" s="640"/>
      <c r="L75" s="641"/>
      <c r="M75" s="642"/>
      <c r="N75" s="140"/>
    </row>
    <row r="76" spans="5:14" ht="15" x14ac:dyDescent="0.55000000000000004">
      <c r="E76" s="638"/>
      <c r="F76" s="639"/>
      <c r="G76" s="640"/>
      <c r="H76" s="641"/>
      <c r="I76" s="641"/>
      <c r="J76" s="642"/>
      <c r="K76" s="640"/>
      <c r="L76" s="641"/>
      <c r="M76" s="642"/>
      <c r="N76" s="140"/>
    </row>
    <row r="77" spans="5:14" ht="15" x14ac:dyDescent="0.55000000000000004">
      <c r="E77" s="638"/>
      <c r="F77" s="639"/>
      <c r="G77" s="640"/>
      <c r="H77" s="641"/>
      <c r="I77" s="641"/>
      <c r="J77" s="642"/>
      <c r="K77" s="640"/>
      <c r="L77" s="641"/>
      <c r="M77" s="642"/>
      <c r="N77" s="140"/>
    </row>
    <row r="78" spans="5:14" ht="15" x14ac:dyDescent="0.55000000000000004">
      <c r="E78" s="638"/>
      <c r="F78" s="639"/>
      <c r="G78" s="640"/>
      <c r="H78" s="641"/>
      <c r="I78" s="641"/>
      <c r="J78" s="642"/>
      <c r="K78" s="640"/>
      <c r="L78" s="641"/>
      <c r="M78" s="642"/>
      <c r="N78" s="140"/>
    </row>
    <row r="79" spans="5:14" ht="15" x14ac:dyDescent="0.55000000000000004">
      <c r="E79" s="638"/>
      <c r="F79" s="639"/>
      <c r="G79" s="640"/>
      <c r="H79" s="641"/>
      <c r="I79" s="641"/>
      <c r="J79" s="642"/>
      <c r="K79" s="640"/>
      <c r="L79" s="641"/>
      <c r="M79" s="642"/>
      <c r="N79" s="140"/>
    </row>
    <row r="80" spans="5:14" ht="15" x14ac:dyDescent="0.55000000000000004">
      <c r="E80" s="638"/>
      <c r="F80" s="639"/>
      <c r="G80" s="640"/>
      <c r="H80" s="641"/>
      <c r="I80" s="641"/>
      <c r="J80" s="642"/>
      <c r="K80" s="640"/>
      <c r="L80" s="641"/>
      <c r="M80" s="642"/>
      <c r="N80" s="140"/>
    </row>
    <row r="81" spans="1:31" ht="15" x14ac:dyDescent="0.55000000000000004">
      <c r="E81" s="638"/>
      <c r="F81" s="639"/>
      <c r="G81" s="640"/>
      <c r="H81" s="641"/>
      <c r="I81" s="641"/>
      <c r="J81" s="642"/>
      <c r="K81" s="640"/>
      <c r="L81" s="641"/>
      <c r="M81" s="642"/>
      <c r="N81" s="140"/>
    </row>
    <row r="82" spans="1:31" ht="15" x14ac:dyDescent="0.55000000000000004">
      <c r="E82" s="638"/>
      <c r="F82" s="639"/>
      <c r="G82" s="640"/>
      <c r="H82" s="641"/>
      <c r="I82" s="641"/>
      <c r="J82" s="642"/>
      <c r="K82" s="640"/>
      <c r="L82" s="641"/>
      <c r="M82" s="642"/>
      <c r="N82" s="140"/>
    </row>
    <row r="83" spans="1:31" ht="15.4" thickBot="1" x14ac:dyDescent="0.6">
      <c r="E83" s="671" t="s">
        <v>317</v>
      </c>
      <c r="F83" s="672"/>
      <c r="G83" s="672"/>
      <c r="H83" s="672"/>
      <c r="I83" s="672"/>
      <c r="J83" s="672"/>
      <c r="K83" s="672"/>
      <c r="L83" s="672"/>
      <c r="M83" s="673"/>
      <c r="N83" s="143">
        <f>SUM(N42:N82)</f>
        <v>19.200000000000006</v>
      </c>
    </row>
    <row r="86" spans="1:31" ht="15" customHeight="1" x14ac:dyDescent="0.45">
      <c r="E86" s="532" t="s">
        <v>348</v>
      </c>
      <c r="F86" s="532"/>
      <c r="G86" s="532"/>
      <c r="H86" s="532"/>
      <c r="I86" s="532"/>
      <c r="J86" s="532"/>
      <c r="K86" s="532"/>
      <c r="L86" s="532"/>
      <c r="M86" s="532"/>
      <c r="N86" s="5"/>
      <c r="O86" s="5"/>
      <c r="P86" s="5"/>
      <c r="Q86" s="5"/>
      <c r="R86" s="5"/>
      <c r="S86" s="6"/>
      <c r="T86" s="6"/>
      <c r="U86" s="6"/>
      <c r="V86" s="6"/>
      <c r="W86" s="6"/>
      <c r="X86" s="6"/>
      <c r="Y86" s="6"/>
      <c r="Z86" s="6"/>
      <c r="AA86" s="6"/>
    </row>
    <row r="87" spans="1:31" s="8" customFormat="1" ht="15" customHeight="1" thickBot="1" x14ac:dyDescent="0.5">
      <c r="A87" s="7"/>
      <c r="B87" s="7"/>
      <c r="C87" s="7"/>
      <c r="E87" s="533"/>
      <c r="F87" s="533"/>
      <c r="G87" s="533"/>
      <c r="H87" s="533"/>
      <c r="I87" s="533"/>
      <c r="J87" s="533"/>
      <c r="K87" s="533"/>
      <c r="L87" s="533"/>
      <c r="M87" s="533"/>
      <c r="N87" s="9"/>
      <c r="O87" s="9"/>
      <c r="P87" s="9"/>
      <c r="Q87" s="9"/>
      <c r="R87" s="9"/>
      <c r="S87" s="10"/>
      <c r="T87" s="10"/>
      <c r="U87" s="10"/>
      <c r="V87" s="10"/>
      <c r="W87" s="10"/>
      <c r="X87" s="10"/>
      <c r="Y87" s="10"/>
      <c r="Z87" s="10"/>
      <c r="AA87" s="10"/>
    </row>
    <row r="88" spans="1:31" ht="14.65" thickBot="1" x14ac:dyDescent="0.5"/>
    <row r="89" spans="1:31" ht="14.65" thickBot="1" x14ac:dyDescent="0.5">
      <c r="E89" s="620" t="s">
        <v>350</v>
      </c>
      <c r="F89" s="621"/>
      <c r="G89" s="621"/>
      <c r="H89" s="621"/>
      <c r="I89" s="621"/>
      <c r="J89" s="621"/>
      <c r="K89" s="621"/>
      <c r="L89" s="621"/>
      <c r="M89" s="621"/>
      <c r="N89" s="621"/>
      <c r="O89" s="621"/>
      <c r="P89" s="621"/>
      <c r="Q89" s="621"/>
      <c r="R89" s="621"/>
      <c r="S89" s="621"/>
      <c r="T89" s="621"/>
      <c r="U89" s="621"/>
      <c r="V89" s="621"/>
      <c r="W89" s="621"/>
      <c r="X89" s="621"/>
      <c r="Y89" s="622"/>
      <c r="AA89" s="629" t="s">
        <v>353</v>
      </c>
      <c r="AB89" s="630"/>
      <c r="AC89" s="630"/>
      <c r="AD89" s="630"/>
      <c r="AE89" s="631"/>
    </row>
    <row r="90" spans="1:31" x14ac:dyDescent="0.45">
      <c r="E90" s="615" t="s">
        <v>146</v>
      </c>
      <c r="F90" s="350"/>
      <c r="G90" s="350" t="s">
        <v>349</v>
      </c>
      <c r="H90" s="350"/>
      <c r="I90" s="350" t="s">
        <v>345</v>
      </c>
      <c r="J90" s="350"/>
      <c r="K90" s="133" t="s">
        <v>148</v>
      </c>
      <c r="L90" s="350" t="s">
        <v>166</v>
      </c>
      <c r="M90" s="350"/>
      <c r="N90" s="350"/>
      <c r="O90" s="350"/>
      <c r="P90" s="350"/>
      <c r="Q90" s="350"/>
      <c r="R90" s="350"/>
      <c r="S90" s="350" t="s">
        <v>352</v>
      </c>
      <c r="T90" s="350"/>
      <c r="U90" s="350"/>
      <c r="V90" s="350"/>
      <c r="W90" s="350"/>
      <c r="X90" s="350"/>
      <c r="Y90" s="614"/>
      <c r="AA90" s="685" t="s">
        <v>147</v>
      </c>
      <c r="AB90" s="686"/>
      <c r="AC90" s="686"/>
      <c r="AD90" s="686"/>
      <c r="AE90" s="684" t="s">
        <v>324</v>
      </c>
    </row>
    <row r="91" spans="1:31" ht="15" x14ac:dyDescent="0.45">
      <c r="E91" s="680">
        <v>44603</v>
      </c>
      <c r="F91" s="681"/>
      <c r="G91" s="555" t="s">
        <v>23</v>
      </c>
      <c r="H91" s="555"/>
      <c r="I91" s="555" t="s">
        <v>167</v>
      </c>
      <c r="J91" s="555"/>
      <c r="K91" s="149">
        <v>0.5</v>
      </c>
      <c r="L91" s="619" t="s">
        <v>168</v>
      </c>
      <c r="M91" s="619"/>
      <c r="N91" s="619"/>
      <c r="O91" s="619"/>
      <c r="P91" s="619"/>
      <c r="Q91" s="619"/>
      <c r="R91" s="619"/>
      <c r="S91" s="555" t="s">
        <v>432</v>
      </c>
      <c r="T91" s="555"/>
      <c r="U91" s="555"/>
      <c r="V91" s="555"/>
      <c r="W91" s="555"/>
      <c r="X91" s="555"/>
      <c r="Y91" s="556"/>
      <c r="AA91" s="685"/>
      <c r="AB91" s="686"/>
      <c r="AC91" s="686"/>
      <c r="AD91" s="686"/>
      <c r="AE91" s="684"/>
    </row>
    <row r="92" spans="1:31" ht="15" x14ac:dyDescent="0.45">
      <c r="E92" s="680">
        <v>44604</v>
      </c>
      <c r="F92" s="681"/>
      <c r="G92" s="557" t="s">
        <v>24</v>
      </c>
      <c r="H92" s="557"/>
      <c r="I92" s="557" t="s">
        <v>169</v>
      </c>
      <c r="J92" s="557"/>
      <c r="K92" s="150">
        <v>1</v>
      </c>
      <c r="L92" s="606" t="s">
        <v>168</v>
      </c>
      <c r="M92" s="606"/>
      <c r="N92" s="606"/>
      <c r="O92" s="606"/>
      <c r="P92" s="606"/>
      <c r="Q92" s="606"/>
      <c r="R92" s="606"/>
      <c r="S92" s="555" t="s">
        <v>432</v>
      </c>
      <c r="T92" s="555"/>
      <c r="U92" s="555"/>
      <c r="V92" s="555"/>
      <c r="W92" s="555"/>
      <c r="X92" s="555"/>
      <c r="Y92" s="556"/>
      <c r="AA92" s="682" t="str">
        <f>'Từ khóa'!S12:S12</f>
        <v>Mua sách</v>
      </c>
      <c r="AB92" s="683"/>
      <c r="AC92" s="683"/>
      <c r="AD92" s="683"/>
      <c r="AE92" s="145">
        <f ca="1">SUMIF($G$91:$H$105,AA92,$K$91:$K$105)</f>
        <v>0.5</v>
      </c>
    </row>
    <row r="93" spans="1:31" ht="15" x14ac:dyDescent="0.45">
      <c r="E93" s="680">
        <v>44612</v>
      </c>
      <c r="F93" s="681"/>
      <c r="G93" s="557" t="s">
        <v>421</v>
      </c>
      <c r="H93" s="557"/>
      <c r="I93" s="557"/>
      <c r="J93" s="557"/>
      <c r="K93" s="150">
        <v>0.8</v>
      </c>
      <c r="L93" s="606" t="s">
        <v>168</v>
      </c>
      <c r="M93" s="606"/>
      <c r="N93" s="606"/>
      <c r="O93" s="606"/>
      <c r="P93" s="606"/>
      <c r="Q93" s="606"/>
      <c r="R93" s="606"/>
      <c r="S93" s="555" t="s">
        <v>432</v>
      </c>
      <c r="T93" s="555"/>
      <c r="U93" s="555"/>
      <c r="V93" s="555"/>
      <c r="W93" s="555"/>
      <c r="X93" s="555"/>
      <c r="Y93" s="556"/>
      <c r="AA93" s="678" t="str">
        <f>'Từ khóa'!S13:S13</f>
        <v>Khóa học ngắn hạn</v>
      </c>
      <c r="AB93" s="679"/>
      <c r="AC93" s="679"/>
      <c r="AD93" s="679"/>
      <c r="AE93" s="146">
        <f t="shared" ref="AE93:AE101" ca="1" si="6">SUMIF($G$91:$H$105,AA93,$K$91:$K$105)</f>
        <v>1</v>
      </c>
    </row>
    <row r="94" spans="1:31" ht="15" x14ac:dyDescent="0.45">
      <c r="E94" s="680"/>
      <c r="F94" s="681"/>
      <c r="G94" s="557"/>
      <c r="H94" s="557"/>
      <c r="I94" s="557"/>
      <c r="J94" s="557"/>
      <c r="K94" s="150"/>
      <c r="L94" s="606"/>
      <c r="M94" s="606"/>
      <c r="N94" s="606"/>
      <c r="O94" s="606"/>
      <c r="P94" s="606"/>
      <c r="Q94" s="606"/>
      <c r="R94" s="606"/>
      <c r="S94" s="557"/>
      <c r="T94" s="557"/>
      <c r="U94" s="557"/>
      <c r="V94" s="557"/>
      <c r="W94" s="557"/>
      <c r="X94" s="557"/>
      <c r="Y94" s="558"/>
      <c r="AA94" s="678" t="str">
        <f>'Từ khóa'!S14:S14</f>
        <v>Khóa học dài hạn</v>
      </c>
      <c r="AB94" s="679"/>
      <c r="AC94" s="679"/>
      <c r="AD94" s="679"/>
      <c r="AE94" s="146">
        <f t="shared" ca="1" si="6"/>
        <v>0</v>
      </c>
    </row>
    <row r="95" spans="1:31" x14ac:dyDescent="0.45">
      <c r="E95" s="604"/>
      <c r="F95" s="605"/>
      <c r="G95" s="557"/>
      <c r="H95" s="557"/>
      <c r="I95" s="557"/>
      <c r="J95" s="557"/>
      <c r="K95" s="150"/>
      <c r="L95" s="606"/>
      <c r="M95" s="606"/>
      <c r="N95" s="606"/>
      <c r="O95" s="606"/>
      <c r="P95" s="606"/>
      <c r="Q95" s="606"/>
      <c r="R95" s="606"/>
      <c r="S95" s="557"/>
      <c r="T95" s="557"/>
      <c r="U95" s="557"/>
      <c r="V95" s="557"/>
      <c r="W95" s="557"/>
      <c r="X95" s="557"/>
      <c r="Y95" s="558"/>
      <c r="AA95" s="678" t="e">
        <f>'Từ khóa'!#REF!</f>
        <v>#REF!</v>
      </c>
      <c r="AB95" s="679"/>
      <c r="AC95" s="679"/>
      <c r="AD95" s="679"/>
      <c r="AE95" s="146">
        <f t="shared" ca="1" si="6"/>
        <v>0</v>
      </c>
    </row>
    <row r="96" spans="1:31" x14ac:dyDescent="0.45">
      <c r="E96" s="604"/>
      <c r="F96" s="605"/>
      <c r="G96" s="557"/>
      <c r="H96" s="557"/>
      <c r="I96" s="557"/>
      <c r="J96" s="557"/>
      <c r="K96" s="150"/>
      <c r="L96" s="606"/>
      <c r="M96" s="606"/>
      <c r="N96" s="606"/>
      <c r="O96" s="606"/>
      <c r="P96" s="606"/>
      <c r="Q96" s="606"/>
      <c r="R96" s="606"/>
      <c r="S96" s="557"/>
      <c r="T96" s="557"/>
      <c r="U96" s="557"/>
      <c r="V96" s="557"/>
      <c r="W96" s="557"/>
      <c r="X96" s="557"/>
      <c r="Y96" s="558"/>
      <c r="AA96" s="678" t="str">
        <f>'Từ khóa'!S15:S15</f>
        <v>Tham gia các buổi diễn thuyết</v>
      </c>
      <c r="AB96" s="679"/>
      <c r="AC96" s="679"/>
      <c r="AD96" s="679"/>
      <c r="AE96" s="146">
        <f t="shared" ca="1" si="6"/>
        <v>0</v>
      </c>
    </row>
    <row r="97" spans="5:31" x14ac:dyDescent="0.45">
      <c r="E97" s="604"/>
      <c r="F97" s="605"/>
      <c r="G97" s="557"/>
      <c r="H97" s="557"/>
      <c r="I97" s="557"/>
      <c r="J97" s="557"/>
      <c r="K97" s="150"/>
      <c r="L97" s="606"/>
      <c r="M97" s="606"/>
      <c r="N97" s="606"/>
      <c r="O97" s="606"/>
      <c r="P97" s="606"/>
      <c r="Q97" s="606"/>
      <c r="R97" s="606"/>
      <c r="S97" s="557"/>
      <c r="T97" s="557"/>
      <c r="U97" s="557"/>
      <c r="V97" s="557"/>
      <c r="W97" s="557"/>
      <c r="X97" s="557"/>
      <c r="Y97" s="558"/>
      <c r="AA97" s="678" t="str">
        <f>'Từ khóa'!S16:S16</f>
        <v>Chi phát triển bản thân khác</v>
      </c>
      <c r="AB97" s="679"/>
      <c r="AC97" s="679"/>
      <c r="AD97" s="679"/>
      <c r="AE97" s="146">
        <f t="shared" ca="1" si="6"/>
        <v>0.8</v>
      </c>
    </row>
    <row r="98" spans="5:31" x14ac:dyDescent="0.45">
      <c r="E98" s="604"/>
      <c r="F98" s="605"/>
      <c r="G98" s="557"/>
      <c r="H98" s="557"/>
      <c r="I98" s="557"/>
      <c r="J98" s="557"/>
      <c r="K98" s="150"/>
      <c r="L98" s="606"/>
      <c r="M98" s="606"/>
      <c r="N98" s="606"/>
      <c r="O98" s="606"/>
      <c r="P98" s="606"/>
      <c r="Q98" s="606"/>
      <c r="R98" s="606"/>
      <c r="S98" s="557"/>
      <c r="T98" s="557"/>
      <c r="U98" s="557"/>
      <c r="V98" s="557"/>
      <c r="W98" s="557"/>
      <c r="X98" s="557"/>
      <c r="Y98" s="558"/>
      <c r="AA98" s="678">
        <f>'Từ khóa'!S18:S18</f>
        <v>0</v>
      </c>
      <c r="AB98" s="679"/>
      <c r="AC98" s="679"/>
      <c r="AD98" s="679"/>
      <c r="AE98" s="146">
        <f t="shared" ca="1" si="6"/>
        <v>0</v>
      </c>
    </row>
    <row r="99" spans="5:31" x14ac:dyDescent="0.45">
      <c r="E99" s="604"/>
      <c r="F99" s="605"/>
      <c r="G99" s="557"/>
      <c r="H99" s="557"/>
      <c r="I99" s="557"/>
      <c r="J99" s="557"/>
      <c r="K99" s="150"/>
      <c r="L99" s="606"/>
      <c r="M99" s="606"/>
      <c r="N99" s="606"/>
      <c r="O99" s="606"/>
      <c r="P99" s="606"/>
      <c r="Q99" s="606"/>
      <c r="R99" s="606"/>
      <c r="S99" s="557"/>
      <c r="T99" s="557"/>
      <c r="U99" s="557"/>
      <c r="V99" s="557"/>
      <c r="W99" s="557"/>
      <c r="X99" s="557"/>
      <c r="Y99" s="558"/>
      <c r="AA99" s="678">
        <f>'Từ khóa'!S19:S19</f>
        <v>0</v>
      </c>
      <c r="AB99" s="679"/>
      <c r="AC99" s="679"/>
      <c r="AD99" s="679"/>
      <c r="AE99" s="146">
        <f t="shared" ca="1" si="6"/>
        <v>0</v>
      </c>
    </row>
    <row r="100" spans="5:31" x14ac:dyDescent="0.45">
      <c r="E100" s="604"/>
      <c r="F100" s="605"/>
      <c r="G100" s="557"/>
      <c r="H100" s="557"/>
      <c r="I100" s="557"/>
      <c r="J100" s="557"/>
      <c r="K100" s="150"/>
      <c r="L100" s="606"/>
      <c r="M100" s="606"/>
      <c r="N100" s="606"/>
      <c r="O100" s="606"/>
      <c r="P100" s="606"/>
      <c r="Q100" s="606"/>
      <c r="R100" s="606"/>
      <c r="S100" s="557"/>
      <c r="T100" s="557"/>
      <c r="U100" s="557"/>
      <c r="V100" s="557"/>
      <c r="W100" s="557"/>
      <c r="X100" s="557"/>
      <c r="Y100" s="558"/>
      <c r="AA100" s="678">
        <f>'Từ khóa'!S20:S20</f>
        <v>0</v>
      </c>
      <c r="AB100" s="679"/>
      <c r="AC100" s="679"/>
      <c r="AD100" s="679"/>
      <c r="AE100" s="146">
        <f t="shared" ca="1" si="6"/>
        <v>0</v>
      </c>
    </row>
    <row r="101" spans="5:31" ht="14.65" thickBot="1" x14ac:dyDescent="0.5">
      <c r="E101" s="604"/>
      <c r="F101" s="605"/>
      <c r="G101" s="557"/>
      <c r="H101" s="557"/>
      <c r="I101" s="557"/>
      <c r="J101" s="557"/>
      <c r="K101" s="150"/>
      <c r="L101" s="606"/>
      <c r="M101" s="606"/>
      <c r="N101" s="606"/>
      <c r="O101" s="606"/>
      <c r="P101" s="606"/>
      <c r="Q101" s="606"/>
      <c r="R101" s="606"/>
      <c r="S101" s="557"/>
      <c r="T101" s="557"/>
      <c r="U101" s="557"/>
      <c r="V101" s="557"/>
      <c r="W101" s="557"/>
      <c r="X101" s="557"/>
      <c r="Y101" s="558"/>
      <c r="AA101" s="676">
        <f>'Từ khóa'!S21:S21</f>
        <v>0</v>
      </c>
      <c r="AB101" s="677"/>
      <c r="AC101" s="677"/>
      <c r="AD101" s="677"/>
      <c r="AE101" s="147">
        <f t="shared" ca="1" si="6"/>
        <v>0</v>
      </c>
    </row>
    <row r="102" spans="5:31" ht="14.65" thickBot="1" x14ac:dyDescent="0.5">
      <c r="E102" s="604"/>
      <c r="F102" s="605"/>
      <c r="G102" s="557"/>
      <c r="H102" s="557"/>
      <c r="I102" s="557"/>
      <c r="J102" s="557"/>
      <c r="K102" s="150"/>
      <c r="L102" s="606"/>
      <c r="M102" s="606"/>
      <c r="N102" s="606"/>
      <c r="O102" s="606"/>
      <c r="P102" s="606"/>
      <c r="Q102" s="606"/>
      <c r="R102" s="606"/>
      <c r="S102" s="557"/>
      <c r="T102" s="557"/>
      <c r="U102" s="557"/>
      <c r="V102" s="557"/>
      <c r="W102" s="557"/>
      <c r="X102" s="557"/>
      <c r="Y102" s="558"/>
      <c r="AA102" s="598" t="s">
        <v>351</v>
      </c>
      <c r="AB102" s="599"/>
      <c r="AC102" s="599"/>
      <c r="AD102" s="599"/>
      <c r="AE102" s="262">
        <f ca="1">SUM(AE92:AE101)</f>
        <v>2.2999999999999998</v>
      </c>
    </row>
    <row r="103" spans="5:31" x14ac:dyDescent="0.45">
      <c r="E103" s="604"/>
      <c r="F103" s="605"/>
      <c r="G103" s="557"/>
      <c r="H103" s="557"/>
      <c r="I103" s="557"/>
      <c r="J103" s="557"/>
      <c r="K103" s="150"/>
      <c r="L103" s="606"/>
      <c r="M103" s="606"/>
      <c r="N103" s="606"/>
      <c r="O103" s="606"/>
      <c r="P103" s="606"/>
      <c r="Q103" s="606"/>
      <c r="R103" s="606"/>
      <c r="S103" s="557"/>
      <c r="T103" s="557"/>
      <c r="U103" s="557"/>
      <c r="V103" s="557"/>
      <c r="W103" s="557"/>
      <c r="X103" s="557"/>
      <c r="Y103" s="558"/>
      <c r="AA103" s="600"/>
      <c r="AB103" s="600"/>
      <c r="AC103" s="600"/>
      <c r="AD103" s="600"/>
    </row>
    <row r="104" spans="5:31" x14ac:dyDescent="0.45">
      <c r="E104" s="604"/>
      <c r="F104" s="605"/>
      <c r="G104" s="557"/>
      <c r="H104" s="557"/>
      <c r="I104" s="557"/>
      <c r="J104" s="557"/>
      <c r="K104" s="150"/>
      <c r="L104" s="606"/>
      <c r="M104" s="606"/>
      <c r="N104" s="606"/>
      <c r="O104" s="606"/>
      <c r="P104" s="606"/>
      <c r="Q104" s="606"/>
      <c r="R104" s="606"/>
      <c r="S104" s="557"/>
      <c r="T104" s="557"/>
      <c r="U104" s="557"/>
      <c r="V104" s="557"/>
      <c r="W104" s="557"/>
      <c r="X104" s="557"/>
      <c r="Y104" s="558"/>
      <c r="AA104" s="600"/>
      <c r="AB104" s="600"/>
      <c r="AC104" s="600"/>
      <c r="AD104" s="600"/>
    </row>
    <row r="105" spans="5:31" ht="14.65" thickBot="1" x14ac:dyDescent="0.5">
      <c r="E105" s="607"/>
      <c r="F105" s="608"/>
      <c r="G105" s="546"/>
      <c r="H105" s="546"/>
      <c r="I105" s="546"/>
      <c r="J105" s="546"/>
      <c r="K105" s="151"/>
      <c r="L105" s="609"/>
      <c r="M105" s="609"/>
      <c r="N105" s="609"/>
      <c r="O105" s="609"/>
      <c r="P105" s="609"/>
      <c r="Q105" s="609"/>
      <c r="R105" s="609"/>
      <c r="S105" s="546"/>
      <c r="T105" s="546"/>
      <c r="U105" s="546"/>
      <c r="V105" s="546"/>
      <c r="W105" s="546"/>
      <c r="X105" s="546"/>
      <c r="Y105" s="547"/>
      <c r="AA105" s="600"/>
      <c r="AB105" s="600"/>
      <c r="AC105" s="600"/>
      <c r="AD105" s="600"/>
    </row>
    <row r="106" spans="5:31" ht="14.65" thickBot="1" x14ac:dyDescent="0.5">
      <c r="E106" s="601" t="s">
        <v>351</v>
      </c>
      <c r="F106" s="602"/>
      <c r="G106" s="602"/>
      <c r="H106" s="602"/>
      <c r="I106" s="602"/>
      <c r="J106" s="602"/>
      <c r="K106" s="603">
        <f>SUM(K91:K105)</f>
        <v>2.2999999999999998</v>
      </c>
      <c r="L106" s="603"/>
      <c r="M106" s="603"/>
      <c r="N106" s="603"/>
      <c r="O106" s="603"/>
      <c r="P106" s="603"/>
      <c r="Q106" s="603"/>
      <c r="R106" s="603"/>
      <c r="S106" s="141"/>
      <c r="T106" s="141"/>
      <c r="U106" s="141"/>
      <c r="V106" s="141"/>
      <c r="W106" s="141"/>
      <c r="X106" s="141"/>
      <c r="Y106" s="142"/>
    </row>
  </sheetData>
  <sheetProtection algorithmName="SHA-512" hashValue="1e1y3GMCWj+U4n9Q4cEhQma3MRHU3roRftMJorGZ514el4oyd8so7lD3vs/8ECfk7KUwuJrWjfkQz7siYwwF5g==" saltValue="/R7/qib+mh0ObCjG8PNw0A==" spinCount="100000" sheet="1" formatCells="0" formatColumns="0" formatRows="0" insertColumns="0" insertRows="0" insertHyperlinks="0" deleteColumns="0" deleteRows="0" sort="0" autoFilter="0" pivotTables="0"/>
  <mergeCells count="423">
    <mergeCell ref="E1:K3"/>
    <mergeCell ref="E6:M7"/>
    <mergeCell ref="E9:H12"/>
    <mergeCell ref="I9:I12"/>
    <mergeCell ref="E14:H17"/>
    <mergeCell ref="I14:I17"/>
    <mergeCell ref="E19:H22"/>
    <mergeCell ref="I19:I22"/>
    <mergeCell ref="E25:N25"/>
    <mergeCell ref="P25:AK25"/>
    <mergeCell ref="E26:F26"/>
    <mergeCell ref="G26:J26"/>
    <mergeCell ref="K26:M26"/>
    <mergeCell ref="P26:S26"/>
    <mergeCell ref="T26:U26"/>
    <mergeCell ref="V26:W26"/>
    <mergeCell ref="X26:Y26"/>
    <mergeCell ref="Z26:AE26"/>
    <mergeCell ref="AF26:AK26"/>
    <mergeCell ref="E27:F27"/>
    <mergeCell ref="G27:J27"/>
    <mergeCell ref="K27:M27"/>
    <mergeCell ref="P27:S27"/>
    <mergeCell ref="T27:U27"/>
    <mergeCell ref="X27:Y27"/>
    <mergeCell ref="Z27:AE27"/>
    <mergeCell ref="AF27:AK27"/>
    <mergeCell ref="E28:F28"/>
    <mergeCell ref="G28:J28"/>
    <mergeCell ref="K28:M28"/>
    <mergeCell ref="P28:S28"/>
    <mergeCell ref="T28:U28"/>
    <mergeCell ref="X28:Y28"/>
    <mergeCell ref="Z28:AE28"/>
    <mergeCell ref="AF28:AK28"/>
    <mergeCell ref="Z29:AE29"/>
    <mergeCell ref="AF29:AK29"/>
    <mergeCell ref="E30:F30"/>
    <mergeCell ref="G30:J30"/>
    <mergeCell ref="K30:M30"/>
    <mergeCell ref="P30:S30"/>
    <mergeCell ref="T30:U30"/>
    <mergeCell ref="X30:Y30"/>
    <mergeCell ref="Z30:AE30"/>
    <mergeCell ref="AF30:AK30"/>
    <mergeCell ref="E29:F29"/>
    <mergeCell ref="G29:J29"/>
    <mergeCell ref="K29:M29"/>
    <mergeCell ref="P29:S29"/>
    <mergeCell ref="T29:U29"/>
    <mergeCell ref="X29:Y29"/>
    <mergeCell ref="Z31:AE31"/>
    <mergeCell ref="AF31:AK31"/>
    <mergeCell ref="E32:F32"/>
    <mergeCell ref="G32:J32"/>
    <mergeCell ref="K32:M32"/>
    <mergeCell ref="P32:S32"/>
    <mergeCell ref="T32:U32"/>
    <mergeCell ref="X32:Y32"/>
    <mergeCell ref="Z32:AE32"/>
    <mergeCell ref="AF32:AK32"/>
    <mergeCell ref="E31:F31"/>
    <mergeCell ref="G31:J31"/>
    <mergeCell ref="K31:M31"/>
    <mergeCell ref="P31:S31"/>
    <mergeCell ref="T31:U31"/>
    <mergeCell ref="X31:Y31"/>
    <mergeCell ref="Z33:AE33"/>
    <mergeCell ref="AF33:AK33"/>
    <mergeCell ref="E34:F34"/>
    <mergeCell ref="G34:J34"/>
    <mergeCell ref="K34:M34"/>
    <mergeCell ref="P34:S34"/>
    <mergeCell ref="T34:U34"/>
    <mergeCell ref="X34:Y34"/>
    <mergeCell ref="Z34:AE34"/>
    <mergeCell ref="AF34:AK34"/>
    <mergeCell ref="E33:F33"/>
    <mergeCell ref="G33:J33"/>
    <mergeCell ref="K33:M33"/>
    <mergeCell ref="P33:S33"/>
    <mergeCell ref="T33:U33"/>
    <mergeCell ref="X33:Y33"/>
    <mergeCell ref="Z35:AE35"/>
    <mergeCell ref="AF35:AK35"/>
    <mergeCell ref="E36:F36"/>
    <mergeCell ref="G36:J36"/>
    <mergeCell ref="K36:M36"/>
    <mergeCell ref="P36:S36"/>
    <mergeCell ref="T36:U36"/>
    <mergeCell ref="X36:Y36"/>
    <mergeCell ref="Z36:AE36"/>
    <mergeCell ref="AF36:AK36"/>
    <mergeCell ref="E35:F35"/>
    <mergeCell ref="G35:J35"/>
    <mergeCell ref="K35:M35"/>
    <mergeCell ref="P35:S35"/>
    <mergeCell ref="T35:U35"/>
    <mergeCell ref="X35:Y35"/>
    <mergeCell ref="AF37:AK37"/>
    <mergeCell ref="E40:N40"/>
    <mergeCell ref="P40:AK40"/>
    <mergeCell ref="E41:F41"/>
    <mergeCell ref="G41:J41"/>
    <mergeCell ref="K41:M41"/>
    <mergeCell ref="P41:S41"/>
    <mergeCell ref="T41:U41"/>
    <mergeCell ref="V41:W41"/>
    <mergeCell ref="X41:Y41"/>
    <mergeCell ref="E37:M37"/>
    <mergeCell ref="P37:S37"/>
    <mergeCell ref="T37:U37"/>
    <mergeCell ref="V37:W37"/>
    <mergeCell ref="X37:Y37"/>
    <mergeCell ref="Z37:AE37"/>
    <mergeCell ref="Z41:AE41"/>
    <mergeCell ref="AF41:AK41"/>
    <mergeCell ref="E42:F42"/>
    <mergeCell ref="G42:J42"/>
    <mergeCell ref="K42:M42"/>
    <mergeCell ref="P42:S42"/>
    <mergeCell ref="T42:U42"/>
    <mergeCell ref="X42:Y42"/>
    <mergeCell ref="Z42:AE42"/>
    <mergeCell ref="AF42:AK42"/>
    <mergeCell ref="Z43:AE43"/>
    <mergeCell ref="AF43:AK43"/>
    <mergeCell ref="E44:F44"/>
    <mergeCell ref="G44:J44"/>
    <mergeCell ref="K44:M44"/>
    <mergeCell ref="P44:S44"/>
    <mergeCell ref="T44:U44"/>
    <mergeCell ref="X44:Y44"/>
    <mergeCell ref="Z44:AE44"/>
    <mergeCell ref="AF44:AK44"/>
    <mergeCell ref="E43:F43"/>
    <mergeCell ref="G43:J43"/>
    <mergeCell ref="K43:M43"/>
    <mergeCell ref="P43:S43"/>
    <mergeCell ref="T43:U43"/>
    <mergeCell ref="X43:Y43"/>
    <mergeCell ref="Z45:AE45"/>
    <mergeCell ref="AF45:AK45"/>
    <mergeCell ref="E46:F46"/>
    <mergeCell ref="G46:J46"/>
    <mergeCell ref="K46:M46"/>
    <mergeCell ref="P46:S46"/>
    <mergeCell ref="T46:U46"/>
    <mergeCell ref="X46:Y46"/>
    <mergeCell ref="Z46:AE46"/>
    <mergeCell ref="AF46:AK46"/>
    <mergeCell ref="E45:F45"/>
    <mergeCell ref="G45:J45"/>
    <mergeCell ref="K45:M45"/>
    <mergeCell ref="P45:S45"/>
    <mergeCell ref="T45:U45"/>
    <mergeCell ref="X45:Y45"/>
    <mergeCell ref="Z47:AE47"/>
    <mergeCell ref="AF47:AK47"/>
    <mergeCell ref="E48:F48"/>
    <mergeCell ref="G48:J48"/>
    <mergeCell ref="K48:M48"/>
    <mergeCell ref="P48:S48"/>
    <mergeCell ref="T48:U48"/>
    <mergeCell ref="X48:Y48"/>
    <mergeCell ref="Z48:AE48"/>
    <mergeCell ref="AF48:AK48"/>
    <mergeCell ref="E47:F47"/>
    <mergeCell ref="G47:J47"/>
    <mergeCell ref="K47:M47"/>
    <mergeCell ref="P47:S47"/>
    <mergeCell ref="T47:U47"/>
    <mergeCell ref="X47:Y47"/>
    <mergeCell ref="Z49:AE49"/>
    <mergeCell ref="AF49:AK49"/>
    <mergeCell ref="E50:F50"/>
    <mergeCell ref="G50:J50"/>
    <mergeCell ref="K50:M50"/>
    <mergeCell ref="P50:S50"/>
    <mergeCell ref="T50:U50"/>
    <mergeCell ref="X50:Y50"/>
    <mergeCell ref="Z50:AE50"/>
    <mergeCell ref="AF50:AK50"/>
    <mergeCell ref="E49:F49"/>
    <mergeCell ref="G49:J49"/>
    <mergeCell ref="K49:M49"/>
    <mergeCell ref="P49:S49"/>
    <mergeCell ref="T49:U49"/>
    <mergeCell ref="X49:Y49"/>
    <mergeCell ref="Z51:AE51"/>
    <mergeCell ref="AF51:AK51"/>
    <mergeCell ref="E52:F52"/>
    <mergeCell ref="G52:J52"/>
    <mergeCell ref="K52:M52"/>
    <mergeCell ref="P52:S52"/>
    <mergeCell ref="T52:U52"/>
    <mergeCell ref="X52:Y52"/>
    <mergeCell ref="Z52:AE52"/>
    <mergeCell ref="AF52:AK52"/>
    <mergeCell ref="E51:F51"/>
    <mergeCell ref="G51:J51"/>
    <mergeCell ref="K51:M51"/>
    <mergeCell ref="P51:S51"/>
    <mergeCell ref="T51:U51"/>
    <mergeCell ref="X51:Y51"/>
    <mergeCell ref="Z53:AE53"/>
    <mergeCell ref="AF53:AK53"/>
    <mergeCell ref="E54:F54"/>
    <mergeCell ref="G54:J54"/>
    <mergeCell ref="K54:M54"/>
    <mergeCell ref="P54:S54"/>
    <mergeCell ref="T54:U54"/>
    <mergeCell ref="X54:Y54"/>
    <mergeCell ref="Z54:AE54"/>
    <mergeCell ref="AF54:AK54"/>
    <mergeCell ref="E53:F53"/>
    <mergeCell ref="G53:J53"/>
    <mergeCell ref="K53:M53"/>
    <mergeCell ref="P53:S53"/>
    <mergeCell ref="T53:U53"/>
    <mergeCell ref="X53:Y53"/>
    <mergeCell ref="Z55:AE55"/>
    <mergeCell ref="AF55:AK55"/>
    <mergeCell ref="E56:F56"/>
    <mergeCell ref="G56:J56"/>
    <mergeCell ref="K56:M56"/>
    <mergeCell ref="P56:S56"/>
    <mergeCell ref="T56:U56"/>
    <mergeCell ref="X56:Y56"/>
    <mergeCell ref="Z56:AE56"/>
    <mergeCell ref="AF56:AK56"/>
    <mergeCell ref="E55:F55"/>
    <mergeCell ref="G55:J55"/>
    <mergeCell ref="K55:M55"/>
    <mergeCell ref="P55:S55"/>
    <mergeCell ref="T55:U55"/>
    <mergeCell ref="X55:Y55"/>
    <mergeCell ref="X57:Y57"/>
    <mergeCell ref="Z57:AE57"/>
    <mergeCell ref="AF57:AK57"/>
    <mergeCell ref="E58:F58"/>
    <mergeCell ref="G58:J58"/>
    <mergeCell ref="K58:M58"/>
    <mergeCell ref="E57:F57"/>
    <mergeCell ref="G57:J57"/>
    <mergeCell ref="K57:M57"/>
    <mergeCell ref="P57:S57"/>
    <mergeCell ref="T57:U57"/>
    <mergeCell ref="V57:W57"/>
    <mergeCell ref="E61:F61"/>
    <mergeCell ref="G61:J61"/>
    <mergeCell ref="K61:M61"/>
    <mergeCell ref="E62:F62"/>
    <mergeCell ref="G62:J62"/>
    <mergeCell ref="K62:M62"/>
    <mergeCell ref="E59:F59"/>
    <mergeCell ref="G59:J59"/>
    <mergeCell ref="K59:M59"/>
    <mergeCell ref="E60:F60"/>
    <mergeCell ref="G60:J60"/>
    <mergeCell ref="K60:M60"/>
    <mergeCell ref="E65:F65"/>
    <mergeCell ref="G65:J65"/>
    <mergeCell ref="K65:M65"/>
    <mergeCell ref="E66:F66"/>
    <mergeCell ref="G66:J66"/>
    <mergeCell ref="K66:M66"/>
    <mergeCell ref="E63:F63"/>
    <mergeCell ref="G63:J63"/>
    <mergeCell ref="K63:M63"/>
    <mergeCell ref="E64:F64"/>
    <mergeCell ref="G64:J64"/>
    <mergeCell ref="K64:M64"/>
    <mergeCell ref="E69:F69"/>
    <mergeCell ref="G69:J69"/>
    <mergeCell ref="K69:M69"/>
    <mergeCell ref="E70:F70"/>
    <mergeCell ref="G70:J70"/>
    <mergeCell ref="K70:M70"/>
    <mergeCell ref="E67:F67"/>
    <mergeCell ref="G67:J67"/>
    <mergeCell ref="K67:M67"/>
    <mergeCell ref="E68:F68"/>
    <mergeCell ref="G68:J68"/>
    <mergeCell ref="K68:M68"/>
    <mergeCell ref="E73:F73"/>
    <mergeCell ref="G73:J73"/>
    <mergeCell ref="K73:M73"/>
    <mergeCell ref="E74:F74"/>
    <mergeCell ref="G74:J74"/>
    <mergeCell ref="K74:M74"/>
    <mergeCell ref="E71:F71"/>
    <mergeCell ref="G71:J71"/>
    <mergeCell ref="K71:M71"/>
    <mergeCell ref="E72:F72"/>
    <mergeCell ref="G72:J72"/>
    <mergeCell ref="K72:M72"/>
    <mergeCell ref="E77:F77"/>
    <mergeCell ref="G77:J77"/>
    <mergeCell ref="K77:M77"/>
    <mergeCell ref="E78:F78"/>
    <mergeCell ref="G78:J78"/>
    <mergeCell ref="K78:M78"/>
    <mergeCell ref="E75:F75"/>
    <mergeCell ref="G75:J75"/>
    <mergeCell ref="K75:M75"/>
    <mergeCell ref="E76:F76"/>
    <mergeCell ref="G76:J76"/>
    <mergeCell ref="K76:M76"/>
    <mergeCell ref="E81:F81"/>
    <mergeCell ref="G81:J81"/>
    <mergeCell ref="K81:M81"/>
    <mergeCell ref="E82:F82"/>
    <mergeCell ref="G82:J82"/>
    <mergeCell ref="K82:M82"/>
    <mergeCell ref="E79:F79"/>
    <mergeCell ref="G79:J79"/>
    <mergeCell ref="K79:M79"/>
    <mergeCell ref="E80:F80"/>
    <mergeCell ref="G80:J80"/>
    <mergeCell ref="K80:M80"/>
    <mergeCell ref="E83:M83"/>
    <mergeCell ref="E86:M87"/>
    <mergeCell ref="E89:Y89"/>
    <mergeCell ref="AA89:AE89"/>
    <mergeCell ref="E90:F90"/>
    <mergeCell ref="G90:H90"/>
    <mergeCell ref="I90:J90"/>
    <mergeCell ref="L90:R90"/>
    <mergeCell ref="S90:Y90"/>
    <mergeCell ref="AA90:AD91"/>
    <mergeCell ref="E92:F92"/>
    <mergeCell ref="G92:H92"/>
    <mergeCell ref="I92:J92"/>
    <mergeCell ref="L92:R92"/>
    <mergeCell ref="S92:Y92"/>
    <mergeCell ref="AA92:AD92"/>
    <mergeCell ref="AE90:AE91"/>
    <mergeCell ref="E91:F91"/>
    <mergeCell ref="G91:H91"/>
    <mergeCell ref="I91:J91"/>
    <mergeCell ref="L91:R91"/>
    <mergeCell ref="S91:Y91"/>
    <mergeCell ref="E94:F94"/>
    <mergeCell ref="I94:J94"/>
    <mergeCell ref="L94:R94"/>
    <mergeCell ref="S94:Y94"/>
    <mergeCell ref="AA94:AD94"/>
    <mergeCell ref="E93:F93"/>
    <mergeCell ref="G94:H94"/>
    <mergeCell ref="I93:J93"/>
    <mergeCell ref="L93:R93"/>
    <mergeCell ref="S93:Y93"/>
    <mergeCell ref="AA93:AD93"/>
    <mergeCell ref="E96:F96"/>
    <mergeCell ref="G96:H96"/>
    <mergeCell ref="I96:J96"/>
    <mergeCell ref="L96:R96"/>
    <mergeCell ref="S96:Y96"/>
    <mergeCell ref="AA96:AD96"/>
    <mergeCell ref="E95:F95"/>
    <mergeCell ref="G95:H95"/>
    <mergeCell ref="I95:J95"/>
    <mergeCell ref="L95:R95"/>
    <mergeCell ref="S95:Y95"/>
    <mergeCell ref="AA95:AD95"/>
    <mergeCell ref="E98:F98"/>
    <mergeCell ref="G98:H98"/>
    <mergeCell ref="I98:J98"/>
    <mergeCell ref="L98:R98"/>
    <mergeCell ref="S98:Y98"/>
    <mergeCell ref="AA98:AD98"/>
    <mergeCell ref="E97:F97"/>
    <mergeCell ref="G97:H97"/>
    <mergeCell ref="I97:J97"/>
    <mergeCell ref="L97:R97"/>
    <mergeCell ref="S97:Y97"/>
    <mergeCell ref="AA97:AD97"/>
    <mergeCell ref="E100:F100"/>
    <mergeCell ref="G100:H100"/>
    <mergeCell ref="I100:J100"/>
    <mergeCell ref="L100:R100"/>
    <mergeCell ref="S100:Y100"/>
    <mergeCell ref="AA100:AD100"/>
    <mergeCell ref="E99:F99"/>
    <mergeCell ref="G99:H99"/>
    <mergeCell ref="I99:J99"/>
    <mergeCell ref="L99:R99"/>
    <mergeCell ref="S99:Y99"/>
    <mergeCell ref="AA99:AD99"/>
    <mergeCell ref="L102:R102"/>
    <mergeCell ref="S102:Y102"/>
    <mergeCell ref="AA102:AD102"/>
    <mergeCell ref="E101:F101"/>
    <mergeCell ref="G101:H101"/>
    <mergeCell ref="I101:J101"/>
    <mergeCell ref="L101:R101"/>
    <mergeCell ref="S101:Y101"/>
    <mergeCell ref="AA101:AD101"/>
    <mergeCell ref="E106:J106"/>
    <mergeCell ref="K106:R106"/>
    <mergeCell ref="G93:H93"/>
    <mergeCell ref="E105:F105"/>
    <mergeCell ref="G105:H105"/>
    <mergeCell ref="I105:J105"/>
    <mergeCell ref="L105:R105"/>
    <mergeCell ref="S105:Y105"/>
    <mergeCell ref="AA105:AD105"/>
    <mergeCell ref="E104:F104"/>
    <mergeCell ref="G104:H104"/>
    <mergeCell ref="I104:J104"/>
    <mergeCell ref="L104:R104"/>
    <mergeCell ref="S104:Y104"/>
    <mergeCell ref="AA104:AD104"/>
    <mergeCell ref="E103:F103"/>
    <mergeCell ref="G103:H103"/>
    <mergeCell ref="I103:J103"/>
    <mergeCell ref="L103:R103"/>
    <mergeCell ref="S103:Y103"/>
    <mergeCell ref="AA103:AD103"/>
    <mergeCell ref="E102:F102"/>
    <mergeCell ref="G102:H102"/>
    <mergeCell ref="I102:J102"/>
  </mergeCells>
  <conditionalFormatting sqref="X27:Y36">
    <cfRule type="cellIs" dxfId="22" priority="2" operator="lessThan">
      <formula>0</formula>
    </cfRule>
  </conditionalFormatting>
  <conditionalFormatting sqref="X42:Y56">
    <cfRule type="cellIs" dxfId="21" priority="3" operator="lessThan">
      <formula>0</formula>
    </cfRule>
  </conditionalFormatting>
  <conditionalFormatting sqref="AE92:AE101">
    <cfRule type="dataBar" priority="1">
      <dataBar>
        <cfvo type="min"/>
        <cfvo type="max"/>
        <color theme="6" tint="0.39997558519241921"/>
      </dataBar>
      <extLst>
        <ext xmlns:x14="http://schemas.microsoft.com/office/spreadsheetml/2009/9/main" uri="{B025F937-C7B1-47D3-B67F-A62EFF666E3E}">
          <x14:id>{BEBF7D22-AE7A-4B5A-A1E5-8A0879CADE76}</x14:id>
        </ext>
      </extLst>
    </cfRule>
  </conditionalFormatting>
  <dataValidations count="1">
    <dataValidation allowBlank="1" showInputMessage="1" showErrorMessage="1" prompt="Nhập dữ liệu" sqref="E60:F82 E95:F105 I91:Y105 K60:M82 K27:N36 N42:N82" xr:uid="{00000000-0002-0000-0700-000000000000}"/>
  </dataValidations>
  <hyperlinks>
    <hyperlink ref="F4" location="'T2'!E7" display="Phần 1" xr:uid="{00000000-0004-0000-0700-000000000000}"/>
    <hyperlink ref="G4" location="'T2'!E87" display="Phần 2" xr:uid="{00000000-0004-0000-0700-000001000000}"/>
  </hyperlinks>
  <pageMargins left="0.7" right="0.7" top="0.75" bottom="0.75" header="0.3" footer="0.3"/>
  <pageSetup scale="31" orientation="portrait" r:id="rId1"/>
  <drawing r:id="rId2"/>
  <extLst>
    <ext xmlns:x14="http://schemas.microsoft.com/office/spreadsheetml/2009/9/main" uri="{78C0D931-6437-407d-A8EE-F0AAD7539E65}">
      <x14:conditionalFormattings>
        <x14:conditionalFormatting xmlns:xm="http://schemas.microsoft.com/office/excel/2006/main">
          <x14:cfRule type="dataBar" id="{BEBF7D22-AE7A-4B5A-A1E5-8A0879CADE76}">
            <x14:dataBar minLength="0" maxLength="100" gradient="0">
              <x14:cfvo type="autoMin"/>
              <x14:cfvo type="autoMax"/>
              <x14:negativeFillColor rgb="FFFF0000"/>
              <x14:axisColor rgb="FF000000"/>
            </x14:dataBar>
          </x14:cfRule>
          <xm:sqref>AE92:AE101</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prompt="Chọn dữ liệu" xr:uid="{00000000-0002-0000-0700-000001000000}">
          <x14:formula1>
            <xm:f>'Từ khóa'!$F$12:$F$26</xm:f>
          </x14:formula1>
          <xm:sqref>G42:J82</xm:sqref>
        </x14:dataValidation>
        <x14:dataValidation type="list" allowBlank="1" showInputMessage="1" showErrorMessage="1" prompt="Chọn dữ liệu" xr:uid="{00000000-0002-0000-0700-000002000000}">
          <x14:formula1>
            <xm:f>'Từ khóa'!$M$12:$M$19</xm:f>
          </x14:formula1>
          <xm:sqref>G27:J36</xm:sqref>
        </x14:dataValidation>
        <x14:dataValidation type="list" allowBlank="1" showInputMessage="1" showErrorMessage="1" prompt="Chọn dữ liệu" xr:uid="{00000000-0002-0000-0700-000003000000}">
          <x14:formula1>
            <xm:f>'Từ khóa'!$S$12:$S$21</xm:f>
          </x14:formula1>
          <xm:sqref>G91:H105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106"/>
  <sheetViews>
    <sheetView showGridLines="0" zoomScale="80" zoomScaleNormal="80" workbookViewId="0">
      <pane xSplit="4" ySplit="4" topLeftCell="E8" activePane="bottomRight" state="frozen"/>
      <selection pane="topRight" activeCell="E1" sqref="E1"/>
      <selection pane="bottomLeft" activeCell="A5" sqref="A5"/>
      <selection pane="bottomRight" activeCell="I9" sqref="I9:I12"/>
    </sheetView>
  </sheetViews>
  <sheetFormatPr defaultColWidth="9.19921875" defaultRowHeight="14.25" x14ac:dyDescent="0.45"/>
  <cols>
    <col min="1" max="3" width="9.19921875" style="1"/>
    <col min="4" max="5" width="9.19921875" style="4"/>
    <col min="6" max="9" width="13.19921875" style="4" customWidth="1"/>
    <col min="10" max="14" width="9.19921875" style="4"/>
    <col min="15" max="15" width="13.19921875" style="4" customWidth="1"/>
    <col min="16" max="16384" width="9.19921875" style="4"/>
  </cols>
  <sheetData>
    <row r="1" spans="1:27" s="2" customFormat="1" ht="15" customHeight="1" x14ac:dyDescent="0.45">
      <c r="A1" s="1"/>
      <c r="B1" s="1"/>
      <c r="C1" s="1"/>
      <c r="E1" s="353" t="s">
        <v>328</v>
      </c>
      <c r="F1" s="353"/>
      <c r="G1" s="353"/>
      <c r="H1" s="353"/>
      <c r="I1" s="353"/>
      <c r="J1" s="353"/>
      <c r="K1" s="353"/>
    </row>
    <row r="2" spans="1:27" s="2" customFormat="1" ht="15" customHeight="1" x14ac:dyDescent="0.45">
      <c r="A2" s="1"/>
      <c r="B2" s="1"/>
      <c r="C2" s="1"/>
      <c r="E2" s="353"/>
      <c r="F2" s="353"/>
      <c r="G2" s="353"/>
      <c r="H2" s="353"/>
      <c r="I2" s="353"/>
      <c r="J2" s="353"/>
      <c r="K2" s="353"/>
    </row>
    <row r="3" spans="1:27" s="2" customFormat="1" ht="14.65" thickBot="1" x14ac:dyDescent="0.5">
      <c r="A3" s="1"/>
      <c r="B3" s="1"/>
      <c r="C3" s="1"/>
      <c r="E3" s="353"/>
      <c r="F3" s="353"/>
      <c r="G3" s="353"/>
      <c r="H3" s="353"/>
      <c r="I3" s="353"/>
      <c r="J3" s="353"/>
      <c r="K3" s="353"/>
      <c r="L3" s="3" t="s">
        <v>45</v>
      </c>
    </row>
    <row r="4" spans="1:27" ht="14.65" thickBot="1" x14ac:dyDescent="0.5">
      <c r="F4" s="154" t="s">
        <v>132</v>
      </c>
      <c r="G4" s="154" t="s">
        <v>133</v>
      </c>
    </row>
    <row r="5" spans="1:27" ht="15" customHeight="1" x14ac:dyDescent="0.45">
      <c r="F5" s="6"/>
      <c r="G5" s="6"/>
      <c r="H5" s="6"/>
      <c r="I5" s="6"/>
      <c r="J5" s="6"/>
      <c r="K5" s="6"/>
      <c r="L5" s="6"/>
      <c r="M5" s="6"/>
      <c r="N5" s="6"/>
      <c r="O5" s="6"/>
      <c r="P5" s="6"/>
      <c r="Q5" s="6"/>
      <c r="R5" s="6"/>
      <c r="S5" s="6"/>
      <c r="T5" s="6"/>
      <c r="U5" s="6"/>
      <c r="V5" s="6"/>
      <c r="W5" s="6"/>
      <c r="X5" s="6"/>
      <c r="Y5" s="6"/>
      <c r="Z5" s="6"/>
      <c r="AA5" s="6"/>
    </row>
    <row r="6" spans="1:27" ht="15" customHeight="1" x14ac:dyDescent="0.45">
      <c r="E6" s="532" t="s">
        <v>135</v>
      </c>
      <c r="F6" s="532"/>
      <c r="G6" s="532"/>
      <c r="H6" s="532"/>
      <c r="I6" s="532"/>
      <c r="J6" s="532"/>
      <c r="K6" s="532"/>
      <c r="L6" s="532"/>
      <c r="M6" s="532"/>
      <c r="N6" s="5"/>
      <c r="O6" s="5"/>
      <c r="P6" s="5"/>
      <c r="Q6" s="5"/>
      <c r="R6" s="5"/>
      <c r="S6" s="6"/>
      <c r="T6" s="6"/>
      <c r="U6" s="6"/>
      <c r="V6" s="6"/>
      <c r="W6" s="6"/>
      <c r="X6" s="6"/>
      <c r="Y6" s="6"/>
      <c r="Z6" s="6"/>
      <c r="AA6" s="6"/>
    </row>
    <row r="7" spans="1:27" s="8" customFormat="1" ht="15" customHeight="1" thickBot="1" x14ac:dyDescent="0.5">
      <c r="A7" s="7"/>
      <c r="B7" s="7"/>
      <c r="C7" s="7"/>
      <c r="E7" s="533"/>
      <c r="F7" s="533"/>
      <c r="G7" s="533"/>
      <c r="H7" s="533"/>
      <c r="I7" s="533"/>
      <c r="J7" s="533"/>
      <c r="K7" s="533"/>
      <c r="L7" s="533"/>
      <c r="M7" s="533"/>
      <c r="N7" s="9"/>
      <c r="O7" s="9"/>
      <c r="P7" s="9"/>
      <c r="Q7" s="9"/>
      <c r="R7" s="9"/>
      <c r="S7" s="10"/>
      <c r="T7" s="10"/>
      <c r="U7" s="10"/>
      <c r="V7" s="10"/>
      <c r="W7" s="10"/>
      <c r="X7" s="10"/>
      <c r="Y7" s="10"/>
      <c r="Z7" s="10"/>
      <c r="AA7" s="10"/>
    </row>
    <row r="8" spans="1:27" ht="15" customHeight="1" x14ac:dyDescent="0.45">
      <c r="E8" s="6"/>
      <c r="F8" s="6"/>
      <c r="G8" s="6"/>
      <c r="H8" s="6"/>
      <c r="I8" s="6"/>
      <c r="J8" s="6"/>
      <c r="K8" s="6"/>
      <c r="L8" s="6"/>
      <c r="M8" s="6"/>
      <c r="N8" s="6"/>
      <c r="O8" s="6"/>
      <c r="P8" s="6"/>
      <c r="Q8" s="6"/>
      <c r="R8" s="6"/>
      <c r="S8" s="6"/>
      <c r="T8" s="6"/>
      <c r="U8" s="6"/>
      <c r="V8" s="6"/>
      <c r="W8" s="6"/>
      <c r="X8" s="6"/>
      <c r="Y8" s="6"/>
      <c r="Z8" s="6"/>
      <c r="AA8" s="6"/>
    </row>
    <row r="9" spans="1:27" ht="15" customHeight="1" x14ac:dyDescent="0.45">
      <c r="E9" s="632" t="s">
        <v>124</v>
      </c>
      <c r="F9" s="632"/>
      <c r="G9" s="632"/>
      <c r="H9" s="632"/>
      <c r="I9" s="708">
        <f>N37</f>
        <v>23.7</v>
      </c>
    </row>
    <row r="10" spans="1:27" ht="15" customHeight="1" x14ac:dyDescent="0.45">
      <c r="E10" s="632"/>
      <c r="F10" s="632"/>
      <c r="G10" s="632"/>
      <c r="H10" s="632"/>
      <c r="I10" s="708"/>
    </row>
    <row r="11" spans="1:27" ht="15" customHeight="1" x14ac:dyDescent="0.45">
      <c r="E11" s="632"/>
      <c r="F11" s="632"/>
      <c r="G11" s="632"/>
      <c r="H11" s="632"/>
      <c r="I11" s="708"/>
    </row>
    <row r="12" spans="1:27" ht="15" customHeight="1" x14ac:dyDescent="0.45">
      <c r="E12" s="632"/>
      <c r="F12" s="632"/>
      <c r="G12" s="632"/>
      <c r="H12" s="632"/>
      <c r="I12" s="708"/>
    </row>
    <row r="13" spans="1:27" x14ac:dyDescent="0.45">
      <c r="E13" s="89"/>
      <c r="F13" s="89"/>
      <c r="G13" s="89"/>
      <c r="I13" s="89"/>
    </row>
    <row r="14" spans="1:27" ht="15" customHeight="1" x14ac:dyDescent="0.45">
      <c r="E14" s="633" t="s">
        <v>136</v>
      </c>
      <c r="F14" s="633"/>
      <c r="G14" s="633"/>
      <c r="H14" s="633"/>
      <c r="I14" s="708">
        <f>N83</f>
        <v>19.25</v>
      </c>
    </row>
    <row r="15" spans="1:27" ht="15" customHeight="1" x14ac:dyDescent="0.45">
      <c r="E15" s="633"/>
      <c r="F15" s="633"/>
      <c r="G15" s="633"/>
      <c r="H15" s="633"/>
      <c r="I15" s="708"/>
    </row>
    <row r="16" spans="1:27" ht="15" customHeight="1" x14ac:dyDescent="0.45">
      <c r="E16" s="633"/>
      <c r="F16" s="633"/>
      <c r="G16" s="633"/>
      <c r="H16" s="633"/>
      <c r="I16" s="708"/>
    </row>
    <row r="17" spans="5:37" ht="15" customHeight="1" x14ac:dyDescent="0.45">
      <c r="E17" s="633"/>
      <c r="F17" s="633"/>
      <c r="G17" s="633"/>
      <c r="H17" s="633"/>
      <c r="I17" s="708"/>
    </row>
    <row r="18" spans="5:37" x14ac:dyDescent="0.45">
      <c r="E18" s="89"/>
      <c r="F18" s="89"/>
      <c r="G18" s="89"/>
      <c r="I18" s="89"/>
    </row>
    <row r="19" spans="5:37" ht="15" customHeight="1" x14ac:dyDescent="0.45">
      <c r="E19" s="634" t="s">
        <v>96</v>
      </c>
      <c r="F19" s="634"/>
      <c r="G19" s="634"/>
      <c r="H19" s="634"/>
      <c r="I19" s="708">
        <f>I9-I14</f>
        <v>4.4499999999999993</v>
      </c>
    </row>
    <row r="20" spans="5:37" ht="15" customHeight="1" x14ac:dyDescent="0.45">
      <c r="E20" s="634"/>
      <c r="F20" s="634"/>
      <c r="G20" s="634"/>
      <c r="H20" s="634"/>
      <c r="I20" s="708"/>
    </row>
    <row r="21" spans="5:37" ht="15" customHeight="1" x14ac:dyDescent="0.45">
      <c r="E21" s="634"/>
      <c r="F21" s="634"/>
      <c r="G21" s="634"/>
      <c r="H21" s="634"/>
      <c r="I21" s="708"/>
    </row>
    <row r="22" spans="5:37" ht="15" customHeight="1" x14ac:dyDescent="0.45">
      <c r="E22" s="634"/>
      <c r="F22" s="634"/>
      <c r="G22" s="634"/>
      <c r="H22" s="634"/>
      <c r="I22" s="708"/>
    </row>
    <row r="24" spans="5:37" ht="14.65" thickBot="1" x14ac:dyDescent="0.5">
      <c r="E24" s="6"/>
      <c r="F24" s="6"/>
      <c r="G24" s="6"/>
      <c r="H24" s="6"/>
    </row>
    <row r="25" spans="5:37" ht="15.75" customHeight="1" thickBot="1" x14ac:dyDescent="0.6">
      <c r="E25" s="626" t="s">
        <v>143</v>
      </c>
      <c r="F25" s="627"/>
      <c r="G25" s="627"/>
      <c r="H25" s="627"/>
      <c r="I25" s="627"/>
      <c r="J25" s="627"/>
      <c r="K25" s="627"/>
      <c r="L25" s="627"/>
      <c r="M25" s="627"/>
      <c r="N25" s="628"/>
      <c r="P25" s="626" t="s">
        <v>144</v>
      </c>
      <c r="Q25" s="627"/>
      <c r="R25" s="627"/>
      <c r="S25" s="627"/>
      <c r="T25" s="627"/>
      <c r="U25" s="627"/>
      <c r="V25" s="627"/>
      <c r="W25" s="627"/>
      <c r="X25" s="627"/>
      <c r="Y25" s="627"/>
      <c r="Z25" s="627"/>
      <c r="AA25" s="627"/>
      <c r="AB25" s="627"/>
      <c r="AC25" s="627"/>
      <c r="AD25" s="627"/>
      <c r="AE25" s="627"/>
      <c r="AF25" s="627"/>
      <c r="AG25" s="627"/>
      <c r="AH25" s="627"/>
      <c r="AI25" s="627"/>
      <c r="AJ25" s="627"/>
      <c r="AK25" s="628"/>
    </row>
    <row r="26" spans="5:37" ht="15" customHeight="1" x14ac:dyDescent="0.45">
      <c r="E26" s="644" t="s">
        <v>146</v>
      </c>
      <c r="F26" s="645"/>
      <c r="G26" s="647" t="s">
        <v>346</v>
      </c>
      <c r="H26" s="647"/>
      <c r="I26" s="647"/>
      <c r="J26" s="647"/>
      <c r="K26" s="647" t="s">
        <v>345</v>
      </c>
      <c r="L26" s="647"/>
      <c r="M26" s="647"/>
      <c r="N26" s="134" t="s">
        <v>148</v>
      </c>
      <c r="P26" s="706" t="s">
        <v>147</v>
      </c>
      <c r="Q26" s="707"/>
      <c r="R26" s="707"/>
      <c r="S26" s="707"/>
      <c r="T26" s="707" t="s">
        <v>149</v>
      </c>
      <c r="U26" s="707"/>
      <c r="V26" s="707" t="s">
        <v>150</v>
      </c>
      <c r="W26" s="707"/>
      <c r="X26" s="707" t="s">
        <v>151</v>
      </c>
      <c r="Y26" s="707"/>
      <c r="Z26" s="652" t="s">
        <v>152</v>
      </c>
      <c r="AA26" s="652"/>
      <c r="AB26" s="652"/>
      <c r="AC26" s="652"/>
      <c r="AD26" s="652"/>
      <c r="AE26" s="652"/>
      <c r="AF26" s="652" t="s">
        <v>153</v>
      </c>
      <c r="AG26" s="652"/>
      <c r="AH26" s="652"/>
      <c r="AI26" s="652"/>
      <c r="AJ26" s="652"/>
      <c r="AK26" s="659"/>
    </row>
    <row r="27" spans="5:37" ht="15" x14ac:dyDescent="0.45">
      <c r="E27" s="687">
        <v>44635</v>
      </c>
      <c r="F27" s="688"/>
      <c r="G27" s="643" t="s">
        <v>21</v>
      </c>
      <c r="H27" s="643"/>
      <c r="I27" s="643"/>
      <c r="J27" s="643"/>
      <c r="K27" s="646"/>
      <c r="L27" s="646"/>
      <c r="M27" s="646"/>
      <c r="N27" s="135">
        <v>18</v>
      </c>
      <c r="P27" s="694" t="str">
        <f>'Từ khóa'!M12</f>
        <v>Lương từ công ty</v>
      </c>
      <c r="Q27" s="695"/>
      <c r="R27" s="695"/>
      <c r="S27" s="695"/>
      <c r="T27" s="696">
        <f>'Kế hoạch thu nhập và chi tiêu'!L11</f>
        <v>20</v>
      </c>
      <c r="U27" s="696"/>
      <c r="V27" s="152"/>
      <c r="W27" s="153">
        <f t="shared" ref="W27:W34" ca="1" si="0">SUMIF($G$27:$J$36,P27,$N$27:$N$36)</f>
        <v>18</v>
      </c>
      <c r="X27" s="696">
        <f t="shared" ref="X27:X34" ca="1" si="1">W27-T27</f>
        <v>-2</v>
      </c>
      <c r="Y27" s="696"/>
      <c r="Z27" s="646"/>
      <c r="AA27" s="646"/>
      <c r="AB27" s="646"/>
      <c r="AC27" s="646"/>
      <c r="AD27" s="646"/>
      <c r="AE27" s="646"/>
      <c r="AF27" s="646"/>
      <c r="AG27" s="646"/>
      <c r="AH27" s="646"/>
      <c r="AI27" s="646"/>
      <c r="AJ27" s="646"/>
      <c r="AK27" s="658"/>
    </row>
    <row r="28" spans="5:37" ht="15" x14ac:dyDescent="0.45">
      <c r="E28" s="687">
        <v>44640</v>
      </c>
      <c r="F28" s="688">
        <v>44612</v>
      </c>
      <c r="G28" s="643" t="s">
        <v>372</v>
      </c>
      <c r="H28" s="643"/>
      <c r="I28" s="643"/>
      <c r="J28" s="643"/>
      <c r="K28" s="646"/>
      <c r="L28" s="646"/>
      <c r="M28" s="646"/>
      <c r="N28" s="135">
        <v>2</v>
      </c>
      <c r="P28" s="694" t="str">
        <f>'Từ khóa'!M13</f>
        <v>Thu nhập khác</v>
      </c>
      <c r="Q28" s="695"/>
      <c r="R28" s="695"/>
      <c r="S28" s="695"/>
      <c r="T28" s="696">
        <f>'Kế hoạch thu nhập và chi tiêu'!L12</f>
        <v>10</v>
      </c>
      <c r="U28" s="696"/>
      <c r="V28" s="152"/>
      <c r="W28" s="153">
        <f t="shared" ca="1" si="0"/>
        <v>5.7</v>
      </c>
      <c r="X28" s="696">
        <f t="shared" ca="1" si="1"/>
        <v>-4.3</v>
      </c>
      <c r="Y28" s="696"/>
      <c r="Z28" s="646"/>
      <c r="AA28" s="646"/>
      <c r="AB28" s="646"/>
      <c r="AC28" s="646"/>
      <c r="AD28" s="646"/>
      <c r="AE28" s="646"/>
      <c r="AF28" s="646"/>
      <c r="AG28" s="646"/>
      <c r="AH28" s="646"/>
      <c r="AI28" s="646"/>
      <c r="AJ28" s="646"/>
      <c r="AK28" s="658"/>
    </row>
    <row r="29" spans="5:37" ht="15" x14ac:dyDescent="0.45">
      <c r="E29" s="687">
        <v>44648</v>
      </c>
      <c r="F29" s="688">
        <v>44620</v>
      </c>
      <c r="G29" s="643" t="s">
        <v>372</v>
      </c>
      <c r="H29" s="643"/>
      <c r="I29" s="643"/>
      <c r="J29" s="643"/>
      <c r="K29" s="646"/>
      <c r="L29" s="646"/>
      <c r="M29" s="646"/>
      <c r="N29" s="135">
        <v>2.5</v>
      </c>
      <c r="P29" s="694">
        <f>'Từ khóa'!M14</f>
        <v>0</v>
      </c>
      <c r="Q29" s="695"/>
      <c r="R29" s="695"/>
      <c r="S29" s="695"/>
      <c r="T29" s="696">
        <f>'Kế hoạch thu nhập và chi tiêu'!L13</f>
        <v>0</v>
      </c>
      <c r="U29" s="696"/>
      <c r="V29" s="152"/>
      <c r="W29" s="153">
        <f t="shared" ca="1" si="0"/>
        <v>0</v>
      </c>
      <c r="X29" s="696">
        <f t="shared" ca="1" si="1"/>
        <v>0</v>
      </c>
      <c r="Y29" s="696"/>
      <c r="Z29" s="646"/>
      <c r="AA29" s="646"/>
      <c r="AB29" s="646"/>
      <c r="AC29" s="646"/>
      <c r="AD29" s="646"/>
      <c r="AE29" s="646"/>
      <c r="AF29" s="646"/>
      <c r="AG29" s="646"/>
      <c r="AH29" s="646"/>
      <c r="AI29" s="646"/>
      <c r="AJ29" s="646"/>
      <c r="AK29" s="658"/>
    </row>
    <row r="30" spans="5:37" ht="15" x14ac:dyDescent="0.45">
      <c r="E30" s="687">
        <v>44648</v>
      </c>
      <c r="F30" s="688">
        <v>44620</v>
      </c>
      <c r="G30" s="643" t="s">
        <v>372</v>
      </c>
      <c r="H30" s="643"/>
      <c r="I30" s="643"/>
      <c r="J30" s="643"/>
      <c r="K30" s="646"/>
      <c r="L30" s="646"/>
      <c r="M30" s="646"/>
      <c r="N30" s="135">
        <v>1.2</v>
      </c>
      <c r="P30" s="694">
        <f>'Từ khóa'!M15</f>
        <v>0</v>
      </c>
      <c r="Q30" s="695"/>
      <c r="R30" s="695"/>
      <c r="S30" s="695"/>
      <c r="T30" s="696">
        <f>'Kế hoạch thu nhập và chi tiêu'!L14</f>
        <v>0</v>
      </c>
      <c r="U30" s="696"/>
      <c r="V30" s="152"/>
      <c r="W30" s="153">
        <f t="shared" ca="1" si="0"/>
        <v>0</v>
      </c>
      <c r="X30" s="696">
        <f t="shared" ca="1" si="1"/>
        <v>0</v>
      </c>
      <c r="Y30" s="696"/>
      <c r="Z30" s="646"/>
      <c r="AA30" s="646"/>
      <c r="AB30" s="646"/>
      <c r="AC30" s="646"/>
      <c r="AD30" s="646"/>
      <c r="AE30" s="646"/>
      <c r="AF30" s="646"/>
      <c r="AG30" s="646"/>
      <c r="AH30" s="646"/>
      <c r="AI30" s="646"/>
      <c r="AJ30" s="646"/>
      <c r="AK30" s="658"/>
    </row>
    <row r="31" spans="5:37" ht="15" x14ac:dyDescent="0.45">
      <c r="E31" s="687"/>
      <c r="F31" s="688"/>
      <c r="G31" s="643"/>
      <c r="H31" s="643"/>
      <c r="I31" s="643"/>
      <c r="J31" s="643"/>
      <c r="K31" s="646"/>
      <c r="L31" s="646"/>
      <c r="M31" s="646"/>
      <c r="N31" s="135"/>
      <c r="P31" s="694">
        <f>'Từ khóa'!M16</f>
        <v>0</v>
      </c>
      <c r="Q31" s="695"/>
      <c r="R31" s="695"/>
      <c r="S31" s="695"/>
      <c r="T31" s="696">
        <f>'Kế hoạch thu nhập và chi tiêu'!L15</f>
        <v>0</v>
      </c>
      <c r="U31" s="696"/>
      <c r="V31" s="152"/>
      <c r="W31" s="153">
        <f t="shared" ca="1" si="0"/>
        <v>0</v>
      </c>
      <c r="X31" s="696">
        <f t="shared" ca="1" si="1"/>
        <v>0</v>
      </c>
      <c r="Y31" s="696"/>
      <c r="Z31" s="646"/>
      <c r="AA31" s="646"/>
      <c r="AB31" s="646"/>
      <c r="AC31" s="646"/>
      <c r="AD31" s="646"/>
      <c r="AE31" s="646"/>
      <c r="AF31" s="646"/>
      <c r="AG31" s="646"/>
      <c r="AH31" s="646"/>
      <c r="AI31" s="646"/>
      <c r="AJ31" s="646"/>
      <c r="AK31" s="658"/>
    </row>
    <row r="32" spans="5:37" ht="15" x14ac:dyDescent="0.45">
      <c r="E32" s="687"/>
      <c r="F32" s="688"/>
      <c r="G32" s="643"/>
      <c r="H32" s="643"/>
      <c r="I32" s="643"/>
      <c r="J32" s="643"/>
      <c r="K32" s="646"/>
      <c r="L32" s="646"/>
      <c r="M32" s="646"/>
      <c r="N32" s="135"/>
      <c r="P32" s="694">
        <f>'Từ khóa'!M17</f>
        <v>0</v>
      </c>
      <c r="Q32" s="695"/>
      <c r="R32" s="695"/>
      <c r="S32" s="695"/>
      <c r="T32" s="696">
        <f>'Kế hoạch thu nhập và chi tiêu'!L16</f>
        <v>0</v>
      </c>
      <c r="U32" s="696"/>
      <c r="V32" s="152"/>
      <c r="W32" s="153">
        <f t="shared" ca="1" si="0"/>
        <v>0</v>
      </c>
      <c r="X32" s="696">
        <f t="shared" ca="1" si="1"/>
        <v>0</v>
      </c>
      <c r="Y32" s="696"/>
      <c r="Z32" s="646"/>
      <c r="AA32" s="646"/>
      <c r="AB32" s="646"/>
      <c r="AC32" s="646"/>
      <c r="AD32" s="646"/>
      <c r="AE32" s="646"/>
      <c r="AF32" s="646"/>
      <c r="AG32" s="646"/>
      <c r="AH32" s="646"/>
      <c r="AI32" s="646"/>
      <c r="AJ32" s="646"/>
      <c r="AK32" s="658"/>
    </row>
    <row r="33" spans="5:37" ht="15" x14ac:dyDescent="0.45">
      <c r="E33" s="687"/>
      <c r="F33" s="688"/>
      <c r="G33" s="643"/>
      <c r="H33" s="643"/>
      <c r="I33" s="643"/>
      <c r="J33" s="643"/>
      <c r="K33" s="646"/>
      <c r="L33" s="646"/>
      <c r="M33" s="646"/>
      <c r="N33" s="135"/>
      <c r="P33" s="694">
        <f>'Từ khóa'!M18</f>
        <v>0</v>
      </c>
      <c r="Q33" s="695"/>
      <c r="R33" s="695"/>
      <c r="S33" s="695"/>
      <c r="T33" s="696">
        <f>'Kế hoạch thu nhập và chi tiêu'!L17</f>
        <v>0</v>
      </c>
      <c r="U33" s="696"/>
      <c r="V33" s="152"/>
      <c r="W33" s="153">
        <f t="shared" ca="1" si="0"/>
        <v>0</v>
      </c>
      <c r="X33" s="696">
        <f t="shared" ca="1" si="1"/>
        <v>0</v>
      </c>
      <c r="Y33" s="696"/>
      <c r="Z33" s="646"/>
      <c r="AA33" s="646"/>
      <c r="AB33" s="646"/>
      <c r="AC33" s="646"/>
      <c r="AD33" s="646"/>
      <c r="AE33" s="646"/>
      <c r="AF33" s="646"/>
      <c r="AG33" s="646"/>
      <c r="AH33" s="646"/>
      <c r="AI33" s="646"/>
      <c r="AJ33" s="646"/>
      <c r="AK33" s="658"/>
    </row>
    <row r="34" spans="5:37" ht="15" x14ac:dyDescent="0.45">
      <c r="E34" s="687"/>
      <c r="F34" s="688"/>
      <c r="G34" s="643"/>
      <c r="H34" s="643"/>
      <c r="I34" s="643"/>
      <c r="J34" s="643"/>
      <c r="K34" s="646"/>
      <c r="L34" s="646"/>
      <c r="M34" s="646"/>
      <c r="N34" s="135"/>
      <c r="P34" s="694">
        <f>'Từ khóa'!M19</f>
        <v>0</v>
      </c>
      <c r="Q34" s="695"/>
      <c r="R34" s="695"/>
      <c r="S34" s="695"/>
      <c r="T34" s="696">
        <f>'Kế hoạch thu nhập và chi tiêu'!L18</f>
        <v>0</v>
      </c>
      <c r="U34" s="696"/>
      <c r="V34" s="152"/>
      <c r="W34" s="153">
        <f t="shared" ca="1" si="0"/>
        <v>0</v>
      </c>
      <c r="X34" s="696">
        <f t="shared" ca="1" si="1"/>
        <v>0</v>
      </c>
      <c r="Y34" s="696"/>
      <c r="Z34" s="646"/>
      <c r="AA34" s="646"/>
      <c r="AB34" s="646"/>
      <c r="AC34" s="646"/>
      <c r="AD34" s="646"/>
      <c r="AE34" s="646"/>
      <c r="AF34" s="646"/>
      <c r="AG34" s="646"/>
      <c r="AH34" s="646"/>
      <c r="AI34" s="646"/>
      <c r="AJ34" s="646"/>
      <c r="AK34" s="658"/>
    </row>
    <row r="35" spans="5:37" ht="15" x14ac:dyDescent="0.45">
      <c r="E35" s="687"/>
      <c r="F35" s="688"/>
      <c r="G35" s="643"/>
      <c r="H35" s="643"/>
      <c r="I35" s="643"/>
      <c r="J35" s="643"/>
      <c r="K35" s="646"/>
      <c r="L35" s="646"/>
      <c r="M35" s="646"/>
      <c r="N35" s="135"/>
      <c r="P35" s="694"/>
      <c r="Q35" s="695"/>
      <c r="R35" s="695"/>
      <c r="S35" s="695"/>
      <c r="T35" s="697"/>
      <c r="U35" s="698"/>
      <c r="V35" s="152"/>
      <c r="W35" s="153"/>
      <c r="X35" s="696"/>
      <c r="Y35" s="696"/>
      <c r="Z35" s="646"/>
      <c r="AA35" s="646"/>
      <c r="AB35" s="646"/>
      <c r="AC35" s="646"/>
      <c r="AD35" s="646"/>
      <c r="AE35" s="646"/>
      <c r="AF35" s="646"/>
      <c r="AG35" s="646"/>
      <c r="AH35" s="646"/>
      <c r="AI35" s="646"/>
      <c r="AJ35" s="646"/>
      <c r="AK35" s="658"/>
    </row>
    <row r="36" spans="5:37" ht="15" x14ac:dyDescent="0.45">
      <c r="E36" s="687"/>
      <c r="F36" s="688"/>
      <c r="G36" s="643"/>
      <c r="H36" s="643"/>
      <c r="I36" s="643"/>
      <c r="J36" s="643"/>
      <c r="K36" s="646"/>
      <c r="L36" s="646"/>
      <c r="M36" s="646"/>
      <c r="N36" s="135"/>
      <c r="P36" s="694"/>
      <c r="Q36" s="695"/>
      <c r="R36" s="695"/>
      <c r="S36" s="695"/>
      <c r="T36" s="697"/>
      <c r="U36" s="698"/>
      <c r="V36" s="152"/>
      <c r="W36" s="153"/>
      <c r="X36" s="696"/>
      <c r="Y36" s="696"/>
      <c r="Z36" s="646"/>
      <c r="AA36" s="646"/>
      <c r="AB36" s="646"/>
      <c r="AC36" s="646"/>
      <c r="AD36" s="646"/>
      <c r="AE36" s="646"/>
      <c r="AF36" s="646"/>
      <c r="AG36" s="646"/>
      <c r="AH36" s="646"/>
      <c r="AI36" s="646"/>
      <c r="AJ36" s="646"/>
      <c r="AK36" s="658"/>
    </row>
    <row r="37" spans="5:37" ht="16.5" customHeight="1" thickBot="1" x14ac:dyDescent="0.6">
      <c r="E37" s="648" t="s">
        <v>124</v>
      </c>
      <c r="F37" s="649"/>
      <c r="G37" s="649"/>
      <c r="H37" s="649"/>
      <c r="I37" s="649"/>
      <c r="J37" s="649"/>
      <c r="K37" s="649"/>
      <c r="L37" s="649"/>
      <c r="M37" s="650"/>
      <c r="N37" s="144">
        <f>SUBTOTAL(109,'T3'!$N$27:$N$36)</f>
        <v>23.7</v>
      </c>
      <c r="P37" s="701" t="s">
        <v>124</v>
      </c>
      <c r="Q37" s="702"/>
      <c r="R37" s="702"/>
      <c r="S37" s="703"/>
      <c r="T37" s="704">
        <f>SUM(T27:U36)</f>
        <v>30</v>
      </c>
      <c r="U37" s="705"/>
      <c r="V37" s="704">
        <f ca="1">SUM(W27:W36)</f>
        <v>23.7</v>
      </c>
      <c r="W37" s="705"/>
      <c r="X37" s="704">
        <f t="shared" ref="X37" ca="1" si="2">SUM(X27:Y36)</f>
        <v>-6.3</v>
      </c>
      <c r="Y37" s="705"/>
      <c r="Z37" s="660"/>
      <c r="AA37" s="660"/>
      <c r="AB37" s="660"/>
      <c r="AC37" s="660"/>
      <c r="AD37" s="660"/>
      <c r="AE37" s="660"/>
      <c r="AF37" s="660"/>
      <c r="AG37" s="660"/>
      <c r="AH37" s="660"/>
      <c r="AI37" s="660"/>
      <c r="AJ37" s="660"/>
      <c r="AK37" s="661"/>
    </row>
    <row r="39" spans="5:37" ht="14.65" thickBot="1" x14ac:dyDescent="0.5"/>
    <row r="40" spans="5:37" ht="15.75" customHeight="1" x14ac:dyDescent="0.55000000000000004">
      <c r="E40" s="623" t="s">
        <v>320</v>
      </c>
      <c r="F40" s="624"/>
      <c r="G40" s="624"/>
      <c r="H40" s="624"/>
      <c r="I40" s="624"/>
      <c r="J40" s="624"/>
      <c r="K40" s="624"/>
      <c r="L40" s="624"/>
      <c r="M40" s="624"/>
      <c r="N40" s="625"/>
      <c r="P40" s="623" t="s">
        <v>321</v>
      </c>
      <c r="Q40" s="624"/>
      <c r="R40" s="624"/>
      <c r="S40" s="624"/>
      <c r="T40" s="624"/>
      <c r="U40" s="624"/>
      <c r="V40" s="624"/>
      <c r="W40" s="624"/>
      <c r="X40" s="624"/>
      <c r="Y40" s="624"/>
      <c r="Z40" s="624"/>
      <c r="AA40" s="624"/>
      <c r="AB40" s="624"/>
      <c r="AC40" s="624"/>
      <c r="AD40" s="624"/>
      <c r="AE40" s="624"/>
      <c r="AF40" s="624"/>
      <c r="AG40" s="624"/>
      <c r="AH40" s="624"/>
      <c r="AI40" s="624"/>
      <c r="AJ40" s="624"/>
      <c r="AK40" s="625"/>
    </row>
    <row r="41" spans="5:37" ht="15" x14ac:dyDescent="0.45">
      <c r="E41" s="664" t="s">
        <v>146</v>
      </c>
      <c r="F41" s="665"/>
      <c r="G41" s="666" t="s">
        <v>347</v>
      </c>
      <c r="H41" s="666"/>
      <c r="I41" s="666"/>
      <c r="J41" s="666"/>
      <c r="K41" s="666" t="s">
        <v>345</v>
      </c>
      <c r="L41" s="666"/>
      <c r="M41" s="666"/>
      <c r="N41" s="136" t="s">
        <v>148</v>
      </c>
      <c r="P41" s="699" t="s">
        <v>147</v>
      </c>
      <c r="Q41" s="700"/>
      <c r="R41" s="700"/>
      <c r="S41" s="700"/>
      <c r="T41" s="700" t="s">
        <v>149</v>
      </c>
      <c r="U41" s="700"/>
      <c r="V41" s="700" t="s">
        <v>150</v>
      </c>
      <c r="W41" s="700"/>
      <c r="X41" s="700" t="s">
        <v>151</v>
      </c>
      <c r="Y41" s="700"/>
      <c r="Z41" s="666" t="s">
        <v>152</v>
      </c>
      <c r="AA41" s="666"/>
      <c r="AB41" s="666"/>
      <c r="AC41" s="666"/>
      <c r="AD41" s="666"/>
      <c r="AE41" s="666"/>
      <c r="AF41" s="666" t="s">
        <v>153</v>
      </c>
      <c r="AG41" s="666"/>
      <c r="AH41" s="666"/>
      <c r="AI41" s="666"/>
      <c r="AJ41" s="666"/>
      <c r="AK41" s="667"/>
    </row>
    <row r="42" spans="5:37" ht="15" customHeight="1" x14ac:dyDescent="0.55000000000000004">
      <c r="E42" s="687">
        <v>44621</v>
      </c>
      <c r="F42" s="688">
        <v>44593</v>
      </c>
      <c r="G42" s="640" t="s">
        <v>5</v>
      </c>
      <c r="H42" s="641"/>
      <c r="I42" s="641"/>
      <c r="J42" s="642"/>
      <c r="K42" s="640"/>
      <c r="L42" s="641"/>
      <c r="M42" s="642"/>
      <c r="N42" s="137">
        <v>6</v>
      </c>
      <c r="P42" s="694" t="str">
        <f>'Từ khóa'!F12</f>
        <v>Mua thực phẩm</v>
      </c>
      <c r="Q42" s="695"/>
      <c r="R42" s="695"/>
      <c r="S42" s="695"/>
      <c r="T42" s="696">
        <f>'Kế hoạch thu nhập và chi tiêu'!L26</f>
        <v>5</v>
      </c>
      <c r="U42" s="696"/>
      <c r="V42" s="152"/>
      <c r="W42" s="153">
        <f t="shared" ref="W42:W55" ca="1" si="3">SUMIF($G$42:$J$82,P42,$N$42:$N$82)</f>
        <v>6.8</v>
      </c>
      <c r="X42" s="697">
        <f t="shared" ref="X42:X56" ca="1" si="4">T42-W42</f>
        <v>-1.7999999999999998</v>
      </c>
      <c r="Y42" s="698"/>
      <c r="Z42" s="646" t="s">
        <v>382</v>
      </c>
      <c r="AA42" s="646"/>
      <c r="AB42" s="646"/>
      <c r="AC42" s="646"/>
      <c r="AD42" s="646"/>
      <c r="AE42" s="646"/>
      <c r="AF42" s="646"/>
      <c r="AG42" s="646"/>
      <c r="AH42" s="646"/>
      <c r="AI42" s="646"/>
      <c r="AJ42" s="646"/>
      <c r="AK42" s="658"/>
    </row>
    <row r="43" spans="5:37" ht="15" customHeight="1" x14ac:dyDescent="0.55000000000000004">
      <c r="E43" s="687">
        <v>44621</v>
      </c>
      <c r="F43" s="688">
        <v>44593</v>
      </c>
      <c r="G43" s="640" t="s">
        <v>6</v>
      </c>
      <c r="H43" s="641" t="s">
        <v>6</v>
      </c>
      <c r="I43" s="641" t="s">
        <v>6</v>
      </c>
      <c r="J43" s="642" t="s">
        <v>6</v>
      </c>
      <c r="K43" s="640"/>
      <c r="L43" s="641"/>
      <c r="M43" s="642"/>
      <c r="N43" s="138">
        <v>0.4</v>
      </c>
      <c r="P43" s="694" t="str">
        <f>'Từ khóa'!F13</f>
        <v>Mua đồ dùng trong nhà</v>
      </c>
      <c r="Q43" s="695"/>
      <c r="R43" s="695"/>
      <c r="S43" s="695"/>
      <c r="T43" s="696">
        <f>'Kế hoạch thu nhập và chi tiêu'!L27</f>
        <v>0.5</v>
      </c>
      <c r="U43" s="696"/>
      <c r="V43" s="152"/>
      <c r="W43" s="153">
        <f t="shared" ca="1" si="3"/>
        <v>1.1000000000000001</v>
      </c>
      <c r="X43" s="697">
        <f t="shared" ca="1" si="4"/>
        <v>-0.60000000000000009</v>
      </c>
      <c r="Y43" s="698"/>
      <c r="Z43" s="646" t="s">
        <v>383</v>
      </c>
      <c r="AA43" s="646"/>
      <c r="AB43" s="646"/>
      <c r="AC43" s="646"/>
      <c r="AD43" s="646"/>
      <c r="AE43" s="646"/>
      <c r="AF43" s="646"/>
      <c r="AG43" s="646"/>
      <c r="AH43" s="646"/>
      <c r="AI43" s="646"/>
      <c r="AJ43" s="646"/>
      <c r="AK43" s="658"/>
    </row>
    <row r="44" spans="5:37" ht="15" customHeight="1" x14ac:dyDescent="0.55000000000000004">
      <c r="E44" s="687">
        <v>44622</v>
      </c>
      <c r="F44" s="688">
        <v>44594</v>
      </c>
      <c r="G44" s="640" t="s">
        <v>10</v>
      </c>
      <c r="H44" s="641" t="s">
        <v>10</v>
      </c>
      <c r="I44" s="641" t="s">
        <v>10</v>
      </c>
      <c r="J44" s="642" t="s">
        <v>10</v>
      </c>
      <c r="K44" s="640" t="s">
        <v>159</v>
      </c>
      <c r="L44" s="641" t="s">
        <v>159</v>
      </c>
      <c r="M44" s="642" t="s">
        <v>159</v>
      </c>
      <c r="N44" s="138">
        <v>0.6</v>
      </c>
      <c r="P44" s="694" t="str">
        <f>'Từ khóa'!F14</f>
        <v>Đi ăn ở ngoài</v>
      </c>
      <c r="Q44" s="695"/>
      <c r="R44" s="695"/>
      <c r="S44" s="695"/>
      <c r="T44" s="696">
        <f>'Kế hoạch thu nhập và chi tiêu'!L28</f>
        <v>2</v>
      </c>
      <c r="U44" s="696"/>
      <c r="V44" s="152"/>
      <c r="W44" s="153">
        <f t="shared" ca="1" si="3"/>
        <v>0.5</v>
      </c>
      <c r="X44" s="697">
        <f t="shared" ca="1" si="4"/>
        <v>1.5</v>
      </c>
      <c r="Y44" s="698"/>
      <c r="Z44" s="646"/>
      <c r="AA44" s="646"/>
      <c r="AB44" s="646"/>
      <c r="AC44" s="646"/>
      <c r="AD44" s="646"/>
      <c r="AE44" s="646"/>
      <c r="AF44" s="646"/>
      <c r="AG44" s="646"/>
      <c r="AH44" s="646"/>
      <c r="AI44" s="646"/>
      <c r="AJ44" s="646"/>
      <c r="AK44" s="658"/>
    </row>
    <row r="45" spans="5:37" ht="15" customHeight="1" x14ac:dyDescent="0.55000000000000004">
      <c r="E45" s="687">
        <v>44623</v>
      </c>
      <c r="F45" s="688">
        <v>44595</v>
      </c>
      <c r="G45" s="640" t="s">
        <v>10</v>
      </c>
      <c r="H45" s="641" t="s">
        <v>10</v>
      </c>
      <c r="I45" s="641" t="s">
        <v>10</v>
      </c>
      <c r="J45" s="642" t="s">
        <v>10</v>
      </c>
      <c r="K45" s="640" t="s">
        <v>161</v>
      </c>
      <c r="L45" s="641" t="s">
        <v>161</v>
      </c>
      <c r="M45" s="642" t="s">
        <v>161</v>
      </c>
      <c r="N45" s="138">
        <v>0.2</v>
      </c>
      <c r="P45" s="694" t="str">
        <f>'Từ khóa'!F15</f>
        <v>Chi tiền phát triển bản thân</v>
      </c>
      <c r="Q45" s="695"/>
      <c r="R45" s="695"/>
      <c r="S45" s="695"/>
      <c r="T45" s="696">
        <f>'Kế hoạch thu nhập và chi tiêu'!L29</f>
        <v>1.5</v>
      </c>
      <c r="U45" s="696"/>
      <c r="V45" s="152"/>
      <c r="W45" s="153">
        <f t="shared" ca="1" si="3"/>
        <v>1.5</v>
      </c>
      <c r="X45" s="697">
        <f t="shared" ca="1" si="4"/>
        <v>0</v>
      </c>
      <c r="Y45" s="698"/>
      <c r="Z45" s="646" t="s">
        <v>375</v>
      </c>
      <c r="AA45" s="646"/>
      <c r="AB45" s="646"/>
      <c r="AC45" s="646"/>
      <c r="AD45" s="646"/>
      <c r="AE45" s="646"/>
      <c r="AF45" s="646"/>
      <c r="AG45" s="646"/>
      <c r="AH45" s="646"/>
      <c r="AI45" s="646"/>
      <c r="AJ45" s="646"/>
      <c r="AK45" s="658"/>
    </row>
    <row r="46" spans="5:37" ht="15" customHeight="1" x14ac:dyDescent="0.55000000000000004">
      <c r="E46" s="687">
        <v>44624</v>
      </c>
      <c r="F46" s="688">
        <v>44596</v>
      </c>
      <c r="G46" s="640" t="s">
        <v>10</v>
      </c>
      <c r="H46" s="641" t="s">
        <v>10</v>
      </c>
      <c r="I46" s="641" t="s">
        <v>10</v>
      </c>
      <c r="J46" s="642" t="s">
        <v>10</v>
      </c>
      <c r="K46" s="640" t="s">
        <v>162</v>
      </c>
      <c r="L46" s="641" t="s">
        <v>162</v>
      </c>
      <c r="M46" s="642" t="s">
        <v>162</v>
      </c>
      <c r="N46" s="138">
        <v>0.3</v>
      </c>
      <c r="P46" s="694" t="str">
        <f>'Từ khóa'!F16</f>
        <v>Chi tiền bảo hiểm</v>
      </c>
      <c r="Q46" s="695"/>
      <c r="R46" s="695"/>
      <c r="S46" s="695"/>
      <c r="T46" s="696">
        <f>'Kế hoạch thu nhập và chi tiêu'!L30</f>
        <v>0</v>
      </c>
      <c r="U46" s="696"/>
      <c r="V46" s="152"/>
      <c r="W46" s="153">
        <f t="shared" ca="1" si="3"/>
        <v>0.5</v>
      </c>
      <c r="X46" s="697">
        <f t="shared" ca="1" si="4"/>
        <v>-0.5</v>
      </c>
      <c r="Y46" s="698"/>
      <c r="Z46" s="646" t="s">
        <v>384</v>
      </c>
      <c r="AA46" s="646"/>
      <c r="AB46" s="646"/>
      <c r="AC46" s="646"/>
      <c r="AD46" s="646"/>
      <c r="AE46" s="646"/>
      <c r="AF46" s="646"/>
      <c r="AG46" s="646"/>
      <c r="AH46" s="646"/>
      <c r="AI46" s="646"/>
      <c r="AJ46" s="646"/>
      <c r="AK46" s="658"/>
    </row>
    <row r="47" spans="5:37" ht="15" customHeight="1" x14ac:dyDescent="0.55000000000000004">
      <c r="E47" s="687">
        <v>44625</v>
      </c>
      <c r="F47" s="688">
        <v>44597</v>
      </c>
      <c r="G47" s="640" t="s">
        <v>10</v>
      </c>
      <c r="H47" s="641" t="s">
        <v>10</v>
      </c>
      <c r="I47" s="641" t="s">
        <v>10</v>
      </c>
      <c r="J47" s="642" t="s">
        <v>10</v>
      </c>
      <c r="K47" s="640" t="s">
        <v>163</v>
      </c>
      <c r="L47" s="641" t="s">
        <v>163</v>
      </c>
      <c r="M47" s="642" t="s">
        <v>163</v>
      </c>
      <c r="N47" s="138">
        <v>0.2</v>
      </c>
      <c r="P47" s="694" t="str">
        <f>'Từ khóa'!F17</f>
        <v>Chi tiền điện, nước, internet, điện thoại, xăng xe</v>
      </c>
      <c r="Q47" s="695"/>
      <c r="R47" s="695"/>
      <c r="S47" s="695"/>
      <c r="T47" s="696">
        <f>'Kế hoạch thu nhập và chi tiêu'!L31</f>
        <v>2</v>
      </c>
      <c r="U47" s="696"/>
      <c r="V47" s="152"/>
      <c r="W47" s="153">
        <f t="shared" ca="1" si="3"/>
        <v>1.6500000000000001</v>
      </c>
      <c r="X47" s="697">
        <f t="shared" ca="1" si="4"/>
        <v>0.34999999999999987</v>
      </c>
      <c r="Y47" s="698"/>
      <c r="Z47" s="646" t="s">
        <v>376</v>
      </c>
      <c r="AA47" s="646"/>
      <c r="AB47" s="646"/>
      <c r="AC47" s="646"/>
      <c r="AD47" s="646"/>
      <c r="AE47" s="646"/>
      <c r="AF47" s="646" t="s">
        <v>322</v>
      </c>
      <c r="AG47" s="646"/>
      <c r="AH47" s="646"/>
      <c r="AI47" s="646"/>
      <c r="AJ47" s="646"/>
      <c r="AK47" s="658"/>
    </row>
    <row r="48" spans="5:37" ht="15" customHeight="1" x14ac:dyDescent="0.55000000000000004">
      <c r="E48" s="687">
        <v>44627</v>
      </c>
      <c r="F48" s="688">
        <v>44599</v>
      </c>
      <c r="G48" s="640" t="s">
        <v>10</v>
      </c>
      <c r="H48" s="641" t="s">
        <v>10</v>
      </c>
      <c r="I48" s="641" t="s">
        <v>10</v>
      </c>
      <c r="J48" s="642" t="s">
        <v>10</v>
      </c>
      <c r="K48" s="640" t="s">
        <v>164</v>
      </c>
      <c r="L48" s="641" t="s">
        <v>164</v>
      </c>
      <c r="M48" s="642" t="s">
        <v>164</v>
      </c>
      <c r="N48" s="138">
        <v>0.05</v>
      </c>
      <c r="P48" s="694" t="str">
        <f>'Từ khóa'!F18</f>
        <v>Chi tiền giải trí, quà tặng</v>
      </c>
      <c r="Q48" s="695"/>
      <c r="R48" s="695"/>
      <c r="S48" s="695"/>
      <c r="T48" s="696">
        <f>'Kế hoạch thu nhập và chi tiêu'!L32</f>
        <v>0</v>
      </c>
      <c r="U48" s="696"/>
      <c r="V48" s="152"/>
      <c r="W48" s="153">
        <f t="shared" ca="1" si="3"/>
        <v>0.7</v>
      </c>
      <c r="X48" s="697">
        <f t="shared" ca="1" si="4"/>
        <v>-0.7</v>
      </c>
      <c r="Y48" s="698"/>
      <c r="Z48" s="646" t="s">
        <v>394</v>
      </c>
      <c r="AA48" s="646"/>
      <c r="AB48" s="646"/>
      <c r="AC48" s="646"/>
      <c r="AD48" s="646"/>
      <c r="AE48" s="646"/>
      <c r="AF48" s="646"/>
      <c r="AG48" s="646"/>
      <c r="AH48" s="646"/>
      <c r="AI48" s="646"/>
      <c r="AJ48" s="646"/>
      <c r="AK48" s="658"/>
    </row>
    <row r="49" spans="5:37" ht="15" customHeight="1" x14ac:dyDescent="0.55000000000000004">
      <c r="E49" s="687">
        <v>44629</v>
      </c>
      <c r="F49" s="688">
        <v>44601</v>
      </c>
      <c r="G49" s="640" t="s">
        <v>7</v>
      </c>
      <c r="H49" s="641" t="s">
        <v>7</v>
      </c>
      <c r="I49" s="641" t="s">
        <v>7</v>
      </c>
      <c r="J49" s="642" t="s">
        <v>7</v>
      </c>
      <c r="K49" s="640"/>
      <c r="L49" s="641"/>
      <c r="M49" s="642"/>
      <c r="N49" s="138">
        <v>0.5</v>
      </c>
      <c r="P49" s="694" t="str">
        <f>'Từ khóa'!F19</f>
        <v>Chi tiền cho con</v>
      </c>
      <c r="Q49" s="695"/>
      <c r="R49" s="695"/>
      <c r="S49" s="695"/>
      <c r="T49" s="696">
        <f>'Kế hoạch thu nhập và chi tiêu'!L33</f>
        <v>0</v>
      </c>
      <c r="U49" s="696"/>
      <c r="V49" s="152"/>
      <c r="W49" s="153">
        <f t="shared" ca="1" si="3"/>
        <v>0</v>
      </c>
      <c r="X49" s="697">
        <f t="shared" ca="1" si="4"/>
        <v>0</v>
      </c>
      <c r="Y49" s="698"/>
      <c r="Z49" s="646"/>
      <c r="AA49" s="646"/>
      <c r="AB49" s="646"/>
      <c r="AC49" s="646"/>
      <c r="AD49" s="646"/>
      <c r="AE49" s="646"/>
      <c r="AF49" s="646"/>
      <c r="AG49" s="646"/>
      <c r="AH49" s="646"/>
      <c r="AI49" s="646"/>
      <c r="AJ49" s="646"/>
      <c r="AK49" s="658"/>
    </row>
    <row r="50" spans="5:37" ht="15" customHeight="1" x14ac:dyDescent="0.55000000000000004">
      <c r="E50" s="687">
        <v>44631</v>
      </c>
      <c r="F50" s="688">
        <v>44603</v>
      </c>
      <c r="G50" s="640" t="s">
        <v>8</v>
      </c>
      <c r="H50" s="641" t="s">
        <v>8</v>
      </c>
      <c r="I50" s="641" t="s">
        <v>8</v>
      </c>
      <c r="J50" s="642" t="s">
        <v>8</v>
      </c>
      <c r="K50" s="640" t="s">
        <v>23</v>
      </c>
      <c r="L50" s="641" t="s">
        <v>23</v>
      </c>
      <c r="M50" s="642" t="s">
        <v>23</v>
      </c>
      <c r="N50" s="138">
        <v>0.3</v>
      </c>
      <c r="P50" s="694" t="str">
        <f>'Từ khóa'!F20</f>
        <v>Chi tiền trả nợ</v>
      </c>
      <c r="Q50" s="695"/>
      <c r="R50" s="695"/>
      <c r="S50" s="695"/>
      <c r="T50" s="696">
        <f>'Kế hoạch thu nhập và chi tiêu'!L34</f>
        <v>6.5</v>
      </c>
      <c r="U50" s="696"/>
      <c r="V50" s="152"/>
      <c r="W50" s="153">
        <f t="shared" ca="1" si="3"/>
        <v>6.5</v>
      </c>
      <c r="X50" s="697">
        <f t="shared" ca="1" si="4"/>
        <v>0</v>
      </c>
      <c r="Y50" s="698"/>
      <c r="Z50" s="646"/>
      <c r="AA50" s="646"/>
      <c r="AB50" s="646"/>
      <c r="AC50" s="646"/>
      <c r="AD50" s="646"/>
      <c r="AE50" s="646"/>
      <c r="AF50" s="646"/>
      <c r="AG50" s="646"/>
      <c r="AH50" s="646"/>
      <c r="AI50" s="646"/>
      <c r="AJ50" s="646"/>
      <c r="AK50" s="658"/>
    </row>
    <row r="51" spans="5:37" ht="15" customHeight="1" x14ac:dyDescent="0.55000000000000004">
      <c r="E51" s="687">
        <v>44632</v>
      </c>
      <c r="F51" s="688">
        <v>44604</v>
      </c>
      <c r="G51" s="640" t="s">
        <v>8</v>
      </c>
      <c r="H51" s="641" t="s">
        <v>8</v>
      </c>
      <c r="I51" s="641" t="s">
        <v>8</v>
      </c>
      <c r="J51" s="642" t="s">
        <v>8</v>
      </c>
      <c r="K51" s="640" t="s">
        <v>165</v>
      </c>
      <c r="L51" s="641" t="s">
        <v>165</v>
      </c>
      <c r="M51" s="642" t="s">
        <v>165</v>
      </c>
      <c r="N51" s="138">
        <v>0.5</v>
      </c>
      <c r="P51" s="694" t="str">
        <f>'Từ khóa'!F21</f>
        <v>Chi tiền cho tặng gia đình</v>
      </c>
      <c r="Q51" s="695"/>
      <c r="R51" s="695"/>
      <c r="S51" s="695"/>
      <c r="T51" s="696">
        <f>'Kế hoạch thu nhập và chi tiêu'!L35</f>
        <v>1</v>
      </c>
      <c r="U51" s="696"/>
      <c r="V51" s="152"/>
      <c r="W51" s="153">
        <f t="shared" ca="1" si="3"/>
        <v>0</v>
      </c>
      <c r="X51" s="697">
        <f t="shared" ca="1" si="4"/>
        <v>1</v>
      </c>
      <c r="Y51" s="698"/>
      <c r="Z51" s="646"/>
      <c r="AA51" s="646"/>
      <c r="AB51" s="646"/>
      <c r="AC51" s="646"/>
      <c r="AD51" s="646"/>
      <c r="AE51" s="646"/>
      <c r="AF51" s="646"/>
      <c r="AG51" s="646"/>
      <c r="AH51" s="646"/>
      <c r="AI51" s="646"/>
      <c r="AJ51" s="646"/>
      <c r="AK51" s="658"/>
    </row>
    <row r="52" spans="5:37" ht="15" customHeight="1" x14ac:dyDescent="0.55000000000000004">
      <c r="E52" s="687">
        <v>44640</v>
      </c>
      <c r="F52" s="688">
        <v>44612</v>
      </c>
      <c r="G52" s="640" t="s">
        <v>8</v>
      </c>
      <c r="H52" s="641"/>
      <c r="I52" s="641"/>
      <c r="J52" s="642"/>
      <c r="K52" s="640" t="s">
        <v>165</v>
      </c>
      <c r="L52" s="641"/>
      <c r="M52" s="642"/>
      <c r="N52" s="138">
        <v>0.7</v>
      </c>
      <c r="P52" s="694" t="str">
        <f>'Từ khóa'!F22</f>
        <v>Chi tiêu 1</v>
      </c>
      <c r="Q52" s="695"/>
      <c r="R52" s="695"/>
      <c r="S52" s="695"/>
      <c r="T52" s="696">
        <f>'Kế hoạch thu nhập và chi tiêu'!L36</f>
        <v>0</v>
      </c>
      <c r="U52" s="696"/>
      <c r="V52" s="152"/>
      <c r="W52" s="153">
        <f t="shared" ca="1" si="3"/>
        <v>0</v>
      </c>
      <c r="X52" s="697">
        <f t="shared" ca="1" si="4"/>
        <v>0</v>
      </c>
      <c r="Y52" s="698"/>
      <c r="Z52" s="646"/>
      <c r="AA52" s="646"/>
      <c r="AB52" s="646"/>
      <c r="AC52" s="646"/>
      <c r="AD52" s="646"/>
      <c r="AE52" s="646"/>
      <c r="AF52" s="646"/>
      <c r="AG52" s="646"/>
      <c r="AH52" s="646"/>
      <c r="AI52" s="646"/>
      <c r="AJ52" s="646"/>
      <c r="AK52" s="658"/>
    </row>
    <row r="53" spans="5:37" ht="15" customHeight="1" x14ac:dyDescent="0.55000000000000004">
      <c r="E53" s="687">
        <v>44642</v>
      </c>
      <c r="F53" s="688" t="s">
        <v>174</v>
      </c>
      <c r="G53" s="640" t="s">
        <v>5</v>
      </c>
      <c r="H53" s="641"/>
      <c r="I53" s="641"/>
      <c r="J53" s="642"/>
      <c r="K53" s="640"/>
      <c r="L53" s="641"/>
      <c r="M53" s="642"/>
      <c r="N53" s="138">
        <v>0.8</v>
      </c>
      <c r="P53" s="694" t="str">
        <f>'Từ khóa'!F23</f>
        <v>Chi tiêu 2</v>
      </c>
      <c r="Q53" s="695"/>
      <c r="R53" s="695"/>
      <c r="S53" s="695"/>
      <c r="T53" s="696">
        <f>'Kế hoạch thu nhập và chi tiêu'!L37</f>
        <v>0</v>
      </c>
      <c r="U53" s="696"/>
      <c r="V53" s="152"/>
      <c r="W53" s="153">
        <f t="shared" ca="1" si="3"/>
        <v>0</v>
      </c>
      <c r="X53" s="697">
        <f t="shared" ca="1" si="4"/>
        <v>0</v>
      </c>
      <c r="Y53" s="698"/>
      <c r="Z53" s="646"/>
      <c r="AA53" s="646"/>
      <c r="AB53" s="646"/>
      <c r="AC53" s="646"/>
      <c r="AD53" s="646"/>
      <c r="AE53" s="646"/>
      <c r="AF53" s="646"/>
      <c r="AG53" s="646"/>
      <c r="AH53" s="646"/>
      <c r="AI53" s="646"/>
      <c r="AJ53" s="646"/>
      <c r="AK53" s="658"/>
    </row>
    <row r="54" spans="5:37" ht="15" customHeight="1" x14ac:dyDescent="0.55000000000000004">
      <c r="E54" s="687">
        <v>44643</v>
      </c>
      <c r="F54" s="688">
        <v>44615</v>
      </c>
      <c r="G54" s="640" t="s">
        <v>9</v>
      </c>
      <c r="H54" s="641"/>
      <c r="I54" s="641"/>
      <c r="J54" s="642"/>
      <c r="K54" s="640" t="s">
        <v>377</v>
      </c>
      <c r="L54" s="641"/>
      <c r="M54" s="642"/>
      <c r="N54" s="138">
        <v>0.5</v>
      </c>
      <c r="P54" s="694" t="str">
        <f>'Từ khóa'!F24</f>
        <v>Chi tiêu 3</v>
      </c>
      <c r="Q54" s="695"/>
      <c r="R54" s="695"/>
      <c r="S54" s="695"/>
      <c r="T54" s="696">
        <f>'Kế hoạch thu nhập và chi tiêu'!L38</f>
        <v>0</v>
      </c>
      <c r="U54" s="696"/>
      <c r="V54" s="152"/>
      <c r="W54" s="153">
        <f t="shared" ca="1" si="3"/>
        <v>0</v>
      </c>
      <c r="X54" s="697">
        <f t="shared" ca="1" si="4"/>
        <v>0</v>
      </c>
      <c r="Y54" s="698"/>
      <c r="Z54" s="646"/>
      <c r="AA54" s="646"/>
      <c r="AB54" s="646"/>
      <c r="AC54" s="646"/>
      <c r="AD54" s="646"/>
      <c r="AE54" s="646"/>
      <c r="AF54" s="646"/>
      <c r="AG54" s="646"/>
      <c r="AH54" s="646"/>
      <c r="AI54" s="646"/>
      <c r="AJ54" s="646"/>
      <c r="AK54" s="658"/>
    </row>
    <row r="55" spans="5:37" ht="15" customHeight="1" x14ac:dyDescent="0.55000000000000004">
      <c r="E55" s="687">
        <v>44644</v>
      </c>
      <c r="F55" s="688">
        <v>44616</v>
      </c>
      <c r="G55" s="640" t="s">
        <v>10</v>
      </c>
      <c r="H55" s="641"/>
      <c r="I55" s="641"/>
      <c r="J55" s="642"/>
      <c r="K55" s="640" t="s">
        <v>163</v>
      </c>
      <c r="L55" s="641"/>
      <c r="M55" s="642"/>
      <c r="N55" s="138">
        <v>0.3</v>
      </c>
      <c r="P55" s="694" t="str">
        <f>'Từ khóa'!F25</f>
        <v>Chi tiêu 4</v>
      </c>
      <c r="Q55" s="695"/>
      <c r="R55" s="695"/>
      <c r="S55" s="695"/>
      <c r="T55" s="696">
        <f>'Kế hoạch thu nhập và chi tiêu'!L39</f>
        <v>0</v>
      </c>
      <c r="U55" s="696"/>
      <c r="V55" s="152"/>
      <c r="W55" s="153">
        <f t="shared" ca="1" si="3"/>
        <v>0</v>
      </c>
      <c r="X55" s="697">
        <f t="shared" ca="1" si="4"/>
        <v>0</v>
      </c>
      <c r="Y55" s="698"/>
      <c r="Z55" s="646"/>
      <c r="AA55" s="646"/>
      <c r="AB55" s="646"/>
      <c r="AC55" s="646"/>
      <c r="AD55" s="646"/>
      <c r="AE55" s="646"/>
      <c r="AF55" s="646"/>
      <c r="AG55" s="646"/>
      <c r="AH55" s="646"/>
      <c r="AI55" s="646"/>
      <c r="AJ55" s="646"/>
      <c r="AK55" s="658"/>
    </row>
    <row r="56" spans="5:37" ht="15" customHeight="1" x14ac:dyDescent="0.55000000000000004">
      <c r="E56" s="687">
        <v>44645</v>
      </c>
      <c r="F56" s="688">
        <v>44617</v>
      </c>
      <c r="G56" s="640" t="s">
        <v>11</v>
      </c>
      <c r="H56" s="641"/>
      <c r="I56" s="641"/>
      <c r="J56" s="642"/>
      <c r="K56" s="640" t="s">
        <v>378</v>
      </c>
      <c r="L56" s="641"/>
      <c r="M56" s="642"/>
      <c r="N56" s="138">
        <v>0.5</v>
      </c>
      <c r="P56" s="694" t="str">
        <f>'Từ khóa'!F26</f>
        <v>Chi tiêu 5</v>
      </c>
      <c r="Q56" s="695"/>
      <c r="R56" s="695"/>
      <c r="S56" s="695"/>
      <c r="T56" s="696">
        <f>'Kế hoạch thu nhập và chi tiêu'!L40</f>
        <v>0</v>
      </c>
      <c r="U56" s="696"/>
      <c r="V56" s="152"/>
      <c r="W56" s="153"/>
      <c r="X56" s="697">
        <f t="shared" si="4"/>
        <v>0</v>
      </c>
      <c r="Y56" s="698"/>
      <c r="Z56" s="646"/>
      <c r="AA56" s="646"/>
      <c r="AB56" s="646"/>
      <c r="AC56" s="646"/>
      <c r="AD56" s="646"/>
      <c r="AE56" s="646"/>
      <c r="AF56" s="646"/>
      <c r="AG56" s="646"/>
      <c r="AH56" s="646"/>
      <c r="AI56" s="646"/>
      <c r="AJ56" s="646"/>
      <c r="AK56" s="658"/>
    </row>
    <row r="57" spans="5:37" ht="15.75" customHeight="1" thickBot="1" x14ac:dyDescent="0.6">
      <c r="E57" s="687">
        <v>44646</v>
      </c>
      <c r="F57" s="688">
        <v>44618</v>
      </c>
      <c r="G57" s="640" t="s">
        <v>6</v>
      </c>
      <c r="H57" s="641"/>
      <c r="I57" s="641"/>
      <c r="J57" s="642"/>
      <c r="K57" s="640"/>
      <c r="L57" s="641"/>
      <c r="M57" s="642"/>
      <c r="N57" s="138">
        <v>0.7</v>
      </c>
      <c r="P57" s="691" t="s">
        <v>317</v>
      </c>
      <c r="Q57" s="692"/>
      <c r="R57" s="692"/>
      <c r="S57" s="693"/>
      <c r="T57" s="689">
        <f>SUM(T42:U56)</f>
        <v>18.5</v>
      </c>
      <c r="U57" s="690"/>
      <c r="V57" s="689">
        <f ca="1">SUM(W42:W56)</f>
        <v>19.25</v>
      </c>
      <c r="W57" s="690"/>
      <c r="X57" s="689">
        <f t="shared" ref="X57" ca="1" si="5">SUM(X42:Y56)</f>
        <v>-0.75</v>
      </c>
      <c r="Y57" s="690"/>
      <c r="Z57" s="669"/>
      <c r="AA57" s="669"/>
      <c r="AB57" s="669"/>
      <c r="AC57" s="669"/>
      <c r="AD57" s="669"/>
      <c r="AE57" s="669"/>
      <c r="AF57" s="669"/>
      <c r="AG57" s="669"/>
      <c r="AH57" s="669"/>
      <c r="AI57" s="669"/>
      <c r="AJ57" s="669"/>
      <c r="AK57" s="670"/>
    </row>
    <row r="58" spans="5:37" ht="15.75" customHeight="1" x14ac:dyDescent="0.55000000000000004">
      <c r="E58" s="687">
        <v>44647</v>
      </c>
      <c r="F58" s="688">
        <v>44619</v>
      </c>
      <c r="G58" s="640" t="s">
        <v>13</v>
      </c>
      <c r="H58" s="641"/>
      <c r="I58" s="641"/>
      <c r="J58" s="642"/>
      <c r="K58" s="640"/>
      <c r="L58" s="641"/>
      <c r="M58" s="642"/>
      <c r="N58" s="138">
        <v>6.5</v>
      </c>
      <c r="Q58" s="6"/>
      <c r="R58" s="6"/>
      <c r="S58" s="6"/>
      <c r="T58" s="6"/>
    </row>
    <row r="59" spans="5:37" ht="15.75" customHeight="1" x14ac:dyDescent="0.55000000000000004">
      <c r="E59" s="687">
        <v>44648</v>
      </c>
      <c r="F59" s="688" t="s">
        <v>174</v>
      </c>
      <c r="G59" s="640" t="s">
        <v>11</v>
      </c>
      <c r="H59" s="641"/>
      <c r="I59" s="641"/>
      <c r="J59" s="642"/>
      <c r="K59" s="640" t="s">
        <v>379</v>
      </c>
      <c r="L59" s="641"/>
      <c r="M59" s="642"/>
      <c r="N59" s="140">
        <v>0.2</v>
      </c>
      <c r="Q59" s="6"/>
      <c r="R59" s="6"/>
      <c r="S59" s="6"/>
      <c r="T59" s="6"/>
    </row>
    <row r="60" spans="5:37" ht="15" x14ac:dyDescent="0.55000000000000004">
      <c r="E60" s="638"/>
      <c r="F60" s="639"/>
      <c r="G60" s="640"/>
      <c r="H60" s="641"/>
      <c r="I60" s="641"/>
      <c r="J60" s="642"/>
      <c r="K60" s="640"/>
      <c r="L60" s="641"/>
      <c r="M60" s="642"/>
      <c r="N60" s="140"/>
    </row>
    <row r="61" spans="5:37" ht="15" x14ac:dyDescent="0.55000000000000004">
      <c r="E61" s="638"/>
      <c r="F61" s="639"/>
      <c r="G61" s="640"/>
      <c r="H61" s="641"/>
      <c r="I61" s="641"/>
      <c r="J61" s="642"/>
      <c r="K61" s="640"/>
      <c r="L61" s="641"/>
      <c r="M61" s="642"/>
      <c r="N61" s="140"/>
    </row>
    <row r="62" spans="5:37" ht="15" x14ac:dyDescent="0.55000000000000004">
      <c r="E62" s="638"/>
      <c r="F62" s="639"/>
      <c r="G62" s="640"/>
      <c r="H62" s="641"/>
      <c r="I62" s="641"/>
      <c r="J62" s="642"/>
      <c r="K62" s="640"/>
      <c r="L62" s="641"/>
      <c r="M62" s="642"/>
      <c r="N62" s="140"/>
    </row>
    <row r="63" spans="5:37" ht="15" x14ac:dyDescent="0.55000000000000004">
      <c r="E63" s="638"/>
      <c r="F63" s="639"/>
      <c r="G63" s="640"/>
      <c r="H63" s="641"/>
      <c r="I63" s="641"/>
      <c r="J63" s="642"/>
      <c r="K63" s="640"/>
      <c r="L63" s="641"/>
      <c r="M63" s="642"/>
      <c r="N63" s="140"/>
    </row>
    <row r="64" spans="5:37" ht="15" x14ac:dyDescent="0.55000000000000004">
      <c r="E64" s="638"/>
      <c r="F64" s="639"/>
      <c r="G64" s="640"/>
      <c r="H64" s="641"/>
      <c r="I64" s="641"/>
      <c r="J64" s="642"/>
      <c r="K64" s="640"/>
      <c r="L64" s="641"/>
      <c r="M64" s="642"/>
      <c r="N64" s="140"/>
    </row>
    <row r="65" spans="5:14" ht="15" x14ac:dyDescent="0.55000000000000004">
      <c r="E65" s="638"/>
      <c r="F65" s="639"/>
      <c r="G65" s="640"/>
      <c r="H65" s="641"/>
      <c r="I65" s="641"/>
      <c r="J65" s="642"/>
      <c r="K65" s="640"/>
      <c r="L65" s="641"/>
      <c r="M65" s="642"/>
      <c r="N65" s="140"/>
    </row>
    <row r="66" spans="5:14" ht="15" x14ac:dyDescent="0.55000000000000004">
      <c r="E66" s="638"/>
      <c r="F66" s="639"/>
      <c r="G66" s="640"/>
      <c r="H66" s="641"/>
      <c r="I66" s="641"/>
      <c r="J66" s="642"/>
      <c r="K66" s="640"/>
      <c r="L66" s="641"/>
      <c r="M66" s="642"/>
      <c r="N66" s="140"/>
    </row>
    <row r="67" spans="5:14" ht="15" x14ac:dyDescent="0.55000000000000004">
      <c r="E67" s="638"/>
      <c r="F67" s="639"/>
      <c r="G67" s="640"/>
      <c r="H67" s="641"/>
      <c r="I67" s="641"/>
      <c r="J67" s="642"/>
      <c r="K67" s="640"/>
      <c r="L67" s="641"/>
      <c r="M67" s="642"/>
      <c r="N67" s="140"/>
    </row>
    <row r="68" spans="5:14" ht="15" x14ac:dyDescent="0.55000000000000004">
      <c r="E68" s="638"/>
      <c r="F68" s="639"/>
      <c r="G68" s="640"/>
      <c r="H68" s="641"/>
      <c r="I68" s="641"/>
      <c r="J68" s="642"/>
      <c r="K68" s="640"/>
      <c r="L68" s="641"/>
      <c r="M68" s="642"/>
      <c r="N68" s="140"/>
    </row>
    <row r="69" spans="5:14" ht="15" x14ac:dyDescent="0.55000000000000004">
      <c r="E69" s="638"/>
      <c r="F69" s="639"/>
      <c r="G69" s="640"/>
      <c r="H69" s="641"/>
      <c r="I69" s="641"/>
      <c r="J69" s="642"/>
      <c r="K69" s="640"/>
      <c r="L69" s="641"/>
      <c r="M69" s="642"/>
      <c r="N69" s="140"/>
    </row>
    <row r="70" spans="5:14" ht="15" x14ac:dyDescent="0.55000000000000004">
      <c r="E70" s="638"/>
      <c r="F70" s="639"/>
      <c r="G70" s="640"/>
      <c r="H70" s="641"/>
      <c r="I70" s="641"/>
      <c r="J70" s="642"/>
      <c r="K70" s="640"/>
      <c r="L70" s="641"/>
      <c r="M70" s="642"/>
      <c r="N70" s="140"/>
    </row>
    <row r="71" spans="5:14" ht="15" x14ac:dyDescent="0.55000000000000004">
      <c r="E71" s="638"/>
      <c r="F71" s="639"/>
      <c r="G71" s="640"/>
      <c r="H71" s="641"/>
      <c r="I71" s="641"/>
      <c r="J71" s="642"/>
      <c r="K71" s="640"/>
      <c r="L71" s="641"/>
      <c r="M71" s="642"/>
      <c r="N71" s="140"/>
    </row>
    <row r="72" spans="5:14" ht="15" x14ac:dyDescent="0.55000000000000004">
      <c r="E72" s="638"/>
      <c r="F72" s="639"/>
      <c r="G72" s="640"/>
      <c r="H72" s="641"/>
      <c r="I72" s="641"/>
      <c r="J72" s="642"/>
      <c r="K72" s="640"/>
      <c r="L72" s="641"/>
      <c r="M72" s="642"/>
      <c r="N72" s="140"/>
    </row>
    <row r="73" spans="5:14" ht="15" x14ac:dyDescent="0.55000000000000004">
      <c r="E73" s="638"/>
      <c r="F73" s="639"/>
      <c r="G73" s="640"/>
      <c r="H73" s="641"/>
      <c r="I73" s="641"/>
      <c r="J73" s="642"/>
      <c r="K73" s="640"/>
      <c r="L73" s="641"/>
      <c r="M73" s="642"/>
      <c r="N73" s="140"/>
    </row>
    <row r="74" spans="5:14" ht="15" x14ac:dyDescent="0.55000000000000004">
      <c r="E74" s="638"/>
      <c r="F74" s="639"/>
      <c r="G74" s="640"/>
      <c r="H74" s="641"/>
      <c r="I74" s="641"/>
      <c r="J74" s="642"/>
      <c r="K74" s="640"/>
      <c r="L74" s="641"/>
      <c r="M74" s="642"/>
      <c r="N74" s="140"/>
    </row>
    <row r="75" spans="5:14" ht="15" x14ac:dyDescent="0.55000000000000004">
      <c r="E75" s="638"/>
      <c r="F75" s="639"/>
      <c r="G75" s="640"/>
      <c r="H75" s="641"/>
      <c r="I75" s="641"/>
      <c r="J75" s="642"/>
      <c r="K75" s="640"/>
      <c r="L75" s="641"/>
      <c r="M75" s="642"/>
      <c r="N75" s="140"/>
    </row>
    <row r="76" spans="5:14" ht="15" x14ac:dyDescent="0.55000000000000004">
      <c r="E76" s="638"/>
      <c r="F76" s="639"/>
      <c r="G76" s="640"/>
      <c r="H76" s="641"/>
      <c r="I76" s="641"/>
      <c r="J76" s="642"/>
      <c r="K76" s="640"/>
      <c r="L76" s="641"/>
      <c r="M76" s="642"/>
      <c r="N76" s="140"/>
    </row>
    <row r="77" spans="5:14" ht="15" x14ac:dyDescent="0.55000000000000004">
      <c r="E77" s="638"/>
      <c r="F77" s="639"/>
      <c r="G77" s="640"/>
      <c r="H77" s="641"/>
      <c r="I77" s="641"/>
      <c r="J77" s="642"/>
      <c r="K77" s="640"/>
      <c r="L77" s="641"/>
      <c r="M77" s="642"/>
      <c r="N77" s="140"/>
    </row>
    <row r="78" spans="5:14" ht="15" x14ac:dyDescent="0.55000000000000004">
      <c r="E78" s="638"/>
      <c r="F78" s="639"/>
      <c r="G78" s="640"/>
      <c r="H78" s="641"/>
      <c r="I78" s="641"/>
      <c r="J78" s="642"/>
      <c r="K78" s="640"/>
      <c r="L78" s="641"/>
      <c r="M78" s="642"/>
      <c r="N78" s="140"/>
    </row>
    <row r="79" spans="5:14" ht="15" x14ac:dyDescent="0.55000000000000004">
      <c r="E79" s="638"/>
      <c r="F79" s="639"/>
      <c r="G79" s="640"/>
      <c r="H79" s="641"/>
      <c r="I79" s="641"/>
      <c r="J79" s="642"/>
      <c r="K79" s="640"/>
      <c r="L79" s="641"/>
      <c r="M79" s="642"/>
      <c r="N79" s="140"/>
    </row>
    <row r="80" spans="5:14" ht="15" x14ac:dyDescent="0.55000000000000004">
      <c r="E80" s="638"/>
      <c r="F80" s="639"/>
      <c r="G80" s="640"/>
      <c r="H80" s="641"/>
      <c r="I80" s="641"/>
      <c r="J80" s="642"/>
      <c r="K80" s="640"/>
      <c r="L80" s="641"/>
      <c r="M80" s="642"/>
      <c r="N80" s="140"/>
    </row>
    <row r="81" spans="1:31" ht="15" x14ac:dyDescent="0.55000000000000004">
      <c r="E81" s="638"/>
      <c r="F81" s="639"/>
      <c r="G81" s="640"/>
      <c r="H81" s="641"/>
      <c r="I81" s="641"/>
      <c r="J81" s="642"/>
      <c r="K81" s="640"/>
      <c r="L81" s="641"/>
      <c r="M81" s="642"/>
      <c r="N81" s="140"/>
    </row>
    <row r="82" spans="1:31" ht="15" x14ac:dyDescent="0.55000000000000004">
      <c r="E82" s="638"/>
      <c r="F82" s="639"/>
      <c r="G82" s="640"/>
      <c r="H82" s="641"/>
      <c r="I82" s="641"/>
      <c r="J82" s="642"/>
      <c r="K82" s="640"/>
      <c r="L82" s="641"/>
      <c r="M82" s="642"/>
      <c r="N82" s="140"/>
    </row>
    <row r="83" spans="1:31" ht="15.4" thickBot="1" x14ac:dyDescent="0.6">
      <c r="E83" s="671" t="s">
        <v>317</v>
      </c>
      <c r="F83" s="672"/>
      <c r="G83" s="672"/>
      <c r="H83" s="672"/>
      <c r="I83" s="672"/>
      <c r="J83" s="672"/>
      <c r="K83" s="672"/>
      <c r="L83" s="672"/>
      <c r="M83" s="673"/>
      <c r="N83" s="143">
        <f>SUM(N42:N82)</f>
        <v>19.25</v>
      </c>
    </row>
    <row r="86" spans="1:31" ht="15" customHeight="1" x14ac:dyDescent="0.45">
      <c r="E86" s="532" t="s">
        <v>348</v>
      </c>
      <c r="F86" s="532"/>
      <c r="G86" s="532"/>
      <c r="H86" s="532"/>
      <c r="I86" s="532"/>
      <c r="J86" s="532"/>
      <c r="K86" s="532"/>
      <c r="L86" s="532"/>
      <c r="M86" s="532"/>
      <c r="N86" s="5"/>
      <c r="O86" s="5"/>
      <c r="P86" s="5"/>
      <c r="Q86" s="5"/>
      <c r="R86" s="5"/>
      <c r="S86" s="6"/>
      <c r="T86" s="6"/>
      <c r="U86" s="6"/>
      <c r="V86" s="6"/>
      <c r="W86" s="6"/>
      <c r="X86" s="6"/>
      <c r="Y86" s="6"/>
      <c r="Z86" s="6"/>
      <c r="AA86" s="6"/>
    </row>
    <row r="87" spans="1:31" s="8" customFormat="1" ht="15" customHeight="1" thickBot="1" x14ac:dyDescent="0.5">
      <c r="A87" s="7"/>
      <c r="B87" s="7"/>
      <c r="C87" s="7"/>
      <c r="E87" s="533"/>
      <c r="F87" s="533"/>
      <c r="G87" s="533"/>
      <c r="H87" s="533"/>
      <c r="I87" s="533"/>
      <c r="J87" s="533"/>
      <c r="K87" s="533"/>
      <c r="L87" s="533"/>
      <c r="M87" s="533"/>
      <c r="N87" s="9"/>
      <c r="O87" s="9"/>
      <c r="P87" s="9"/>
      <c r="Q87" s="9"/>
      <c r="R87" s="9"/>
      <c r="S87" s="10"/>
      <c r="T87" s="10"/>
      <c r="U87" s="10"/>
      <c r="V87" s="10"/>
      <c r="W87" s="10"/>
      <c r="X87" s="10"/>
      <c r="Y87" s="10"/>
      <c r="Z87" s="10"/>
      <c r="AA87" s="10"/>
    </row>
    <row r="88" spans="1:31" ht="14.65" thickBot="1" x14ac:dyDescent="0.5"/>
    <row r="89" spans="1:31" ht="14.65" thickBot="1" x14ac:dyDescent="0.5">
      <c r="E89" s="620" t="s">
        <v>350</v>
      </c>
      <c r="F89" s="621"/>
      <c r="G89" s="621"/>
      <c r="H89" s="621"/>
      <c r="I89" s="621"/>
      <c r="J89" s="621"/>
      <c r="K89" s="621"/>
      <c r="L89" s="621"/>
      <c r="M89" s="621"/>
      <c r="N89" s="621"/>
      <c r="O89" s="621"/>
      <c r="P89" s="621"/>
      <c r="Q89" s="621"/>
      <c r="R89" s="621"/>
      <c r="S89" s="621"/>
      <c r="T89" s="621"/>
      <c r="U89" s="621"/>
      <c r="V89" s="621"/>
      <c r="W89" s="621"/>
      <c r="X89" s="621"/>
      <c r="Y89" s="622"/>
      <c r="AA89" s="629" t="s">
        <v>353</v>
      </c>
      <c r="AB89" s="630"/>
      <c r="AC89" s="630"/>
      <c r="AD89" s="630"/>
      <c r="AE89" s="631"/>
    </row>
    <row r="90" spans="1:31" x14ac:dyDescent="0.45">
      <c r="E90" s="615" t="s">
        <v>146</v>
      </c>
      <c r="F90" s="350"/>
      <c r="G90" s="350" t="s">
        <v>349</v>
      </c>
      <c r="H90" s="350"/>
      <c r="I90" s="350" t="s">
        <v>345</v>
      </c>
      <c r="J90" s="350"/>
      <c r="K90" s="133" t="s">
        <v>148</v>
      </c>
      <c r="L90" s="350" t="s">
        <v>166</v>
      </c>
      <c r="M90" s="350"/>
      <c r="N90" s="350"/>
      <c r="O90" s="350"/>
      <c r="P90" s="350"/>
      <c r="Q90" s="350"/>
      <c r="R90" s="350"/>
      <c r="S90" s="350" t="s">
        <v>352</v>
      </c>
      <c r="T90" s="350"/>
      <c r="U90" s="350"/>
      <c r="V90" s="350"/>
      <c r="W90" s="350"/>
      <c r="X90" s="350"/>
      <c r="Y90" s="614"/>
      <c r="AA90" s="685" t="s">
        <v>147</v>
      </c>
      <c r="AB90" s="686"/>
      <c r="AC90" s="686"/>
      <c r="AD90" s="686"/>
      <c r="AE90" s="684" t="s">
        <v>324</v>
      </c>
    </row>
    <row r="91" spans="1:31" ht="15" x14ac:dyDescent="0.45">
      <c r="E91" s="680">
        <v>44631</v>
      </c>
      <c r="F91" s="681"/>
      <c r="G91" s="555" t="s">
        <v>23</v>
      </c>
      <c r="H91" s="555"/>
      <c r="I91" s="555" t="s">
        <v>167</v>
      </c>
      <c r="J91" s="555"/>
      <c r="K91" s="149">
        <v>0.3</v>
      </c>
      <c r="L91" s="619" t="s">
        <v>168</v>
      </c>
      <c r="M91" s="619"/>
      <c r="N91" s="619"/>
      <c r="O91" s="619"/>
      <c r="P91" s="619"/>
      <c r="Q91" s="619"/>
      <c r="R91" s="619"/>
      <c r="S91" s="555" t="s">
        <v>432</v>
      </c>
      <c r="T91" s="555"/>
      <c r="U91" s="555"/>
      <c r="V91" s="555"/>
      <c r="W91" s="555"/>
      <c r="X91" s="555"/>
      <c r="Y91" s="556"/>
      <c r="AA91" s="685"/>
      <c r="AB91" s="686"/>
      <c r="AC91" s="686"/>
      <c r="AD91" s="686"/>
      <c r="AE91" s="684"/>
    </row>
    <row r="92" spans="1:31" ht="15" x14ac:dyDescent="0.45">
      <c r="E92" s="680">
        <v>44632</v>
      </c>
      <c r="F92" s="681"/>
      <c r="G92" s="557" t="s">
        <v>24</v>
      </c>
      <c r="H92" s="557"/>
      <c r="I92" s="557" t="s">
        <v>329</v>
      </c>
      <c r="J92" s="557"/>
      <c r="K92" s="150">
        <v>0.5</v>
      </c>
      <c r="L92" s="606" t="s">
        <v>168</v>
      </c>
      <c r="M92" s="606"/>
      <c r="N92" s="606"/>
      <c r="O92" s="606"/>
      <c r="P92" s="606"/>
      <c r="Q92" s="606"/>
      <c r="R92" s="606"/>
      <c r="S92" s="555" t="s">
        <v>432</v>
      </c>
      <c r="T92" s="555"/>
      <c r="U92" s="555"/>
      <c r="V92" s="555"/>
      <c r="W92" s="555"/>
      <c r="X92" s="555"/>
      <c r="Y92" s="556"/>
      <c r="AA92" s="682" t="str">
        <f>'Từ khóa'!S12:S12</f>
        <v>Mua sách</v>
      </c>
      <c r="AB92" s="683"/>
      <c r="AC92" s="683"/>
      <c r="AD92" s="683"/>
      <c r="AE92" s="145">
        <f ca="1">SUMIF($G$91:$H$105,AA92,$K$91:$K$105)</f>
        <v>0.3</v>
      </c>
    </row>
    <row r="93" spans="1:31" ht="15" x14ac:dyDescent="0.45">
      <c r="E93" s="680">
        <v>44640</v>
      </c>
      <c r="F93" s="681"/>
      <c r="G93" s="557" t="s">
        <v>24</v>
      </c>
      <c r="H93" s="557"/>
      <c r="I93" s="557" t="s">
        <v>380</v>
      </c>
      <c r="J93" s="557"/>
      <c r="K93" s="150">
        <v>0.7</v>
      </c>
      <c r="L93" s="606" t="s">
        <v>381</v>
      </c>
      <c r="M93" s="606"/>
      <c r="N93" s="606"/>
      <c r="O93" s="606"/>
      <c r="P93" s="606"/>
      <c r="Q93" s="606"/>
      <c r="R93" s="606"/>
      <c r="S93" s="555" t="s">
        <v>432</v>
      </c>
      <c r="T93" s="555"/>
      <c r="U93" s="555"/>
      <c r="V93" s="555"/>
      <c r="W93" s="555"/>
      <c r="X93" s="555"/>
      <c r="Y93" s="556"/>
      <c r="AA93" s="678" t="str">
        <f>'Từ khóa'!S13:S13</f>
        <v>Khóa học ngắn hạn</v>
      </c>
      <c r="AB93" s="679"/>
      <c r="AC93" s="679"/>
      <c r="AD93" s="679"/>
      <c r="AE93" s="146">
        <f t="shared" ref="AE93:AE101" ca="1" si="6">SUMIF($G$91:$H$105,AA93,$K$91:$K$105)</f>
        <v>1.2</v>
      </c>
    </row>
    <row r="94" spans="1:31" ht="15" x14ac:dyDescent="0.45">
      <c r="E94" s="680"/>
      <c r="F94" s="681"/>
      <c r="G94" s="557"/>
      <c r="H94" s="557"/>
      <c r="I94" s="557"/>
      <c r="J94" s="557"/>
      <c r="K94" s="150"/>
      <c r="L94" s="606"/>
      <c r="M94" s="606"/>
      <c r="N94" s="606"/>
      <c r="O94" s="606"/>
      <c r="P94" s="606"/>
      <c r="Q94" s="606"/>
      <c r="R94" s="606"/>
      <c r="S94" s="557"/>
      <c r="T94" s="557"/>
      <c r="U94" s="557"/>
      <c r="V94" s="557"/>
      <c r="W94" s="557"/>
      <c r="X94" s="557"/>
      <c r="Y94" s="558"/>
      <c r="AA94" s="678" t="str">
        <f>'Từ khóa'!S14:S14</f>
        <v>Khóa học dài hạn</v>
      </c>
      <c r="AB94" s="679"/>
      <c r="AC94" s="679"/>
      <c r="AD94" s="679"/>
      <c r="AE94" s="146">
        <f t="shared" ca="1" si="6"/>
        <v>0</v>
      </c>
    </row>
    <row r="95" spans="1:31" x14ac:dyDescent="0.45">
      <c r="E95" s="604"/>
      <c r="F95" s="605"/>
      <c r="G95" s="557"/>
      <c r="H95" s="557"/>
      <c r="I95" s="557"/>
      <c r="J95" s="557"/>
      <c r="K95" s="150"/>
      <c r="L95" s="606"/>
      <c r="M95" s="606"/>
      <c r="N95" s="606"/>
      <c r="O95" s="606"/>
      <c r="P95" s="606"/>
      <c r="Q95" s="606"/>
      <c r="R95" s="606"/>
      <c r="S95" s="557"/>
      <c r="T95" s="557"/>
      <c r="U95" s="557"/>
      <c r="V95" s="557"/>
      <c r="W95" s="557"/>
      <c r="X95" s="557"/>
      <c r="Y95" s="558"/>
      <c r="AA95" s="678" t="e">
        <f>'Từ khóa'!#REF!</f>
        <v>#REF!</v>
      </c>
      <c r="AB95" s="679"/>
      <c r="AC95" s="679"/>
      <c r="AD95" s="679"/>
      <c r="AE95" s="146">
        <f t="shared" ca="1" si="6"/>
        <v>0</v>
      </c>
    </row>
    <row r="96" spans="1:31" x14ac:dyDescent="0.45">
      <c r="E96" s="604"/>
      <c r="F96" s="605"/>
      <c r="G96" s="557"/>
      <c r="H96" s="557"/>
      <c r="I96" s="557"/>
      <c r="J96" s="557"/>
      <c r="K96" s="150"/>
      <c r="L96" s="606"/>
      <c r="M96" s="606"/>
      <c r="N96" s="606"/>
      <c r="O96" s="606"/>
      <c r="P96" s="606"/>
      <c r="Q96" s="606"/>
      <c r="R96" s="606"/>
      <c r="S96" s="557"/>
      <c r="T96" s="557"/>
      <c r="U96" s="557"/>
      <c r="V96" s="557"/>
      <c r="W96" s="557"/>
      <c r="X96" s="557"/>
      <c r="Y96" s="558"/>
      <c r="AA96" s="678" t="str">
        <f>'Từ khóa'!S15:S15</f>
        <v>Tham gia các buổi diễn thuyết</v>
      </c>
      <c r="AB96" s="679"/>
      <c r="AC96" s="679"/>
      <c r="AD96" s="679"/>
      <c r="AE96" s="146">
        <f t="shared" ca="1" si="6"/>
        <v>0</v>
      </c>
    </row>
    <row r="97" spans="5:31" x14ac:dyDescent="0.45">
      <c r="E97" s="604"/>
      <c r="F97" s="605"/>
      <c r="G97" s="557"/>
      <c r="H97" s="557"/>
      <c r="I97" s="557"/>
      <c r="J97" s="557"/>
      <c r="K97" s="150"/>
      <c r="L97" s="606"/>
      <c r="M97" s="606"/>
      <c r="N97" s="606"/>
      <c r="O97" s="606"/>
      <c r="P97" s="606"/>
      <c r="Q97" s="606"/>
      <c r="R97" s="606"/>
      <c r="S97" s="557"/>
      <c r="T97" s="557"/>
      <c r="U97" s="557"/>
      <c r="V97" s="557"/>
      <c r="W97" s="557"/>
      <c r="X97" s="557"/>
      <c r="Y97" s="558"/>
      <c r="AA97" s="678" t="str">
        <f>'Từ khóa'!S16:S16</f>
        <v>Chi phát triển bản thân khác</v>
      </c>
      <c r="AB97" s="679"/>
      <c r="AC97" s="679"/>
      <c r="AD97" s="679"/>
      <c r="AE97" s="146">
        <f t="shared" ca="1" si="6"/>
        <v>0</v>
      </c>
    </row>
    <row r="98" spans="5:31" x14ac:dyDescent="0.45">
      <c r="E98" s="604"/>
      <c r="F98" s="605"/>
      <c r="G98" s="557"/>
      <c r="H98" s="557"/>
      <c r="I98" s="557"/>
      <c r="J98" s="557"/>
      <c r="K98" s="150"/>
      <c r="L98" s="606"/>
      <c r="M98" s="606"/>
      <c r="N98" s="606"/>
      <c r="O98" s="606"/>
      <c r="P98" s="606"/>
      <c r="Q98" s="606"/>
      <c r="R98" s="606"/>
      <c r="S98" s="557"/>
      <c r="T98" s="557"/>
      <c r="U98" s="557"/>
      <c r="V98" s="557"/>
      <c r="W98" s="557"/>
      <c r="X98" s="557"/>
      <c r="Y98" s="558"/>
      <c r="AA98" s="678">
        <f>'Từ khóa'!S18:S18</f>
        <v>0</v>
      </c>
      <c r="AB98" s="679"/>
      <c r="AC98" s="679"/>
      <c r="AD98" s="679"/>
      <c r="AE98" s="146">
        <f t="shared" ca="1" si="6"/>
        <v>0</v>
      </c>
    </row>
    <row r="99" spans="5:31" x14ac:dyDescent="0.45">
      <c r="E99" s="604"/>
      <c r="F99" s="605"/>
      <c r="G99" s="557"/>
      <c r="H99" s="557"/>
      <c r="I99" s="557"/>
      <c r="J99" s="557"/>
      <c r="K99" s="150"/>
      <c r="L99" s="606"/>
      <c r="M99" s="606"/>
      <c r="N99" s="606"/>
      <c r="O99" s="606"/>
      <c r="P99" s="606"/>
      <c r="Q99" s="606"/>
      <c r="R99" s="606"/>
      <c r="S99" s="557"/>
      <c r="T99" s="557"/>
      <c r="U99" s="557"/>
      <c r="V99" s="557"/>
      <c r="W99" s="557"/>
      <c r="X99" s="557"/>
      <c r="Y99" s="558"/>
      <c r="AA99" s="678">
        <f>'Từ khóa'!S19:S19</f>
        <v>0</v>
      </c>
      <c r="AB99" s="679"/>
      <c r="AC99" s="679"/>
      <c r="AD99" s="679"/>
      <c r="AE99" s="146">
        <f t="shared" ca="1" si="6"/>
        <v>0</v>
      </c>
    </row>
    <row r="100" spans="5:31" x14ac:dyDescent="0.45">
      <c r="E100" s="604"/>
      <c r="F100" s="605"/>
      <c r="G100" s="557"/>
      <c r="H100" s="557"/>
      <c r="I100" s="557"/>
      <c r="J100" s="557"/>
      <c r="K100" s="150"/>
      <c r="L100" s="606"/>
      <c r="M100" s="606"/>
      <c r="N100" s="606"/>
      <c r="O100" s="606"/>
      <c r="P100" s="606"/>
      <c r="Q100" s="606"/>
      <c r="R100" s="606"/>
      <c r="S100" s="557"/>
      <c r="T100" s="557"/>
      <c r="U100" s="557"/>
      <c r="V100" s="557"/>
      <c r="W100" s="557"/>
      <c r="X100" s="557"/>
      <c r="Y100" s="558"/>
      <c r="AA100" s="678">
        <f>'Từ khóa'!S20:S20</f>
        <v>0</v>
      </c>
      <c r="AB100" s="679"/>
      <c r="AC100" s="679"/>
      <c r="AD100" s="679"/>
      <c r="AE100" s="146">
        <f t="shared" ca="1" si="6"/>
        <v>0</v>
      </c>
    </row>
    <row r="101" spans="5:31" ht="14.65" thickBot="1" x14ac:dyDescent="0.5">
      <c r="E101" s="604"/>
      <c r="F101" s="605"/>
      <c r="G101" s="557"/>
      <c r="H101" s="557"/>
      <c r="I101" s="557"/>
      <c r="J101" s="557"/>
      <c r="K101" s="150"/>
      <c r="L101" s="606"/>
      <c r="M101" s="606"/>
      <c r="N101" s="606"/>
      <c r="O101" s="606"/>
      <c r="P101" s="606"/>
      <c r="Q101" s="606"/>
      <c r="R101" s="606"/>
      <c r="S101" s="557"/>
      <c r="T101" s="557"/>
      <c r="U101" s="557"/>
      <c r="V101" s="557"/>
      <c r="W101" s="557"/>
      <c r="X101" s="557"/>
      <c r="Y101" s="558"/>
      <c r="AA101" s="676">
        <f>'Từ khóa'!S21:S21</f>
        <v>0</v>
      </c>
      <c r="AB101" s="677"/>
      <c r="AC101" s="677"/>
      <c r="AD101" s="677"/>
      <c r="AE101" s="147">
        <f t="shared" ca="1" si="6"/>
        <v>0</v>
      </c>
    </row>
    <row r="102" spans="5:31" ht="14.65" thickBot="1" x14ac:dyDescent="0.5">
      <c r="E102" s="604"/>
      <c r="F102" s="605"/>
      <c r="G102" s="557"/>
      <c r="H102" s="557"/>
      <c r="I102" s="557"/>
      <c r="J102" s="557"/>
      <c r="K102" s="150"/>
      <c r="L102" s="606"/>
      <c r="M102" s="606"/>
      <c r="N102" s="606"/>
      <c r="O102" s="606"/>
      <c r="P102" s="606"/>
      <c r="Q102" s="606"/>
      <c r="R102" s="606"/>
      <c r="S102" s="557"/>
      <c r="T102" s="557"/>
      <c r="U102" s="557"/>
      <c r="V102" s="557"/>
      <c r="W102" s="557"/>
      <c r="X102" s="557"/>
      <c r="Y102" s="558"/>
      <c r="AA102" s="709" t="s">
        <v>351</v>
      </c>
      <c r="AB102" s="710"/>
      <c r="AC102" s="710"/>
      <c r="AD102" s="710"/>
      <c r="AE102" s="262">
        <f ca="1">SUM(AE92:AE101)</f>
        <v>1.5</v>
      </c>
    </row>
    <row r="103" spans="5:31" x14ac:dyDescent="0.45">
      <c r="E103" s="604"/>
      <c r="F103" s="605"/>
      <c r="G103" s="557"/>
      <c r="H103" s="557"/>
      <c r="I103" s="557"/>
      <c r="J103" s="557"/>
      <c r="K103" s="150"/>
      <c r="L103" s="606"/>
      <c r="M103" s="606"/>
      <c r="N103" s="606"/>
      <c r="O103" s="606"/>
      <c r="P103" s="606"/>
      <c r="Q103" s="606"/>
      <c r="R103" s="606"/>
      <c r="S103" s="557"/>
      <c r="T103" s="557"/>
      <c r="U103" s="557"/>
      <c r="V103" s="557"/>
      <c r="W103" s="557"/>
      <c r="X103" s="557"/>
      <c r="Y103" s="558"/>
      <c r="AA103" s="600"/>
      <c r="AB103" s="600"/>
      <c r="AC103" s="600"/>
      <c r="AD103" s="600"/>
    </row>
    <row r="104" spans="5:31" x14ac:dyDescent="0.45">
      <c r="E104" s="604"/>
      <c r="F104" s="605"/>
      <c r="G104" s="557"/>
      <c r="H104" s="557"/>
      <c r="I104" s="557"/>
      <c r="J104" s="557"/>
      <c r="K104" s="150"/>
      <c r="L104" s="606"/>
      <c r="M104" s="606"/>
      <c r="N104" s="606"/>
      <c r="O104" s="606"/>
      <c r="P104" s="606"/>
      <c r="Q104" s="606"/>
      <c r="R104" s="606"/>
      <c r="S104" s="557"/>
      <c r="T104" s="557"/>
      <c r="U104" s="557"/>
      <c r="V104" s="557"/>
      <c r="W104" s="557"/>
      <c r="X104" s="557"/>
      <c r="Y104" s="558"/>
      <c r="AA104" s="600"/>
      <c r="AB104" s="600"/>
      <c r="AC104" s="600"/>
      <c r="AD104" s="600"/>
    </row>
    <row r="105" spans="5:31" ht="14.65" thickBot="1" x14ac:dyDescent="0.5">
      <c r="E105" s="607"/>
      <c r="F105" s="608"/>
      <c r="G105" s="546"/>
      <c r="H105" s="546"/>
      <c r="I105" s="546"/>
      <c r="J105" s="546"/>
      <c r="K105" s="151"/>
      <c r="L105" s="609"/>
      <c r="M105" s="609"/>
      <c r="N105" s="609"/>
      <c r="O105" s="609"/>
      <c r="P105" s="609"/>
      <c r="Q105" s="609"/>
      <c r="R105" s="609"/>
      <c r="S105" s="546"/>
      <c r="T105" s="546"/>
      <c r="U105" s="546"/>
      <c r="V105" s="546"/>
      <c r="W105" s="546"/>
      <c r="X105" s="546"/>
      <c r="Y105" s="547"/>
      <c r="AA105" s="600"/>
      <c r="AB105" s="600"/>
      <c r="AC105" s="600"/>
      <c r="AD105" s="600"/>
    </row>
    <row r="106" spans="5:31" ht="14.65" thickBot="1" x14ac:dyDescent="0.5">
      <c r="E106" s="601" t="s">
        <v>351</v>
      </c>
      <c r="F106" s="602"/>
      <c r="G106" s="602"/>
      <c r="H106" s="602"/>
      <c r="I106" s="602"/>
      <c r="J106" s="602"/>
      <c r="K106" s="603">
        <f>SUM(K91:K105)</f>
        <v>1.5</v>
      </c>
      <c r="L106" s="603"/>
      <c r="M106" s="603"/>
      <c r="N106" s="603"/>
      <c r="O106" s="603"/>
      <c r="P106" s="603"/>
      <c r="Q106" s="603"/>
      <c r="R106" s="603"/>
      <c r="S106" s="141"/>
      <c r="T106" s="141"/>
      <c r="U106" s="141"/>
      <c r="V106" s="141"/>
      <c r="W106" s="141"/>
      <c r="X106" s="141"/>
      <c r="Y106" s="142"/>
    </row>
  </sheetData>
  <sheetProtection algorithmName="SHA-512" hashValue="5JM88QgyIbHMkV6OiMDuOWbhU7gCynN6qlA5TFGw65M3OJUMCrrZ3CInlXZXTn1R8CFVNOE/mhZ9OgzJhmmAxQ==" saltValue="J3p8ukeznzcq8EELtgIDdw==" spinCount="100000" sheet="1" formatCells="0" formatColumns="0" formatRows="0" insertColumns="0" insertRows="0" insertHyperlinks="0" deleteColumns="0" deleteRows="0" sort="0" autoFilter="0" pivotTables="0"/>
  <mergeCells count="423">
    <mergeCell ref="E1:K3"/>
    <mergeCell ref="E6:M7"/>
    <mergeCell ref="E9:H12"/>
    <mergeCell ref="I9:I12"/>
    <mergeCell ref="E14:H17"/>
    <mergeCell ref="I14:I17"/>
    <mergeCell ref="E19:H22"/>
    <mergeCell ref="I19:I22"/>
    <mergeCell ref="E25:N25"/>
    <mergeCell ref="P25:AK25"/>
    <mergeCell ref="E26:F26"/>
    <mergeCell ref="G26:J26"/>
    <mergeCell ref="K26:M26"/>
    <mergeCell ref="P26:S26"/>
    <mergeCell ref="T26:U26"/>
    <mergeCell ref="V26:W26"/>
    <mergeCell ref="X26:Y26"/>
    <mergeCell ref="Z26:AE26"/>
    <mergeCell ref="AF26:AK26"/>
    <mergeCell ref="E27:F27"/>
    <mergeCell ref="G27:J27"/>
    <mergeCell ref="K27:M27"/>
    <mergeCell ref="P27:S27"/>
    <mergeCell ref="T27:U27"/>
    <mergeCell ref="X27:Y27"/>
    <mergeCell ref="Z27:AE27"/>
    <mergeCell ref="AF27:AK27"/>
    <mergeCell ref="E28:F28"/>
    <mergeCell ref="G28:J28"/>
    <mergeCell ref="K28:M28"/>
    <mergeCell ref="P28:S28"/>
    <mergeCell ref="T28:U28"/>
    <mergeCell ref="X28:Y28"/>
    <mergeCell ref="Z28:AE28"/>
    <mergeCell ref="AF28:AK28"/>
    <mergeCell ref="Z29:AE29"/>
    <mergeCell ref="AF29:AK29"/>
    <mergeCell ref="E30:F30"/>
    <mergeCell ref="G30:J30"/>
    <mergeCell ref="K30:M30"/>
    <mergeCell ref="P30:S30"/>
    <mergeCell ref="T30:U30"/>
    <mergeCell ref="X30:Y30"/>
    <mergeCell ref="Z30:AE30"/>
    <mergeCell ref="AF30:AK30"/>
    <mergeCell ref="E29:F29"/>
    <mergeCell ref="G29:J29"/>
    <mergeCell ref="K29:M29"/>
    <mergeCell ref="P29:S29"/>
    <mergeCell ref="T29:U29"/>
    <mergeCell ref="X29:Y29"/>
    <mergeCell ref="Z31:AE31"/>
    <mergeCell ref="AF31:AK31"/>
    <mergeCell ref="E32:F32"/>
    <mergeCell ref="G32:J32"/>
    <mergeCell ref="K32:M32"/>
    <mergeCell ref="P32:S32"/>
    <mergeCell ref="T32:U32"/>
    <mergeCell ref="X32:Y32"/>
    <mergeCell ref="Z32:AE32"/>
    <mergeCell ref="AF32:AK32"/>
    <mergeCell ref="E31:F31"/>
    <mergeCell ref="G31:J31"/>
    <mergeCell ref="K31:M31"/>
    <mergeCell ref="P31:S31"/>
    <mergeCell ref="T31:U31"/>
    <mergeCell ref="X31:Y31"/>
    <mergeCell ref="Z33:AE33"/>
    <mergeCell ref="AF33:AK33"/>
    <mergeCell ref="E34:F34"/>
    <mergeCell ref="G34:J34"/>
    <mergeCell ref="K34:M34"/>
    <mergeCell ref="P34:S34"/>
    <mergeCell ref="T34:U34"/>
    <mergeCell ref="X34:Y34"/>
    <mergeCell ref="Z34:AE34"/>
    <mergeCell ref="AF34:AK34"/>
    <mergeCell ref="E33:F33"/>
    <mergeCell ref="G33:J33"/>
    <mergeCell ref="K33:M33"/>
    <mergeCell ref="P33:S33"/>
    <mergeCell ref="T33:U33"/>
    <mergeCell ref="X33:Y33"/>
    <mergeCell ref="Z35:AE35"/>
    <mergeCell ref="AF35:AK35"/>
    <mergeCell ref="E36:F36"/>
    <mergeCell ref="G36:J36"/>
    <mergeCell ref="K36:M36"/>
    <mergeCell ref="P36:S36"/>
    <mergeCell ref="T36:U36"/>
    <mergeCell ref="X36:Y36"/>
    <mergeCell ref="Z36:AE36"/>
    <mergeCell ref="AF36:AK36"/>
    <mergeCell ref="E35:F35"/>
    <mergeCell ref="G35:J35"/>
    <mergeCell ref="K35:M35"/>
    <mergeCell ref="P35:S35"/>
    <mergeCell ref="T35:U35"/>
    <mergeCell ref="X35:Y35"/>
    <mergeCell ref="AF37:AK37"/>
    <mergeCell ref="E40:N40"/>
    <mergeCell ref="P40:AK40"/>
    <mergeCell ref="E41:F41"/>
    <mergeCell ref="G41:J41"/>
    <mergeCell ref="K41:M41"/>
    <mergeCell ref="P41:S41"/>
    <mergeCell ref="T41:U41"/>
    <mergeCell ref="V41:W41"/>
    <mergeCell ref="X41:Y41"/>
    <mergeCell ref="E37:M37"/>
    <mergeCell ref="P37:S37"/>
    <mergeCell ref="T37:U37"/>
    <mergeCell ref="V37:W37"/>
    <mergeCell ref="X37:Y37"/>
    <mergeCell ref="Z37:AE37"/>
    <mergeCell ref="Z41:AE41"/>
    <mergeCell ref="AF41:AK41"/>
    <mergeCell ref="E42:F42"/>
    <mergeCell ref="G42:J42"/>
    <mergeCell ref="K42:M42"/>
    <mergeCell ref="P42:S42"/>
    <mergeCell ref="T42:U42"/>
    <mergeCell ref="X42:Y42"/>
    <mergeCell ref="Z42:AE42"/>
    <mergeCell ref="AF42:AK42"/>
    <mergeCell ref="Z43:AE43"/>
    <mergeCell ref="AF43:AK43"/>
    <mergeCell ref="E44:F44"/>
    <mergeCell ref="G44:J44"/>
    <mergeCell ref="K44:M44"/>
    <mergeCell ref="P44:S44"/>
    <mergeCell ref="T44:U44"/>
    <mergeCell ref="X44:Y44"/>
    <mergeCell ref="Z44:AE44"/>
    <mergeCell ref="AF44:AK44"/>
    <mergeCell ref="E43:F43"/>
    <mergeCell ref="G43:J43"/>
    <mergeCell ref="K43:M43"/>
    <mergeCell ref="P43:S43"/>
    <mergeCell ref="T43:U43"/>
    <mergeCell ref="X43:Y43"/>
    <mergeCell ref="Z45:AE45"/>
    <mergeCell ref="AF45:AK45"/>
    <mergeCell ref="E46:F46"/>
    <mergeCell ref="G46:J46"/>
    <mergeCell ref="K46:M46"/>
    <mergeCell ref="P46:S46"/>
    <mergeCell ref="T46:U46"/>
    <mergeCell ref="X46:Y46"/>
    <mergeCell ref="Z46:AE46"/>
    <mergeCell ref="AF46:AK46"/>
    <mergeCell ref="E45:F45"/>
    <mergeCell ref="G45:J45"/>
    <mergeCell ref="K45:M45"/>
    <mergeCell ref="P45:S45"/>
    <mergeCell ref="T45:U45"/>
    <mergeCell ref="X45:Y45"/>
    <mergeCell ref="Z47:AE47"/>
    <mergeCell ref="AF47:AK47"/>
    <mergeCell ref="E48:F48"/>
    <mergeCell ref="G48:J48"/>
    <mergeCell ref="K48:M48"/>
    <mergeCell ref="P48:S48"/>
    <mergeCell ref="T48:U48"/>
    <mergeCell ref="X48:Y48"/>
    <mergeCell ref="Z48:AE48"/>
    <mergeCell ref="AF48:AK48"/>
    <mergeCell ref="E47:F47"/>
    <mergeCell ref="G47:J47"/>
    <mergeCell ref="K47:M47"/>
    <mergeCell ref="P47:S47"/>
    <mergeCell ref="T47:U47"/>
    <mergeCell ref="X47:Y47"/>
    <mergeCell ref="Z49:AE49"/>
    <mergeCell ref="AF49:AK49"/>
    <mergeCell ref="E50:F50"/>
    <mergeCell ref="G50:J50"/>
    <mergeCell ref="K50:M50"/>
    <mergeCell ref="P50:S50"/>
    <mergeCell ref="T50:U50"/>
    <mergeCell ref="X50:Y50"/>
    <mergeCell ref="Z50:AE50"/>
    <mergeCell ref="AF50:AK50"/>
    <mergeCell ref="E49:F49"/>
    <mergeCell ref="G49:J49"/>
    <mergeCell ref="K49:M49"/>
    <mergeCell ref="P49:S49"/>
    <mergeCell ref="T49:U49"/>
    <mergeCell ref="X49:Y49"/>
    <mergeCell ref="Z51:AE51"/>
    <mergeCell ref="AF51:AK51"/>
    <mergeCell ref="E52:F52"/>
    <mergeCell ref="G52:J52"/>
    <mergeCell ref="K52:M52"/>
    <mergeCell ref="P52:S52"/>
    <mergeCell ref="T52:U52"/>
    <mergeCell ref="X52:Y52"/>
    <mergeCell ref="Z52:AE52"/>
    <mergeCell ref="AF52:AK52"/>
    <mergeCell ref="E51:F51"/>
    <mergeCell ref="G51:J51"/>
    <mergeCell ref="K51:M51"/>
    <mergeCell ref="P51:S51"/>
    <mergeCell ref="T51:U51"/>
    <mergeCell ref="X51:Y51"/>
    <mergeCell ref="Z53:AE53"/>
    <mergeCell ref="AF53:AK53"/>
    <mergeCell ref="E54:F54"/>
    <mergeCell ref="G54:J54"/>
    <mergeCell ref="K54:M54"/>
    <mergeCell ref="P54:S54"/>
    <mergeCell ref="T54:U54"/>
    <mergeCell ref="X54:Y54"/>
    <mergeCell ref="Z54:AE54"/>
    <mergeCell ref="AF54:AK54"/>
    <mergeCell ref="E53:F53"/>
    <mergeCell ref="G53:J53"/>
    <mergeCell ref="K53:M53"/>
    <mergeCell ref="P53:S53"/>
    <mergeCell ref="T53:U53"/>
    <mergeCell ref="X53:Y53"/>
    <mergeCell ref="Z55:AE55"/>
    <mergeCell ref="AF55:AK55"/>
    <mergeCell ref="E56:F56"/>
    <mergeCell ref="G56:J56"/>
    <mergeCell ref="K56:M56"/>
    <mergeCell ref="P56:S56"/>
    <mergeCell ref="T56:U56"/>
    <mergeCell ref="X56:Y56"/>
    <mergeCell ref="Z56:AE56"/>
    <mergeCell ref="AF56:AK56"/>
    <mergeCell ref="E55:F55"/>
    <mergeCell ref="G55:J55"/>
    <mergeCell ref="K55:M55"/>
    <mergeCell ref="P55:S55"/>
    <mergeCell ref="T55:U55"/>
    <mergeCell ref="X55:Y55"/>
    <mergeCell ref="X57:Y57"/>
    <mergeCell ref="Z57:AE57"/>
    <mergeCell ref="AF57:AK57"/>
    <mergeCell ref="E58:F58"/>
    <mergeCell ref="G58:J58"/>
    <mergeCell ref="K58:M58"/>
    <mergeCell ref="E57:F57"/>
    <mergeCell ref="G57:J57"/>
    <mergeCell ref="K57:M57"/>
    <mergeCell ref="P57:S57"/>
    <mergeCell ref="T57:U57"/>
    <mergeCell ref="V57:W57"/>
    <mergeCell ref="E61:F61"/>
    <mergeCell ref="G61:J61"/>
    <mergeCell ref="K61:M61"/>
    <mergeCell ref="E62:F62"/>
    <mergeCell ref="G62:J62"/>
    <mergeCell ref="K62:M62"/>
    <mergeCell ref="E59:F59"/>
    <mergeCell ref="G59:J59"/>
    <mergeCell ref="K59:M59"/>
    <mergeCell ref="E60:F60"/>
    <mergeCell ref="G60:J60"/>
    <mergeCell ref="K60:M60"/>
    <mergeCell ref="E65:F65"/>
    <mergeCell ref="G65:J65"/>
    <mergeCell ref="K65:M65"/>
    <mergeCell ref="E66:F66"/>
    <mergeCell ref="G66:J66"/>
    <mergeCell ref="K66:M66"/>
    <mergeCell ref="E63:F63"/>
    <mergeCell ref="G63:J63"/>
    <mergeCell ref="K63:M63"/>
    <mergeCell ref="E64:F64"/>
    <mergeCell ref="G64:J64"/>
    <mergeCell ref="K64:M64"/>
    <mergeCell ref="E69:F69"/>
    <mergeCell ref="G69:J69"/>
    <mergeCell ref="K69:M69"/>
    <mergeCell ref="E70:F70"/>
    <mergeCell ref="G70:J70"/>
    <mergeCell ref="K70:M70"/>
    <mergeCell ref="E67:F67"/>
    <mergeCell ref="G67:J67"/>
    <mergeCell ref="K67:M67"/>
    <mergeCell ref="E68:F68"/>
    <mergeCell ref="G68:J68"/>
    <mergeCell ref="K68:M68"/>
    <mergeCell ref="E73:F73"/>
    <mergeCell ref="G73:J73"/>
    <mergeCell ref="K73:M73"/>
    <mergeCell ref="E74:F74"/>
    <mergeCell ref="G74:J74"/>
    <mergeCell ref="K74:M74"/>
    <mergeCell ref="E71:F71"/>
    <mergeCell ref="G71:J71"/>
    <mergeCell ref="K71:M71"/>
    <mergeCell ref="E72:F72"/>
    <mergeCell ref="G72:J72"/>
    <mergeCell ref="K72:M72"/>
    <mergeCell ref="E77:F77"/>
    <mergeCell ref="G77:J77"/>
    <mergeCell ref="K77:M77"/>
    <mergeCell ref="E78:F78"/>
    <mergeCell ref="G78:J78"/>
    <mergeCell ref="K78:M78"/>
    <mergeCell ref="E75:F75"/>
    <mergeCell ref="G75:J75"/>
    <mergeCell ref="K75:M75"/>
    <mergeCell ref="E76:F76"/>
    <mergeCell ref="G76:J76"/>
    <mergeCell ref="K76:M76"/>
    <mergeCell ref="E81:F81"/>
    <mergeCell ref="G81:J81"/>
    <mergeCell ref="K81:M81"/>
    <mergeCell ref="E82:F82"/>
    <mergeCell ref="G82:J82"/>
    <mergeCell ref="K82:M82"/>
    <mergeCell ref="E79:F79"/>
    <mergeCell ref="G79:J79"/>
    <mergeCell ref="K79:M79"/>
    <mergeCell ref="E80:F80"/>
    <mergeCell ref="G80:J80"/>
    <mergeCell ref="K80:M80"/>
    <mergeCell ref="AE90:AE91"/>
    <mergeCell ref="E91:F91"/>
    <mergeCell ref="G91:H91"/>
    <mergeCell ref="I91:J91"/>
    <mergeCell ref="L91:R91"/>
    <mergeCell ref="S91:Y91"/>
    <mergeCell ref="E83:M83"/>
    <mergeCell ref="E86:M87"/>
    <mergeCell ref="E89:Y89"/>
    <mergeCell ref="AA89:AE89"/>
    <mergeCell ref="E90:F90"/>
    <mergeCell ref="G90:H90"/>
    <mergeCell ref="I90:J90"/>
    <mergeCell ref="L90:R90"/>
    <mergeCell ref="S90:Y90"/>
    <mergeCell ref="AA90:AD91"/>
    <mergeCell ref="E93:F93"/>
    <mergeCell ref="G93:H93"/>
    <mergeCell ref="I93:J93"/>
    <mergeCell ref="L93:R93"/>
    <mergeCell ref="S93:Y93"/>
    <mergeCell ref="AA93:AD93"/>
    <mergeCell ref="E92:F92"/>
    <mergeCell ref="G92:H92"/>
    <mergeCell ref="I92:J92"/>
    <mergeCell ref="L92:R92"/>
    <mergeCell ref="S92:Y92"/>
    <mergeCell ref="AA92:AD92"/>
    <mergeCell ref="E95:F95"/>
    <mergeCell ref="G95:H95"/>
    <mergeCell ref="I95:J95"/>
    <mergeCell ref="L95:R95"/>
    <mergeCell ref="S95:Y95"/>
    <mergeCell ref="AA95:AD95"/>
    <mergeCell ref="E94:F94"/>
    <mergeCell ref="G94:H94"/>
    <mergeCell ref="I94:J94"/>
    <mergeCell ref="L94:R94"/>
    <mergeCell ref="S94:Y94"/>
    <mergeCell ref="AA94:AD94"/>
    <mergeCell ref="E97:F97"/>
    <mergeCell ref="G97:H97"/>
    <mergeCell ref="I97:J97"/>
    <mergeCell ref="L97:R97"/>
    <mergeCell ref="S97:Y97"/>
    <mergeCell ref="AA97:AD97"/>
    <mergeCell ref="E96:F96"/>
    <mergeCell ref="G96:H96"/>
    <mergeCell ref="I96:J96"/>
    <mergeCell ref="L96:R96"/>
    <mergeCell ref="S96:Y96"/>
    <mergeCell ref="AA96:AD96"/>
    <mergeCell ref="E99:F99"/>
    <mergeCell ref="G99:H99"/>
    <mergeCell ref="I99:J99"/>
    <mergeCell ref="L99:R99"/>
    <mergeCell ref="S99:Y99"/>
    <mergeCell ref="AA99:AD99"/>
    <mergeCell ref="E98:F98"/>
    <mergeCell ref="G98:H98"/>
    <mergeCell ref="I98:J98"/>
    <mergeCell ref="L98:R98"/>
    <mergeCell ref="S98:Y98"/>
    <mergeCell ref="AA98:AD98"/>
    <mergeCell ref="E101:F101"/>
    <mergeCell ref="G101:H101"/>
    <mergeCell ref="I101:J101"/>
    <mergeCell ref="L101:R101"/>
    <mergeCell ref="S101:Y101"/>
    <mergeCell ref="AA101:AD101"/>
    <mergeCell ref="E100:F100"/>
    <mergeCell ref="G100:H100"/>
    <mergeCell ref="I100:J100"/>
    <mergeCell ref="L100:R100"/>
    <mergeCell ref="S100:Y100"/>
    <mergeCell ref="AA100:AD100"/>
    <mergeCell ref="E103:F103"/>
    <mergeCell ref="G103:H103"/>
    <mergeCell ref="I103:J103"/>
    <mergeCell ref="L103:R103"/>
    <mergeCell ref="S103:Y103"/>
    <mergeCell ref="AA103:AD103"/>
    <mergeCell ref="E102:F102"/>
    <mergeCell ref="G102:H102"/>
    <mergeCell ref="I102:J102"/>
    <mergeCell ref="L102:R102"/>
    <mergeCell ref="S102:Y102"/>
    <mergeCell ref="AA102:AD102"/>
    <mergeCell ref="E106:J106"/>
    <mergeCell ref="K106:R106"/>
    <mergeCell ref="E105:F105"/>
    <mergeCell ref="G105:H105"/>
    <mergeCell ref="I105:J105"/>
    <mergeCell ref="L105:R105"/>
    <mergeCell ref="S105:Y105"/>
    <mergeCell ref="AA105:AD105"/>
    <mergeCell ref="E104:F104"/>
    <mergeCell ref="G104:H104"/>
    <mergeCell ref="I104:J104"/>
    <mergeCell ref="L104:R104"/>
    <mergeCell ref="S104:Y104"/>
    <mergeCell ref="AA104:AD104"/>
  </mergeCells>
  <conditionalFormatting sqref="X27:Y36">
    <cfRule type="cellIs" dxfId="20" priority="2" operator="lessThan">
      <formula>0</formula>
    </cfRule>
  </conditionalFormatting>
  <conditionalFormatting sqref="X42:Y56">
    <cfRule type="cellIs" dxfId="19" priority="3" operator="lessThan">
      <formula>0</formula>
    </cfRule>
  </conditionalFormatting>
  <conditionalFormatting sqref="AE92:AE101">
    <cfRule type="dataBar" priority="1">
      <dataBar>
        <cfvo type="min"/>
        <cfvo type="max"/>
        <color theme="6" tint="0.39997558519241921"/>
      </dataBar>
      <extLst>
        <ext xmlns:x14="http://schemas.microsoft.com/office/spreadsheetml/2009/9/main" uri="{B025F937-C7B1-47D3-B67F-A62EFF666E3E}">
          <x14:id>{9B43E796-18F8-4744-87B4-BD3D3CDBEE9C}</x14:id>
        </ext>
      </extLst>
    </cfRule>
  </conditionalFormatting>
  <dataValidations count="1">
    <dataValidation allowBlank="1" showInputMessage="1" showErrorMessage="1" prompt="Nhập dữ liệu" sqref="E60:F82 E95:F105 K60:M82 K27:N36 I91:Y105 N42:N82" xr:uid="{00000000-0002-0000-0800-000000000000}"/>
  </dataValidations>
  <hyperlinks>
    <hyperlink ref="F4" location="'T3'!E7" display="Phần 1" xr:uid="{00000000-0004-0000-0800-000000000000}"/>
    <hyperlink ref="G4" location="'T3'!E87" display="Phần 2" xr:uid="{00000000-0004-0000-0800-000001000000}"/>
  </hyperlinks>
  <pageMargins left="0.7" right="0.7" top="0.75" bottom="0.75" header="0.3" footer="0.3"/>
  <pageSetup scale="31" orientation="portrait" r:id="rId1"/>
  <drawing r:id="rId2"/>
  <extLst>
    <ext xmlns:x14="http://schemas.microsoft.com/office/spreadsheetml/2009/9/main" uri="{78C0D931-6437-407d-A8EE-F0AAD7539E65}">
      <x14:conditionalFormattings>
        <x14:conditionalFormatting xmlns:xm="http://schemas.microsoft.com/office/excel/2006/main">
          <x14:cfRule type="dataBar" id="{9B43E796-18F8-4744-87B4-BD3D3CDBEE9C}">
            <x14:dataBar minLength="0" maxLength="100" gradient="0">
              <x14:cfvo type="autoMin"/>
              <x14:cfvo type="autoMax"/>
              <x14:negativeFillColor rgb="FFFF0000"/>
              <x14:axisColor rgb="FF000000"/>
            </x14:dataBar>
          </x14:cfRule>
          <xm:sqref>AE92:AE101</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prompt="Chọn dữ liệu" xr:uid="{00000000-0002-0000-0800-000001000000}">
          <x14:formula1>
            <xm:f>'Từ khóa'!$M$12:$M$19</xm:f>
          </x14:formula1>
          <xm:sqref>G27:J36</xm:sqref>
        </x14:dataValidation>
        <x14:dataValidation type="list" allowBlank="1" showInputMessage="1" showErrorMessage="1" prompt="Chọn dữ liệu" xr:uid="{00000000-0002-0000-0800-000002000000}">
          <x14:formula1>
            <xm:f>'Từ khóa'!$F$12:$F$26</xm:f>
          </x14:formula1>
          <xm:sqref>G42:J82</xm:sqref>
        </x14:dataValidation>
        <x14:dataValidation type="list" allowBlank="1" showInputMessage="1" showErrorMessage="1" prompt="Chọn dữ liệu" xr:uid="{00000000-0002-0000-0800-000003000000}">
          <x14:formula1>
            <xm:f>'Từ khóa'!$S$12:$S$21</xm:f>
          </x14:formula1>
          <xm:sqref>G91:H105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K106"/>
  <sheetViews>
    <sheetView showGridLines="0" zoomScale="80" zoomScaleNormal="80" workbookViewId="0">
      <pane xSplit="4" ySplit="4" topLeftCell="E71" activePane="bottomRight" state="frozen"/>
      <selection pane="topRight" activeCell="E1" sqref="E1"/>
      <selection pane="bottomLeft" activeCell="A5" sqref="A5"/>
      <selection pane="bottomRight" activeCell="S94" sqref="S94:Y94"/>
    </sheetView>
  </sheetViews>
  <sheetFormatPr defaultColWidth="9.19921875" defaultRowHeight="14.25" x14ac:dyDescent="0.45"/>
  <cols>
    <col min="1" max="3" width="9.19921875" style="1"/>
    <col min="4" max="5" width="9.19921875" style="4"/>
    <col min="6" max="9" width="13.19921875" style="4" customWidth="1"/>
    <col min="10" max="14" width="9.19921875" style="4"/>
    <col min="15" max="15" width="13.19921875" style="4" customWidth="1"/>
    <col min="16" max="16384" width="9.19921875" style="4"/>
  </cols>
  <sheetData>
    <row r="1" spans="1:27" s="2" customFormat="1" ht="15" customHeight="1" x14ac:dyDescent="0.45">
      <c r="A1" s="1"/>
      <c r="B1" s="1"/>
      <c r="C1" s="1"/>
      <c r="E1" s="353" t="s">
        <v>330</v>
      </c>
      <c r="F1" s="353"/>
      <c r="G1" s="353"/>
      <c r="H1" s="353"/>
      <c r="I1" s="353"/>
      <c r="J1" s="353"/>
      <c r="K1" s="353"/>
    </row>
    <row r="2" spans="1:27" s="2" customFormat="1" ht="15" customHeight="1" x14ac:dyDescent="0.45">
      <c r="A2" s="1"/>
      <c r="B2" s="1"/>
      <c r="C2" s="1"/>
      <c r="E2" s="353"/>
      <c r="F2" s="353"/>
      <c r="G2" s="353"/>
      <c r="H2" s="353"/>
      <c r="I2" s="353"/>
      <c r="J2" s="353"/>
      <c r="K2" s="353"/>
    </row>
    <row r="3" spans="1:27" s="2" customFormat="1" ht="14.65" thickBot="1" x14ac:dyDescent="0.5">
      <c r="A3" s="1"/>
      <c r="B3" s="1"/>
      <c r="C3" s="1"/>
      <c r="E3" s="353"/>
      <c r="F3" s="353"/>
      <c r="G3" s="353"/>
      <c r="H3" s="353"/>
      <c r="I3" s="353"/>
      <c r="J3" s="353"/>
      <c r="K3" s="353"/>
      <c r="L3" s="3" t="s">
        <v>45</v>
      </c>
    </row>
    <row r="4" spans="1:27" ht="14.65" thickBot="1" x14ac:dyDescent="0.5">
      <c r="F4" s="154" t="s">
        <v>132</v>
      </c>
      <c r="G4" s="154" t="s">
        <v>133</v>
      </c>
    </row>
    <row r="5" spans="1:27" ht="15" customHeight="1" x14ac:dyDescent="0.45">
      <c r="F5" s="6"/>
      <c r="G5" s="6"/>
      <c r="H5" s="6"/>
      <c r="I5" s="6"/>
      <c r="J5" s="6"/>
      <c r="K5" s="6"/>
      <c r="L5" s="6"/>
      <c r="M5" s="6"/>
      <c r="N5" s="6"/>
      <c r="O5" s="6"/>
      <c r="P5" s="6"/>
      <c r="Q5" s="6"/>
      <c r="R5" s="6"/>
      <c r="S5" s="6"/>
      <c r="T5" s="6"/>
      <c r="U5" s="6"/>
      <c r="V5" s="6"/>
      <c r="W5" s="6"/>
      <c r="X5" s="6"/>
      <c r="Y5" s="6"/>
      <c r="Z5" s="6"/>
      <c r="AA5" s="6"/>
    </row>
    <row r="6" spans="1:27" ht="15" customHeight="1" x14ac:dyDescent="0.45">
      <c r="E6" s="532" t="s">
        <v>135</v>
      </c>
      <c r="F6" s="532"/>
      <c r="G6" s="532"/>
      <c r="H6" s="532"/>
      <c r="I6" s="532"/>
      <c r="J6" s="532"/>
      <c r="K6" s="532"/>
      <c r="L6" s="532"/>
      <c r="M6" s="532"/>
      <c r="N6" s="5"/>
      <c r="O6" s="5"/>
      <c r="P6" s="5"/>
      <c r="Q6" s="5"/>
      <c r="R6" s="5"/>
      <c r="S6" s="6"/>
      <c r="T6" s="6"/>
      <c r="U6" s="6"/>
      <c r="V6" s="6"/>
      <c r="W6" s="6"/>
      <c r="X6" s="6"/>
      <c r="Y6" s="6"/>
      <c r="Z6" s="6"/>
      <c r="AA6" s="6"/>
    </row>
    <row r="7" spans="1:27" s="8" customFormat="1" ht="15" customHeight="1" thickBot="1" x14ac:dyDescent="0.5">
      <c r="A7" s="7"/>
      <c r="B7" s="7"/>
      <c r="C7" s="7"/>
      <c r="E7" s="533"/>
      <c r="F7" s="533"/>
      <c r="G7" s="533"/>
      <c r="H7" s="533"/>
      <c r="I7" s="533"/>
      <c r="J7" s="533"/>
      <c r="K7" s="533"/>
      <c r="L7" s="533"/>
      <c r="M7" s="533"/>
      <c r="N7" s="9"/>
      <c r="O7" s="9"/>
      <c r="P7" s="9"/>
      <c r="Q7" s="9"/>
      <c r="R7" s="9"/>
      <c r="S7" s="10"/>
      <c r="T7" s="10"/>
      <c r="U7" s="10"/>
      <c r="V7" s="10"/>
      <c r="W7" s="10"/>
      <c r="X7" s="10"/>
      <c r="Y7" s="10"/>
      <c r="Z7" s="10"/>
      <c r="AA7" s="10"/>
    </row>
    <row r="8" spans="1:27" ht="15" customHeight="1" x14ac:dyDescent="0.45">
      <c r="E8" s="6"/>
      <c r="F8" s="6"/>
      <c r="G8" s="6"/>
      <c r="H8" s="6"/>
      <c r="I8" s="6"/>
      <c r="J8" s="6"/>
      <c r="K8" s="6"/>
      <c r="L8" s="6"/>
      <c r="M8" s="6"/>
      <c r="N8" s="6"/>
      <c r="O8" s="6"/>
      <c r="P8" s="6"/>
      <c r="Q8" s="6"/>
      <c r="R8" s="6"/>
      <c r="S8" s="6"/>
      <c r="T8" s="6"/>
      <c r="U8" s="6"/>
      <c r="V8" s="6"/>
      <c r="W8" s="6"/>
      <c r="X8" s="6"/>
      <c r="Y8" s="6"/>
      <c r="Z8" s="6"/>
      <c r="AA8" s="6"/>
    </row>
    <row r="9" spans="1:27" ht="15" customHeight="1" x14ac:dyDescent="0.45">
      <c r="E9" s="632" t="s">
        <v>124</v>
      </c>
      <c r="F9" s="632"/>
      <c r="G9" s="632"/>
      <c r="H9" s="632"/>
      <c r="I9" s="708">
        <f>N37</f>
        <v>23.900000000000002</v>
      </c>
    </row>
    <row r="10" spans="1:27" ht="15" customHeight="1" x14ac:dyDescent="0.45">
      <c r="E10" s="632"/>
      <c r="F10" s="632"/>
      <c r="G10" s="632"/>
      <c r="H10" s="632"/>
      <c r="I10" s="708"/>
    </row>
    <row r="11" spans="1:27" ht="15" customHeight="1" x14ac:dyDescent="0.45">
      <c r="E11" s="632"/>
      <c r="F11" s="632"/>
      <c r="G11" s="632"/>
      <c r="H11" s="632"/>
      <c r="I11" s="708"/>
    </row>
    <row r="12" spans="1:27" ht="15" customHeight="1" x14ac:dyDescent="0.45">
      <c r="E12" s="632"/>
      <c r="F12" s="632"/>
      <c r="G12" s="632"/>
      <c r="H12" s="632"/>
      <c r="I12" s="708"/>
    </row>
    <row r="13" spans="1:27" x14ac:dyDescent="0.45">
      <c r="E13" s="89"/>
      <c r="F13" s="89"/>
      <c r="G13" s="89"/>
      <c r="I13" s="89"/>
    </row>
    <row r="14" spans="1:27" ht="15" customHeight="1" x14ac:dyDescent="0.45">
      <c r="E14" s="633" t="s">
        <v>136</v>
      </c>
      <c r="F14" s="633"/>
      <c r="G14" s="633"/>
      <c r="H14" s="633"/>
      <c r="I14" s="708">
        <f>N83</f>
        <v>17.25</v>
      </c>
    </row>
    <row r="15" spans="1:27" ht="15" customHeight="1" x14ac:dyDescent="0.45">
      <c r="E15" s="633"/>
      <c r="F15" s="633"/>
      <c r="G15" s="633"/>
      <c r="H15" s="633"/>
      <c r="I15" s="708"/>
    </row>
    <row r="16" spans="1:27" ht="15" customHeight="1" x14ac:dyDescent="0.45">
      <c r="E16" s="633"/>
      <c r="F16" s="633"/>
      <c r="G16" s="633"/>
      <c r="H16" s="633"/>
      <c r="I16" s="708"/>
    </row>
    <row r="17" spans="5:37" ht="15" customHeight="1" x14ac:dyDescent="0.45">
      <c r="E17" s="633"/>
      <c r="F17" s="633"/>
      <c r="G17" s="633"/>
      <c r="H17" s="633"/>
      <c r="I17" s="708"/>
    </row>
    <row r="18" spans="5:37" x14ac:dyDescent="0.45">
      <c r="E18" s="89"/>
      <c r="F18" s="89"/>
      <c r="G18" s="89"/>
      <c r="I18" s="89"/>
    </row>
    <row r="19" spans="5:37" ht="15" customHeight="1" x14ac:dyDescent="0.45">
      <c r="E19" s="634" t="s">
        <v>96</v>
      </c>
      <c r="F19" s="634"/>
      <c r="G19" s="634"/>
      <c r="H19" s="634"/>
      <c r="I19" s="708">
        <f>I9-I14</f>
        <v>6.6500000000000021</v>
      </c>
    </row>
    <row r="20" spans="5:37" ht="15" customHeight="1" x14ac:dyDescent="0.45">
      <c r="E20" s="634"/>
      <c r="F20" s="634"/>
      <c r="G20" s="634"/>
      <c r="H20" s="634"/>
      <c r="I20" s="708"/>
    </row>
    <row r="21" spans="5:37" ht="15" customHeight="1" x14ac:dyDescent="0.45">
      <c r="E21" s="634"/>
      <c r="F21" s="634"/>
      <c r="G21" s="634"/>
      <c r="H21" s="634"/>
      <c r="I21" s="708"/>
    </row>
    <row r="22" spans="5:37" ht="15" customHeight="1" x14ac:dyDescent="0.45">
      <c r="E22" s="634"/>
      <c r="F22" s="634"/>
      <c r="G22" s="634"/>
      <c r="H22" s="634"/>
      <c r="I22" s="708"/>
    </row>
    <row r="24" spans="5:37" ht="14.65" thickBot="1" x14ac:dyDescent="0.5">
      <c r="E24" s="6"/>
      <c r="F24" s="6"/>
      <c r="G24" s="6"/>
      <c r="H24" s="6"/>
    </row>
    <row r="25" spans="5:37" ht="15.75" customHeight="1" thickBot="1" x14ac:dyDescent="0.6">
      <c r="E25" s="626" t="s">
        <v>143</v>
      </c>
      <c r="F25" s="627"/>
      <c r="G25" s="627"/>
      <c r="H25" s="627"/>
      <c r="I25" s="627"/>
      <c r="J25" s="627"/>
      <c r="K25" s="627"/>
      <c r="L25" s="627"/>
      <c r="M25" s="627"/>
      <c r="N25" s="628"/>
      <c r="P25" s="626" t="s">
        <v>144</v>
      </c>
      <c r="Q25" s="627"/>
      <c r="R25" s="627"/>
      <c r="S25" s="627"/>
      <c r="T25" s="627"/>
      <c r="U25" s="627"/>
      <c r="V25" s="627"/>
      <c r="W25" s="627"/>
      <c r="X25" s="627"/>
      <c r="Y25" s="627"/>
      <c r="Z25" s="627"/>
      <c r="AA25" s="627"/>
      <c r="AB25" s="627"/>
      <c r="AC25" s="627"/>
      <c r="AD25" s="627"/>
      <c r="AE25" s="627"/>
      <c r="AF25" s="627"/>
      <c r="AG25" s="627"/>
      <c r="AH25" s="627"/>
      <c r="AI25" s="627"/>
      <c r="AJ25" s="627"/>
      <c r="AK25" s="628"/>
    </row>
    <row r="26" spans="5:37" ht="15" customHeight="1" x14ac:dyDescent="0.45">
      <c r="E26" s="644" t="s">
        <v>146</v>
      </c>
      <c r="F26" s="645"/>
      <c r="G26" s="647" t="s">
        <v>346</v>
      </c>
      <c r="H26" s="647"/>
      <c r="I26" s="647"/>
      <c r="J26" s="647"/>
      <c r="K26" s="647" t="s">
        <v>345</v>
      </c>
      <c r="L26" s="647"/>
      <c r="M26" s="647"/>
      <c r="N26" s="134" t="s">
        <v>148</v>
      </c>
      <c r="P26" s="706" t="s">
        <v>147</v>
      </c>
      <c r="Q26" s="707"/>
      <c r="R26" s="707"/>
      <c r="S26" s="707"/>
      <c r="T26" s="707" t="s">
        <v>149</v>
      </c>
      <c r="U26" s="707"/>
      <c r="V26" s="707" t="s">
        <v>150</v>
      </c>
      <c r="W26" s="707"/>
      <c r="X26" s="707" t="s">
        <v>151</v>
      </c>
      <c r="Y26" s="707"/>
      <c r="Z26" s="652" t="s">
        <v>152</v>
      </c>
      <c r="AA26" s="652"/>
      <c r="AB26" s="652"/>
      <c r="AC26" s="652"/>
      <c r="AD26" s="652"/>
      <c r="AE26" s="652"/>
      <c r="AF26" s="652" t="s">
        <v>153</v>
      </c>
      <c r="AG26" s="652"/>
      <c r="AH26" s="652"/>
      <c r="AI26" s="652"/>
      <c r="AJ26" s="652"/>
      <c r="AK26" s="659"/>
    </row>
    <row r="27" spans="5:37" ht="15" x14ac:dyDescent="0.45">
      <c r="E27" s="687">
        <v>44666</v>
      </c>
      <c r="F27" s="688"/>
      <c r="G27" s="643" t="s">
        <v>21</v>
      </c>
      <c r="H27" s="643"/>
      <c r="I27" s="643"/>
      <c r="J27" s="643"/>
      <c r="K27" s="646"/>
      <c r="L27" s="646"/>
      <c r="M27" s="646"/>
      <c r="N27" s="135">
        <v>19</v>
      </c>
      <c r="P27" s="694" t="str">
        <f>'Từ khóa'!M12</f>
        <v>Lương từ công ty</v>
      </c>
      <c r="Q27" s="695"/>
      <c r="R27" s="695"/>
      <c r="S27" s="695"/>
      <c r="T27" s="696">
        <f>'Kế hoạch thu nhập và chi tiêu'!L11</f>
        <v>20</v>
      </c>
      <c r="U27" s="696"/>
      <c r="V27" s="152"/>
      <c r="W27" s="153">
        <f t="shared" ref="W27:W34" ca="1" si="0">SUMIF($G$27:$J$36,P27,$N$27:$N$36)</f>
        <v>19</v>
      </c>
      <c r="X27" s="696">
        <f t="shared" ref="X27:X34" ca="1" si="1">W27-T27</f>
        <v>-1</v>
      </c>
      <c r="Y27" s="696"/>
      <c r="Z27" s="646"/>
      <c r="AA27" s="646"/>
      <c r="AB27" s="646"/>
      <c r="AC27" s="646"/>
      <c r="AD27" s="646"/>
      <c r="AE27" s="646"/>
      <c r="AF27" s="646"/>
      <c r="AG27" s="646"/>
      <c r="AH27" s="646"/>
      <c r="AI27" s="646"/>
      <c r="AJ27" s="646"/>
      <c r="AK27" s="658"/>
    </row>
    <row r="28" spans="5:37" ht="15" x14ac:dyDescent="0.45">
      <c r="E28" s="687">
        <v>44671</v>
      </c>
      <c r="F28" s="688">
        <v>44612</v>
      </c>
      <c r="G28" s="643" t="s">
        <v>372</v>
      </c>
      <c r="H28" s="643"/>
      <c r="I28" s="643"/>
      <c r="J28" s="643"/>
      <c r="K28" s="646"/>
      <c r="L28" s="646"/>
      <c r="M28" s="646"/>
      <c r="N28" s="135">
        <v>4</v>
      </c>
      <c r="P28" s="694" t="str">
        <f>'Từ khóa'!M13</f>
        <v>Thu nhập khác</v>
      </c>
      <c r="Q28" s="695"/>
      <c r="R28" s="695"/>
      <c r="S28" s="695"/>
      <c r="T28" s="696">
        <f>'Kế hoạch thu nhập và chi tiêu'!L12</f>
        <v>10</v>
      </c>
      <c r="U28" s="696"/>
      <c r="V28" s="152"/>
      <c r="W28" s="153">
        <f t="shared" ca="1" si="0"/>
        <v>4.8999999999999995</v>
      </c>
      <c r="X28" s="696">
        <f t="shared" ca="1" si="1"/>
        <v>-5.1000000000000005</v>
      </c>
      <c r="Y28" s="696"/>
      <c r="Z28" s="646"/>
      <c r="AA28" s="646"/>
      <c r="AB28" s="646"/>
      <c r="AC28" s="646"/>
      <c r="AD28" s="646"/>
      <c r="AE28" s="646"/>
      <c r="AF28" s="646"/>
      <c r="AG28" s="646"/>
      <c r="AH28" s="646"/>
      <c r="AI28" s="646"/>
      <c r="AJ28" s="646"/>
      <c r="AK28" s="658"/>
    </row>
    <row r="29" spans="5:37" ht="15" x14ac:dyDescent="0.45">
      <c r="E29" s="687">
        <v>44679</v>
      </c>
      <c r="F29" s="688">
        <v>44620</v>
      </c>
      <c r="G29" s="643" t="s">
        <v>372</v>
      </c>
      <c r="H29" s="643"/>
      <c r="I29" s="643"/>
      <c r="J29" s="643"/>
      <c r="K29" s="646"/>
      <c r="L29" s="646"/>
      <c r="M29" s="646"/>
      <c r="N29" s="135">
        <v>0.3</v>
      </c>
      <c r="P29" s="694">
        <f>'Từ khóa'!M14</f>
        <v>0</v>
      </c>
      <c r="Q29" s="695"/>
      <c r="R29" s="695"/>
      <c r="S29" s="695"/>
      <c r="T29" s="696">
        <f>'Kế hoạch thu nhập và chi tiêu'!L13</f>
        <v>0</v>
      </c>
      <c r="U29" s="696"/>
      <c r="V29" s="152"/>
      <c r="W29" s="153">
        <f t="shared" ca="1" si="0"/>
        <v>0</v>
      </c>
      <c r="X29" s="696">
        <f t="shared" ca="1" si="1"/>
        <v>0</v>
      </c>
      <c r="Y29" s="696"/>
      <c r="Z29" s="646"/>
      <c r="AA29" s="646"/>
      <c r="AB29" s="646"/>
      <c r="AC29" s="646"/>
      <c r="AD29" s="646"/>
      <c r="AE29" s="646"/>
      <c r="AF29" s="646"/>
      <c r="AG29" s="646"/>
      <c r="AH29" s="646"/>
      <c r="AI29" s="646"/>
      <c r="AJ29" s="646"/>
      <c r="AK29" s="658"/>
    </row>
    <row r="30" spans="5:37" ht="15" x14ac:dyDescent="0.45">
      <c r="E30" s="687">
        <v>44679</v>
      </c>
      <c r="F30" s="688">
        <v>44620</v>
      </c>
      <c r="G30" s="643" t="s">
        <v>372</v>
      </c>
      <c r="H30" s="643"/>
      <c r="I30" s="643"/>
      <c r="J30" s="643"/>
      <c r="K30" s="646"/>
      <c r="L30" s="646"/>
      <c r="M30" s="646"/>
      <c r="N30" s="135">
        <v>0.6</v>
      </c>
      <c r="P30" s="694">
        <f>'Từ khóa'!M15</f>
        <v>0</v>
      </c>
      <c r="Q30" s="695"/>
      <c r="R30" s="695"/>
      <c r="S30" s="695"/>
      <c r="T30" s="696">
        <f>'Kế hoạch thu nhập và chi tiêu'!L14</f>
        <v>0</v>
      </c>
      <c r="U30" s="696"/>
      <c r="V30" s="152"/>
      <c r="W30" s="153">
        <f t="shared" ca="1" si="0"/>
        <v>0</v>
      </c>
      <c r="X30" s="696">
        <f t="shared" ca="1" si="1"/>
        <v>0</v>
      </c>
      <c r="Y30" s="696"/>
      <c r="Z30" s="646"/>
      <c r="AA30" s="646"/>
      <c r="AB30" s="646"/>
      <c r="AC30" s="646"/>
      <c r="AD30" s="646"/>
      <c r="AE30" s="646"/>
      <c r="AF30" s="646"/>
      <c r="AG30" s="646"/>
      <c r="AH30" s="646"/>
      <c r="AI30" s="646"/>
      <c r="AJ30" s="646"/>
      <c r="AK30" s="658"/>
    </row>
    <row r="31" spans="5:37" ht="15" x14ac:dyDescent="0.45">
      <c r="E31" s="687"/>
      <c r="F31" s="688"/>
      <c r="G31" s="643"/>
      <c r="H31" s="643"/>
      <c r="I31" s="643"/>
      <c r="J31" s="643"/>
      <c r="K31" s="646"/>
      <c r="L31" s="646"/>
      <c r="M31" s="646"/>
      <c r="N31" s="135"/>
      <c r="P31" s="694">
        <f>'Từ khóa'!M16</f>
        <v>0</v>
      </c>
      <c r="Q31" s="695"/>
      <c r="R31" s="695"/>
      <c r="S31" s="695"/>
      <c r="T31" s="696">
        <f>'Kế hoạch thu nhập và chi tiêu'!L15</f>
        <v>0</v>
      </c>
      <c r="U31" s="696"/>
      <c r="V31" s="152"/>
      <c r="W31" s="153">
        <f t="shared" ca="1" si="0"/>
        <v>0</v>
      </c>
      <c r="X31" s="696">
        <f t="shared" ca="1" si="1"/>
        <v>0</v>
      </c>
      <c r="Y31" s="696"/>
      <c r="Z31" s="646"/>
      <c r="AA31" s="646"/>
      <c r="AB31" s="646"/>
      <c r="AC31" s="646"/>
      <c r="AD31" s="646"/>
      <c r="AE31" s="646"/>
      <c r="AF31" s="646"/>
      <c r="AG31" s="646"/>
      <c r="AH31" s="646"/>
      <c r="AI31" s="646"/>
      <c r="AJ31" s="646"/>
      <c r="AK31" s="658"/>
    </row>
    <row r="32" spans="5:37" ht="15" x14ac:dyDescent="0.45">
      <c r="E32" s="687"/>
      <c r="F32" s="688"/>
      <c r="G32" s="643"/>
      <c r="H32" s="643"/>
      <c r="I32" s="643"/>
      <c r="J32" s="643"/>
      <c r="K32" s="646"/>
      <c r="L32" s="646"/>
      <c r="M32" s="646"/>
      <c r="N32" s="135"/>
      <c r="P32" s="694">
        <f>'Từ khóa'!M17</f>
        <v>0</v>
      </c>
      <c r="Q32" s="695"/>
      <c r="R32" s="695"/>
      <c r="S32" s="695"/>
      <c r="T32" s="696">
        <f>'Kế hoạch thu nhập và chi tiêu'!L16</f>
        <v>0</v>
      </c>
      <c r="U32" s="696"/>
      <c r="V32" s="152"/>
      <c r="W32" s="153">
        <f t="shared" ca="1" si="0"/>
        <v>0</v>
      </c>
      <c r="X32" s="696">
        <f t="shared" ca="1" si="1"/>
        <v>0</v>
      </c>
      <c r="Y32" s="696"/>
      <c r="Z32" s="646"/>
      <c r="AA32" s="646"/>
      <c r="AB32" s="646"/>
      <c r="AC32" s="646"/>
      <c r="AD32" s="646"/>
      <c r="AE32" s="646"/>
      <c r="AF32" s="646"/>
      <c r="AG32" s="646"/>
      <c r="AH32" s="646"/>
      <c r="AI32" s="646"/>
      <c r="AJ32" s="646"/>
      <c r="AK32" s="658"/>
    </row>
    <row r="33" spans="5:37" ht="15" x14ac:dyDescent="0.45">
      <c r="E33" s="687"/>
      <c r="F33" s="688"/>
      <c r="G33" s="643"/>
      <c r="H33" s="643"/>
      <c r="I33" s="643"/>
      <c r="J33" s="643"/>
      <c r="K33" s="646"/>
      <c r="L33" s="646"/>
      <c r="M33" s="646"/>
      <c r="N33" s="135"/>
      <c r="P33" s="694">
        <f>'Từ khóa'!M18</f>
        <v>0</v>
      </c>
      <c r="Q33" s="695"/>
      <c r="R33" s="695"/>
      <c r="S33" s="695"/>
      <c r="T33" s="696">
        <f>'Kế hoạch thu nhập và chi tiêu'!L17</f>
        <v>0</v>
      </c>
      <c r="U33" s="696"/>
      <c r="V33" s="152"/>
      <c r="W33" s="153">
        <f t="shared" ca="1" si="0"/>
        <v>0</v>
      </c>
      <c r="X33" s="696">
        <f t="shared" ca="1" si="1"/>
        <v>0</v>
      </c>
      <c r="Y33" s="696"/>
      <c r="Z33" s="646"/>
      <c r="AA33" s="646"/>
      <c r="AB33" s="646"/>
      <c r="AC33" s="646"/>
      <c r="AD33" s="646"/>
      <c r="AE33" s="646"/>
      <c r="AF33" s="646"/>
      <c r="AG33" s="646"/>
      <c r="AH33" s="646"/>
      <c r="AI33" s="646"/>
      <c r="AJ33" s="646"/>
      <c r="AK33" s="658"/>
    </row>
    <row r="34" spans="5:37" ht="15" x14ac:dyDescent="0.45">
      <c r="E34" s="687"/>
      <c r="F34" s="688"/>
      <c r="G34" s="643"/>
      <c r="H34" s="643"/>
      <c r="I34" s="643"/>
      <c r="J34" s="643"/>
      <c r="K34" s="646"/>
      <c r="L34" s="646"/>
      <c r="M34" s="646"/>
      <c r="N34" s="135"/>
      <c r="P34" s="694">
        <f>'Từ khóa'!M19</f>
        <v>0</v>
      </c>
      <c r="Q34" s="695"/>
      <c r="R34" s="695"/>
      <c r="S34" s="695"/>
      <c r="T34" s="696">
        <f>'Kế hoạch thu nhập và chi tiêu'!L18</f>
        <v>0</v>
      </c>
      <c r="U34" s="696"/>
      <c r="V34" s="152"/>
      <c r="W34" s="153">
        <f t="shared" ca="1" si="0"/>
        <v>0</v>
      </c>
      <c r="X34" s="696">
        <f t="shared" ca="1" si="1"/>
        <v>0</v>
      </c>
      <c r="Y34" s="696"/>
      <c r="Z34" s="646"/>
      <c r="AA34" s="646"/>
      <c r="AB34" s="646"/>
      <c r="AC34" s="646"/>
      <c r="AD34" s="646"/>
      <c r="AE34" s="646"/>
      <c r="AF34" s="646"/>
      <c r="AG34" s="646"/>
      <c r="AH34" s="646"/>
      <c r="AI34" s="646"/>
      <c r="AJ34" s="646"/>
      <c r="AK34" s="658"/>
    </row>
    <row r="35" spans="5:37" ht="15" x14ac:dyDescent="0.45">
      <c r="E35" s="687"/>
      <c r="F35" s="688"/>
      <c r="G35" s="643"/>
      <c r="H35" s="643"/>
      <c r="I35" s="643"/>
      <c r="J35" s="643"/>
      <c r="K35" s="646"/>
      <c r="L35" s="646"/>
      <c r="M35" s="646"/>
      <c r="N35" s="135"/>
      <c r="P35" s="694"/>
      <c r="Q35" s="695"/>
      <c r="R35" s="695"/>
      <c r="S35" s="695"/>
      <c r="T35" s="697"/>
      <c r="U35" s="698"/>
      <c r="V35" s="152"/>
      <c r="W35" s="153"/>
      <c r="X35" s="696"/>
      <c r="Y35" s="696"/>
      <c r="Z35" s="646"/>
      <c r="AA35" s="646"/>
      <c r="AB35" s="646"/>
      <c r="AC35" s="646"/>
      <c r="AD35" s="646"/>
      <c r="AE35" s="646"/>
      <c r="AF35" s="646"/>
      <c r="AG35" s="646"/>
      <c r="AH35" s="646"/>
      <c r="AI35" s="646"/>
      <c r="AJ35" s="646"/>
      <c r="AK35" s="658"/>
    </row>
    <row r="36" spans="5:37" ht="15" x14ac:dyDescent="0.45">
      <c r="E36" s="687"/>
      <c r="F36" s="688"/>
      <c r="G36" s="643"/>
      <c r="H36" s="643"/>
      <c r="I36" s="643"/>
      <c r="J36" s="643"/>
      <c r="K36" s="646"/>
      <c r="L36" s="646"/>
      <c r="M36" s="646"/>
      <c r="N36" s="135"/>
      <c r="P36" s="694"/>
      <c r="Q36" s="695"/>
      <c r="R36" s="695"/>
      <c r="S36" s="695"/>
      <c r="T36" s="697"/>
      <c r="U36" s="698"/>
      <c r="V36" s="152"/>
      <c r="W36" s="153"/>
      <c r="X36" s="696"/>
      <c r="Y36" s="696"/>
      <c r="Z36" s="646"/>
      <c r="AA36" s="646"/>
      <c r="AB36" s="646"/>
      <c r="AC36" s="646"/>
      <c r="AD36" s="646"/>
      <c r="AE36" s="646"/>
      <c r="AF36" s="646"/>
      <c r="AG36" s="646"/>
      <c r="AH36" s="646"/>
      <c r="AI36" s="646"/>
      <c r="AJ36" s="646"/>
      <c r="AK36" s="658"/>
    </row>
    <row r="37" spans="5:37" ht="16.5" customHeight="1" thickBot="1" x14ac:dyDescent="0.6">
      <c r="E37" s="648" t="s">
        <v>124</v>
      </c>
      <c r="F37" s="649"/>
      <c r="G37" s="649"/>
      <c r="H37" s="649"/>
      <c r="I37" s="649"/>
      <c r="J37" s="649"/>
      <c r="K37" s="649"/>
      <c r="L37" s="649"/>
      <c r="M37" s="650"/>
      <c r="N37" s="144">
        <f>SUBTOTAL(109,'T4'!$N$27:$N$36)</f>
        <v>23.900000000000002</v>
      </c>
      <c r="P37" s="701" t="s">
        <v>124</v>
      </c>
      <c r="Q37" s="702"/>
      <c r="R37" s="702"/>
      <c r="S37" s="703"/>
      <c r="T37" s="704">
        <f>SUM(T27:U36)</f>
        <v>30</v>
      </c>
      <c r="U37" s="705"/>
      <c r="V37" s="704">
        <f ca="1">SUM(W27:W36)</f>
        <v>23.9</v>
      </c>
      <c r="W37" s="705"/>
      <c r="X37" s="704">
        <f t="shared" ref="X37" ca="1" si="2">SUM(X27:Y36)</f>
        <v>-6.1000000000000005</v>
      </c>
      <c r="Y37" s="705"/>
      <c r="Z37" s="660"/>
      <c r="AA37" s="660"/>
      <c r="AB37" s="660"/>
      <c r="AC37" s="660"/>
      <c r="AD37" s="660"/>
      <c r="AE37" s="660"/>
      <c r="AF37" s="660"/>
      <c r="AG37" s="660"/>
      <c r="AH37" s="660"/>
      <c r="AI37" s="660"/>
      <c r="AJ37" s="660"/>
      <c r="AK37" s="661"/>
    </row>
    <row r="39" spans="5:37" ht="14.65" thickBot="1" x14ac:dyDescent="0.5"/>
    <row r="40" spans="5:37" ht="15.75" customHeight="1" x14ac:dyDescent="0.55000000000000004">
      <c r="E40" s="623" t="s">
        <v>320</v>
      </c>
      <c r="F40" s="624"/>
      <c r="G40" s="624"/>
      <c r="H40" s="624"/>
      <c r="I40" s="624"/>
      <c r="J40" s="624"/>
      <c r="K40" s="624"/>
      <c r="L40" s="624"/>
      <c r="M40" s="624"/>
      <c r="N40" s="625"/>
      <c r="P40" s="623" t="s">
        <v>321</v>
      </c>
      <c r="Q40" s="624"/>
      <c r="R40" s="624"/>
      <c r="S40" s="624"/>
      <c r="T40" s="624"/>
      <c r="U40" s="624"/>
      <c r="V40" s="624"/>
      <c r="W40" s="624"/>
      <c r="X40" s="624"/>
      <c r="Y40" s="624"/>
      <c r="Z40" s="624"/>
      <c r="AA40" s="624"/>
      <c r="AB40" s="624"/>
      <c r="AC40" s="624"/>
      <c r="AD40" s="624"/>
      <c r="AE40" s="624"/>
      <c r="AF40" s="624"/>
      <c r="AG40" s="624"/>
      <c r="AH40" s="624"/>
      <c r="AI40" s="624"/>
      <c r="AJ40" s="624"/>
      <c r="AK40" s="625"/>
    </row>
    <row r="41" spans="5:37" ht="15" x14ac:dyDescent="0.45">
      <c r="E41" s="664" t="s">
        <v>146</v>
      </c>
      <c r="F41" s="665"/>
      <c r="G41" s="666" t="s">
        <v>347</v>
      </c>
      <c r="H41" s="666"/>
      <c r="I41" s="666"/>
      <c r="J41" s="666"/>
      <c r="K41" s="666" t="s">
        <v>345</v>
      </c>
      <c r="L41" s="666"/>
      <c r="M41" s="666"/>
      <c r="N41" s="136" t="s">
        <v>148</v>
      </c>
      <c r="P41" s="699" t="s">
        <v>147</v>
      </c>
      <c r="Q41" s="700"/>
      <c r="R41" s="700"/>
      <c r="S41" s="700"/>
      <c r="T41" s="700" t="s">
        <v>149</v>
      </c>
      <c r="U41" s="700"/>
      <c r="V41" s="700" t="s">
        <v>150</v>
      </c>
      <c r="W41" s="700"/>
      <c r="X41" s="700" t="s">
        <v>151</v>
      </c>
      <c r="Y41" s="700"/>
      <c r="Z41" s="666" t="s">
        <v>152</v>
      </c>
      <c r="AA41" s="666"/>
      <c r="AB41" s="666"/>
      <c r="AC41" s="666"/>
      <c r="AD41" s="666"/>
      <c r="AE41" s="666"/>
      <c r="AF41" s="666" t="s">
        <v>153</v>
      </c>
      <c r="AG41" s="666"/>
      <c r="AH41" s="666"/>
      <c r="AI41" s="666"/>
      <c r="AJ41" s="666"/>
      <c r="AK41" s="667"/>
    </row>
    <row r="42" spans="5:37" ht="15" customHeight="1" x14ac:dyDescent="0.55000000000000004">
      <c r="E42" s="687">
        <v>44652</v>
      </c>
      <c r="F42" s="688">
        <v>44593</v>
      </c>
      <c r="G42" s="640" t="s">
        <v>5</v>
      </c>
      <c r="H42" s="641"/>
      <c r="I42" s="641"/>
      <c r="J42" s="642"/>
      <c r="K42" s="640"/>
      <c r="L42" s="641"/>
      <c r="M42" s="642"/>
      <c r="N42" s="137">
        <v>5</v>
      </c>
      <c r="P42" s="694" t="str">
        <f>'Từ khóa'!F12</f>
        <v>Mua thực phẩm</v>
      </c>
      <c r="Q42" s="695"/>
      <c r="R42" s="695"/>
      <c r="S42" s="695"/>
      <c r="T42" s="696">
        <f>'Kế hoạch thu nhập và chi tiêu'!L26</f>
        <v>5</v>
      </c>
      <c r="U42" s="696"/>
      <c r="V42" s="152"/>
      <c r="W42" s="153">
        <f t="shared" ref="W42:W55" ca="1" si="3">SUMIF($G$42:$J$82,P42,$N$42:$N$82)</f>
        <v>5</v>
      </c>
      <c r="X42" s="697">
        <f t="shared" ref="X42:X56" ca="1" si="4">T42-W42</f>
        <v>0</v>
      </c>
      <c r="Y42" s="698"/>
      <c r="Z42" s="646" t="s">
        <v>387</v>
      </c>
      <c r="AA42" s="646"/>
      <c r="AB42" s="646"/>
      <c r="AC42" s="646"/>
      <c r="AD42" s="646"/>
      <c r="AE42" s="646"/>
      <c r="AF42" s="646" t="s">
        <v>322</v>
      </c>
      <c r="AG42" s="646"/>
      <c r="AH42" s="646"/>
      <c r="AI42" s="646"/>
      <c r="AJ42" s="646"/>
      <c r="AK42" s="658"/>
    </row>
    <row r="43" spans="5:37" ht="15" customHeight="1" x14ac:dyDescent="0.55000000000000004">
      <c r="E43" s="687">
        <v>44652</v>
      </c>
      <c r="F43" s="688">
        <v>44593</v>
      </c>
      <c r="G43" s="640" t="s">
        <v>6</v>
      </c>
      <c r="H43" s="641" t="s">
        <v>6</v>
      </c>
      <c r="I43" s="641" t="s">
        <v>6</v>
      </c>
      <c r="J43" s="642" t="s">
        <v>6</v>
      </c>
      <c r="K43" s="640"/>
      <c r="L43" s="641"/>
      <c r="M43" s="642"/>
      <c r="N43" s="138">
        <v>0</v>
      </c>
      <c r="P43" s="694" t="str">
        <f>'Từ khóa'!F13</f>
        <v>Mua đồ dùng trong nhà</v>
      </c>
      <c r="Q43" s="695"/>
      <c r="R43" s="695"/>
      <c r="S43" s="695"/>
      <c r="T43" s="696">
        <f>'Kế hoạch thu nhập và chi tiêu'!L27</f>
        <v>0.5</v>
      </c>
      <c r="U43" s="696"/>
      <c r="V43" s="152"/>
      <c r="W43" s="153">
        <f t="shared" ca="1" si="3"/>
        <v>0.4</v>
      </c>
      <c r="X43" s="697">
        <f t="shared" ca="1" si="4"/>
        <v>9.9999999999999978E-2</v>
      </c>
      <c r="Y43" s="698"/>
      <c r="Z43" s="646" t="s">
        <v>388</v>
      </c>
      <c r="AA43" s="646"/>
      <c r="AB43" s="646"/>
      <c r="AC43" s="646"/>
      <c r="AD43" s="646"/>
      <c r="AE43" s="646"/>
      <c r="AF43" s="646"/>
      <c r="AG43" s="646"/>
      <c r="AH43" s="646"/>
      <c r="AI43" s="646"/>
      <c r="AJ43" s="646"/>
      <c r="AK43" s="658"/>
    </row>
    <row r="44" spans="5:37" ht="15" customHeight="1" x14ac:dyDescent="0.55000000000000004">
      <c r="E44" s="687">
        <v>44653</v>
      </c>
      <c r="F44" s="688">
        <v>44594</v>
      </c>
      <c r="G44" s="640" t="s">
        <v>10</v>
      </c>
      <c r="H44" s="641" t="s">
        <v>10</v>
      </c>
      <c r="I44" s="641" t="s">
        <v>10</v>
      </c>
      <c r="J44" s="642" t="s">
        <v>10</v>
      </c>
      <c r="K44" s="640" t="s">
        <v>159</v>
      </c>
      <c r="L44" s="641" t="s">
        <v>159</v>
      </c>
      <c r="M44" s="642" t="s">
        <v>159</v>
      </c>
      <c r="N44" s="138">
        <v>0.4</v>
      </c>
      <c r="P44" s="694" t="str">
        <f>'Từ khóa'!F14</f>
        <v>Đi ăn ở ngoài</v>
      </c>
      <c r="Q44" s="695"/>
      <c r="R44" s="695"/>
      <c r="S44" s="695"/>
      <c r="T44" s="696">
        <f>'Kế hoạch thu nhập và chi tiêu'!L28</f>
        <v>2</v>
      </c>
      <c r="U44" s="696"/>
      <c r="V44" s="152"/>
      <c r="W44" s="153">
        <f t="shared" ca="1" si="3"/>
        <v>1.3</v>
      </c>
      <c r="X44" s="697">
        <f t="shared" ca="1" si="4"/>
        <v>0.7</v>
      </c>
      <c r="Y44" s="698"/>
      <c r="Z44" s="646" t="s">
        <v>160</v>
      </c>
      <c r="AA44" s="646"/>
      <c r="AB44" s="646"/>
      <c r="AC44" s="646"/>
      <c r="AD44" s="646"/>
      <c r="AE44" s="646"/>
      <c r="AF44" s="646" t="s">
        <v>322</v>
      </c>
      <c r="AG44" s="646"/>
      <c r="AH44" s="646"/>
      <c r="AI44" s="646"/>
      <c r="AJ44" s="646"/>
      <c r="AK44" s="658"/>
    </row>
    <row r="45" spans="5:37" ht="15" customHeight="1" x14ac:dyDescent="0.55000000000000004">
      <c r="E45" s="687">
        <v>44654</v>
      </c>
      <c r="F45" s="688">
        <v>44595</v>
      </c>
      <c r="G45" s="640" t="s">
        <v>10</v>
      </c>
      <c r="H45" s="641" t="s">
        <v>10</v>
      </c>
      <c r="I45" s="641" t="s">
        <v>10</v>
      </c>
      <c r="J45" s="642" t="s">
        <v>10</v>
      </c>
      <c r="K45" s="640" t="s">
        <v>161</v>
      </c>
      <c r="L45" s="641" t="s">
        <v>161</v>
      </c>
      <c r="M45" s="642" t="s">
        <v>161</v>
      </c>
      <c r="N45" s="138">
        <v>0.1</v>
      </c>
      <c r="P45" s="694" t="str">
        <f>'Từ khóa'!F15</f>
        <v>Chi tiền phát triển bản thân</v>
      </c>
      <c r="Q45" s="695"/>
      <c r="R45" s="695"/>
      <c r="S45" s="695"/>
      <c r="T45" s="696">
        <f>'Kế hoạch thu nhập và chi tiêu'!L29</f>
        <v>1.5</v>
      </c>
      <c r="U45" s="696"/>
      <c r="V45" s="152"/>
      <c r="W45" s="153">
        <f t="shared" ca="1" si="3"/>
        <v>1.2999999999999998</v>
      </c>
      <c r="X45" s="697">
        <f t="shared" ca="1" si="4"/>
        <v>0.20000000000000018</v>
      </c>
      <c r="Y45" s="698"/>
      <c r="Z45" s="646" t="s">
        <v>389</v>
      </c>
      <c r="AA45" s="646"/>
      <c r="AB45" s="646"/>
      <c r="AC45" s="646"/>
      <c r="AD45" s="646"/>
      <c r="AE45" s="646"/>
      <c r="AF45" s="646"/>
      <c r="AG45" s="646"/>
      <c r="AH45" s="646"/>
      <c r="AI45" s="646"/>
      <c r="AJ45" s="646"/>
      <c r="AK45" s="658"/>
    </row>
    <row r="46" spans="5:37" ht="15" customHeight="1" x14ac:dyDescent="0.55000000000000004">
      <c r="E46" s="687">
        <v>44655</v>
      </c>
      <c r="F46" s="688">
        <v>44596</v>
      </c>
      <c r="G46" s="640" t="s">
        <v>10</v>
      </c>
      <c r="H46" s="641" t="s">
        <v>10</v>
      </c>
      <c r="I46" s="641" t="s">
        <v>10</v>
      </c>
      <c r="J46" s="642" t="s">
        <v>10</v>
      </c>
      <c r="K46" s="640" t="s">
        <v>162</v>
      </c>
      <c r="L46" s="641" t="s">
        <v>162</v>
      </c>
      <c r="M46" s="642" t="s">
        <v>162</v>
      </c>
      <c r="N46" s="138">
        <v>0.3</v>
      </c>
      <c r="P46" s="694" t="str">
        <f>'Từ khóa'!F16</f>
        <v>Chi tiền bảo hiểm</v>
      </c>
      <c r="Q46" s="695"/>
      <c r="R46" s="695"/>
      <c r="S46" s="695"/>
      <c r="T46" s="696">
        <f>'Kế hoạch thu nhập và chi tiêu'!L30</f>
        <v>0</v>
      </c>
      <c r="U46" s="696"/>
      <c r="V46" s="152"/>
      <c r="W46" s="153">
        <f t="shared" ca="1" si="3"/>
        <v>0</v>
      </c>
      <c r="X46" s="697">
        <f t="shared" ca="1" si="4"/>
        <v>0</v>
      </c>
      <c r="Y46" s="698"/>
      <c r="Z46" s="646"/>
      <c r="AA46" s="646"/>
      <c r="AB46" s="646"/>
      <c r="AC46" s="646"/>
      <c r="AD46" s="646"/>
      <c r="AE46" s="646"/>
      <c r="AF46" s="646"/>
      <c r="AG46" s="646"/>
      <c r="AH46" s="646"/>
      <c r="AI46" s="646"/>
      <c r="AJ46" s="646"/>
      <c r="AK46" s="658"/>
    </row>
    <row r="47" spans="5:37" ht="15" customHeight="1" x14ac:dyDescent="0.55000000000000004">
      <c r="E47" s="687">
        <v>44656</v>
      </c>
      <c r="F47" s="688">
        <v>44597</v>
      </c>
      <c r="G47" s="640" t="s">
        <v>10</v>
      </c>
      <c r="H47" s="641" t="s">
        <v>10</v>
      </c>
      <c r="I47" s="641" t="s">
        <v>10</v>
      </c>
      <c r="J47" s="642" t="s">
        <v>10</v>
      </c>
      <c r="K47" s="640" t="s">
        <v>163</v>
      </c>
      <c r="L47" s="641" t="s">
        <v>163</v>
      </c>
      <c r="M47" s="642" t="s">
        <v>163</v>
      </c>
      <c r="N47" s="138">
        <v>0.2</v>
      </c>
      <c r="P47" s="694" t="str">
        <f>'Từ khóa'!F17</f>
        <v>Chi tiền điện, nước, internet, điện thoại, xăng xe</v>
      </c>
      <c r="Q47" s="695"/>
      <c r="R47" s="695"/>
      <c r="S47" s="695"/>
      <c r="T47" s="696">
        <f>'Kế hoạch thu nhập và chi tiêu'!L31</f>
        <v>2</v>
      </c>
      <c r="U47" s="696"/>
      <c r="V47" s="152"/>
      <c r="W47" s="153">
        <f t="shared" ca="1" si="3"/>
        <v>1.35</v>
      </c>
      <c r="X47" s="697">
        <f t="shared" ca="1" si="4"/>
        <v>0.64999999999999991</v>
      </c>
      <c r="Y47" s="698"/>
      <c r="Z47" s="646" t="s">
        <v>376</v>
      </c>
      <c r="AA47" s="646"/>
      <c r="AB47" s="646"/>
      <c r="AC47" s="646"/>
      <c r="AD47" s="646"/>
      <c r="AE47" s="646"/>
      <c r="AF47" s="646" t="s">
        <v>322</v>
      </c>
      <c r="AG47" s="646"/>
      <c r="AH47" s="646"/>
      <c r="AI47" s="646"/>
      <c r="AJ47" s="646"/>
      <c r="AK47" s="658"/>
    </row>
    <row r="48" spans="5:37" ht="15" customHeight="1" x14ac:dyDescent="0.55000000000000004">
      <c r="E48" s="687">
        <v>44658</v>
      </c>
      <c r="F48" s="688">
        <v>44599</v>
      </c>
      <c r="G48" s="640" t="s">
        <v>10</v>
      </c>
      <c r="H48" s="641" t="s">
        <v>10</v>
      </c>
      <c r="I48" s="641" t="s">
        <v>10</v>
      </c>
      <c r="J48" s="642" t="s">
        <v>10</v>
      </c>
      <c r="K48" s="640" t="s">
        <v>164</v>
      </c>
      <c r="L48" s="641" t="s">
        <v>164</v>
      </c>
      <c r="M48" s="642" t="s">
        <v>164</v>
      </c>
      <c r="N48" s="138">
        <v>0.05</v>
      </c>
      <c r="P48" s="694" t="str">
        <f>'Từ khóa'!F18</f>
        <v>Chi tiền giải trí, quà tặng</v>
      </c>
      <c r="Q48" s="695"/>
      <c r="R48" s="695"/>
      <c r="S48" s="695"/>
      <c r="T48" s="696">
        <f>'Kế hoạch thu nhập và chi tiêu'!L32</f>
        <v>0</v>
      </c>
      <c r="U48" s="696"/>
      <c r="V48" s="152"/>
      <c r="W48" s="153">
        <f t="shared" ca="1" si="3"/>
        <v>0</v>
      </c>
      <c r="X48" s="697">
        <f t="shared" ca="1" si="4"/>
        <v>0</v>
      </c>
      <c r="Y48" s="698"/>
      <c r="Z48" s="646"/>
      <c r="AA48" s="646"/>
      <c r="AB48" s="646"/>
      <c r="AC48" s="646"/>
      <c r="AD48" s="646"/>
      <c r="AE48" s="646"/>
      <c r="AF48" s="646"/>
      <c r="AG48" s="646"/>
      <c r="AH48" s="646"/>
      <c r="AI48" s="646"/>
      <c r="AJ48" s="646"/>
      <c r="AK48" s="658"/>
    </row>
    <row r="49" spans="5:37" ht="15" customHeight="1" x14ac:dyDescent="0.55000000000000004">
      <c r="E49" s="687">
        <v>44660</v>
      </c>
      <c r="F49" s="688">
        <v>44601</v>
      </c>
      <c r="G49" s="640" t="s">
        <v>7</v>
      </c>
      <c r="H49" s="641" t="s">
        <v>7</v>
      </c>
      <c r="I49" s="641" t="s">
        <v>7</v>
      </c>
      <c r="J49" s="642" t="s">
        <v>7</v>
      </c>
      <c r="K49" s="640"/>
      <c r="L49" s="641"/>
      <c r="M49" s="642"/>
      <c r="N49" s="138">
        <v>0.5</v>
      </c>
      <c r="P49" s="694" t="str">
        <f>'Từ khóa'!F19</f>
        <v>Chi tiền cho con</v>
      </c>
      <c r="Q49" s="695"/>
      <c r="R49" s="695"/>
      <c r="S49" s="695"/>
      <c r="T49" s="696">
        <f>'Kế hoạch thu nhập và chi tiêu'!L33</f>
        <v>0</v>
      </c>
      <c r="U49" s="696"/>
      <c r="V49" s="152"/>
      <c r="W49" s="153">
        <f t="shared" ca="1" si="3"/>
        <v>0</v>
      </c>
      <c r="X49" s="697">
        <f t="shared" ca="1" si="4"/>
        <v>0</v>
      </c>
      <c r="Y49" s="698"/>
      <c r="Z49" s="646"/>
      <c r="AA49" s="646"/>
      <c r="AB49" s="646"/>
      <c r="AC49" s="646"/>
      <c r="AD49" s="646"/>
      <c r="AE49" s="646"/>
      <c r="AF49" s="646"/>
      <c r="AG49" s="646"/>
      <c r="AH49" s="646"/>
      <c r="AI49" s="646"/>
      <c r="AJ49" s="646"/>
      <c r="AK49" s="658"/>
    </row>
    <row r="50" spans="5:37" ht="15" customHeight="1" x14ac:dyDescent="0.55000000000000004">
      <c r="E50" s="687">
        <v>44662</v>
      </c>
      <c r="F50" s="688">
        <v>44603</v>
      </c>
      <c r="G50" s="640" t="s">
        <v>8</v>
      </c>
      <c r="H50" s="641" t="s">
        <v>8</v>
      </c>
      <c r="I50" s="641" t="s">
        <v>8</v>
      </c>
      <c r="J50" s="642" t="s">
        <v>8</v>
      </c>
      <c r="K50" s="640" t="s">
        <v>23</v>
      </c>
      <c r="L50" s="641" t="s">
        <v>23</v>
      </c>
      <c r="M50" s="642" t="s">
        <v>23</v>
      </c>
      <c r="N50" s="138">
        <v>0.1</v>
      </c>
      <c r="P50" s="694" t="str">
        <f>'Từ khóa'!F20</f>
        <v>Chi tiền trả nợ</v>
      </c>
      <c r="Q50" s="695"/>
      <c r="R50" s="695"/>
      <c r="S50" s="695"/>
      <c r="T50" s="696">
        <f>'Kế hoạch thu nhập và chi tiêu'!L34</f>
        <v>6.5</v>
      </c>
      <c r="U50" s="696"/>
      <c r="V50" s="152"/>
      <c r="W50" s="153">
        <f t="shared" ca="1" si="3"/>
        <v>6.5</v>
      </c>
      <c r="X50" s="697">
        <f t="shared" ca="1" si="4"/>
        <v>0</v>
      </c>
      <c r="Y50" s="698"/>
      <c r="Z50" s="646"/>
      <c r="AA50" s="646"/>
      <c r="AB50" s="646"/>
      <c r="AC50" s="646"/>
      <c r="AD50" s="646"/>
      <c r="AE50" s="646"/>
      <c r="AF50" s="646"/>
      <c r="AG50" s="646"/>
      <c r="AH50" s="646"/>
      <c r="AI50" s="646"/>
      <c r="AJ50" s="646"/>
      <c r="AK50" s="658"/>
    </row>
    <row r="51" spans="5:37" ht="15" customHeight="1" x14ac:dyDescent="0.55000000000000004">
      <c r="E51" s="687">
        <v>44663</v>
      </c>
      <c r="F51" s="688">
        <v>44604</v>
      </c>
      <c r="G51" s="640" t="s">
        <v>8</v>
      </c>
      <c r="H51" s="641" t="s">
        <v>8</v>
      </c>
      <c r="I51" s="641" t="s">
        <v>8</v>
      </c>
      <c r="J51" s="642" t="s">
        <v>8</v>
      </c>
      <c r="K51" s="640" t="s">
        <v>165</v>
      </c>
      <c r="L51" s="641" t="s">
        <v>165</v>
      </c>
      <c r="M51" s="642" t="s">
        <v>165</v>
      </c>
      <c r="N51" s="138">
        <v>0.5</v>
      </c>
      <c r="P51" s="694" t="str">
        <f>'Từ khóa'!F21</f>
        <v>Chi tiền cho tặng gia đình</v>
      </c>
      <c r="Q51" s="695"/>
      <c r="R51" s="695"/>
      <c r="S51" s="695"/>
      <c r="T51" s="696">
        <f>'Kế hoạch thu nhập và chi tiêu'!L35</f>
        <v>1</v>
      </c>
      <c r="U51" s="696"/>
      <c r="V51" s="152"/>
      <c r="W51" s="153">
        <f t="shared" ca="1" si="3"/>
        <v>1.4</v>
      </c>
      <c r="X51" s="697">
        <f t="shared" ca="1" si="4"/>
        <v>-0.39999999999999991</v>
      </c>
      <c r="Y51" s="698"/>
      <c r="Z51" s="646"/>
      <c r="AA51" s="646"/>
      <c r="AB51" s="646"/>
      <c r="AC51" s="646"/>
      <c r="AD51" s="646"/>
      <c r="AE51" s="646"/>
      <c r="AF51" s="646"/>
      <c r="AG51" s="646"/>
      <c r="AH51" s="646"/>
      <c r="AI51" s="646"/>
      <c r="AJ51" s="646"/>
      <c r="AK51" s="658"/>
    </row>
    <row r="52" spans="5:37" ht="15" customHeight="1" x14ac:dyDescent="0.55000000000000004">
      <c r="E52" s="687">
        <v>44671</v>
      </c>
      <c r="F52" s="688">
        <v>44612</v>
      </c>
      <c r="G52" s="640" t="s">
        <v>6</v>
      </c>
      <c r="H52" s="641"/>
      <c r="I52" s="641"/>
      <c r="J52" s="642"/>
      <c r="K52" s="640"/>
      <c r="L52" s="641"/>
      <c r="M52" s="642"/>
      <c r="N52" s="138">
        <v>0.4</v>
      </c>
      <c r="P52" s="694" t="str">
        <f>'Từ khóa'!F22</f>
        <v>Chi tiêu 1</v>
      </c>
      <c r="Q52" s="695"/>
      <c r="R52" s="695"/>
      <c r="S52" s="695"/>
      <c r="T52" s="696">
        <f>'Kế hoạch thu nhập và chi tiêu'!L36</f>
        <v>0</v>
      </c>
      <c r="U52" s="696"/>
      <c r="V52" s="152"/>
      <c r="W52" s="153">
        <f t="shared" ca="1" si="3"/>
        <v>0</v>
      </c>
      <c r="X52" s="697">
        <f t="shared" ca="1" si="4"/>
        <v>0</v>
      </c>
      <c r="Y52" s="698"/>
      <c r="Z52" s="646"/>
      <c r="AA52" s="646"/>
      <c r="AB52" s="646"/>
      <c r="AC52" s="646"/>
      <c r="AD52" s="646"/>
      <c r="AE52" s="646"/>
      <c r="AF52" s="646"/>
      <c r="AG52" s="646"/>
      <c r="AH52" s="646"/>
      <c r="AI52" s="646"/>
      <c r="AJ52" s="646"/>
      <c r="AK52" s="658"/>
    </row>
    <row r="53" spans="5:37" ht="15" customHeight="1" x14ac:dyDescent="0.55000000000000004">
      <c r="E53" s="687">
        <v>44673</v>
      </c>
      <c r="F53" s="688" t="s">
        <v>174</v>
      </c>
      <c r="G53" s="640" t="s">
        <v>7</v>
      </c>
      <c r="H53" s="641"/>
      <c r="I53" s="641"/>
      <c r="J53" s="642"/>
      <c r="K53" s="640"/>
      <c r="L53" s="641"/>
      <c r="M53" s="642"/>
      <c r="N53" s="138">
        <v>0.3</v>
      </c>
      <c r="P53" s="694" t="str">
        <f>'Từ khóa'!F23</f>
        <v>Chi tiêu 2</v>
      </c>
      <c r="Q53" s="695"/>
      <c r="R53" s="695"/>
      <c r="S53" s="695"/>
      <c r="T53" s="696">
        <f>'Kế hoạch thu nhập và chi tiêu'!L37</f>
        <v>0</v>
      </c>
      <c r="U53" s="696"/>
      <c r="V53" s="152"/>
      <c r="W53" s="153">
        <f t="shared" ca="1" si="3"/>
        <v>0</v>
      </c>
      <c r="X53" s="697">
        <f t="shared" ca="1" si="4"/>
        <v>0</v>
      </c>
      <c r="Y53" s="698"/>
      <c r="Z53" s="646"/>
      <c r="AA53" s="646"/>
      <c r="AB53" s="646"/>
      <c r="AC53" s="646"/>
      <c r="AD53" s="646"/>
      <c r="AE53" s="646"/>
      <c r="AF53" s="646"/>
      <c r="AG53" s="646"/>
      <c r="AH53" s="646"/>
      <c r="AI53" s="646"/>
      <c r="AJ53" s="646"/>
      <c r="AK53" s="658"/>
    </row>
    <row r="54" spans="5:37" ht="15" customHeight="1" x14ac:dyDescent="0.55000000000000004">
      <c r="E54" s="687">
        <v>44674</v>
      </c>
      <c r="F54" s="688">
        <v>44615</v>
      </c>
      <c r="G54" s="640" t="s">
        <v>10</v>
      </c>
      <c r="H54" s="641"/>
      <c r="I54" s="641"/>
      <c r="J54" s="642"/>
      <c r="K54" s="640" t="s">
        <v>163</v>
      </c>
      <c r="L54" s="641"/>
      <c r="M54" s="642"/>
      <c r="N54" s="138">
        <v>0.3</v>
      </c>
      <c r="P54" s="694" t="str">
        <f>'Từ khóa'!F24</f>
        <v>Chi tiêu 3</v>
      </c>
      <c r="Q54" s="695"/>
      <c r="R54" s="695"/>
      <c r="S54" s="695"/>
      <c r="T54" s="696">
        <f>'Kế hoạch thu nhập và chi tiêu'!L38</f>
        <v>0</v>
      </c>
      <c r="U54" s="696"/>
      <c r="V54" s="152"/>
      <c r="W54" s="153">
        <f t="shared" ca="1" si="3"/>
        <v>0</v>
      </c>
      <c r="X54" s="697">
        <f t="shared" ca="1" si="4"/>
        <v>0</v>
      </c>
      <c r="Y54" s="698"/>
      <c r="Z54" s="646"/>
      <c r="AA54" s="646"/>
      <c r="AB54" s="646"/>
      <c r="AC54" s="646"/>
      <c r="AD54" s="646"/>
      <c r="AE54" s="646"/>
      <c r="AF54" s="646"/>
      <c r="AG54" s="646"/>
      <c r="AH54" s="646"/>
      <c r="AI54" s="646"/>
      <c r="AJ54" s="646"/>
      <c r="AK54" s="658"/>
    </row>
    <row r="55" spans="5:37" ht="15" customHeight="1" x14ac:dyDescent="0.55000000000000004">
      <c r="E55" s="687">
        <v>44675</v>
      </c>
      <c r="F55" s="688">
        <v>44616</v>
      </c>
      <c r="G55" s="640" t="s">
        <v>7</v>
      </c>
      <c r="H55" s="641"/>
      <c r="I55" s="641"/>
      <c r="J55" s="642"/>
      <c r="K55" s="640"/>
      <c r="L55" s="641"/>
      <c r="M55" s="642"/>
      <c r="N55" s="138">
        <v>0.3</v>
      </c>
      <c r="P55" s="694" t="str">
        <f>'Từ khóa'!F25</f>
        <v>Chi tiêu 4</v>
      </c>
      <c r="Q55" s="695"/>
      <c r="R55" s="695"/>
      <c r="S55" s="695"/>
      <c r="T55" s="696">
        <f>'Kế hoạch thu nhập và chi tiêu'!L39</f>
        <v>0</v>
      </c>
      <c r="U55" s="696"/>
      <c r="V55" s="152"/>
      <c r="W55" s="153">
        <f t="shared" ca="1" si="3"/>
        <v>0</v>
      </c>
      <c r="X55" s="697">
        <f t="shared" ca="1" si="4"/>
        <v>0</v>
      </c>
      <c r="Y55" s="698"/>
      <c r="Z55" s="646"/>
      <c r="AA55" s="646"/>
      <c r="AB55" s="646"/>
      <c r="AC55" s="646"/>
      <c r="AD55" s="646"/>
      <c r="AE55" s="646"/>
      <c r="AF55" s="646"/>
      <c r="AG55" s="646"/>
      <c r="AH55" s="646"/>
      <c r="AI55" s="646"/>
      <c r="AJ55" s="646"/>
      <c r="AK55" s="658"/>
    </row>
    <row r="56" spans="5:37" ht="15" customHeight="1" x14ac:dyDescent="0.55000000000000004">
      <c r="E56" s="687">
        <v>44676</v>
      </c>
      <c r="F56" s="688">
        <v>44617</v>
      </c>
      <c r="G56" s="640" t="s">
        <v>7</v>
      </c>
      <c r="H56" s="641"/>
      <c r="I56" s="641"/>
      <c r="J56" s="642"/>
      <c r="K56" s="640"/>
      <c r="L56" s="641"/>
      <c r="M56" s="642"/>
      <c r="N56" s="138">
        <v>0.2</v>
      </c>
      <c r="P56" s="694" t="str">
        <f>'Từ khóa'!F26</f>
        <v>Chi tiêu 5</v>
      </c>
      <c r="Q56" s="695"/>
      <c r="R56" s="695"/>
      <c r="S56" s="695"/>
      <c r="T56" s="696">
        <f>'Kế hoạch thu nhập và chi tiêu'!L40</f>
        <v>0</v>
      </c>
      <c r="U56" s="696"/>
      <c r="V56" s="152"/>
      <c r="W56" s="153"/>
      <c r="X56" s="697">
        <f t="shared" si="4"/>
        <v>0</v>
      </c>
      <c r="Y56" s="698"/>
      <c r="Z56" s="646"/>
      <c r="AA56" s="646"/>
      <c r="AB56" s="646"/>
      <c r="AC56" s="646"/>
      <c r="AD56" s="646"/>
      <c r="AE56" s="646"/>
      <c r="AF56" s="646"/>
      <c r="AG56" s="646"/>
      <c r="AH56" s="646"/>
      <c r="AI56" s="646"/>
      <c r="AJ56" s="646"/>
      <c r="AK56" s="658"/>
    </row>
    <row r="57" spans="5:37" ht="15.75" customHeight="1" thickBot="1" x14ac:dyDescent="0.6">
      <c r="E57" s="687">
        <v>44677</v>
      </c>
      <c r="F57" s="688">
        <v>44618</v>
      </c>
      <c r="G57" s="640" t="s">
        <v>13</v>
      </c>
      <c r="H57" s="641"/>
      <c r="I57" s="641"/>
      <c r="J57" s="642"/>
      <c r="K57" s="640"/>
      <c r="L57" s="641"/>
      <c r="M57" s="642"/>
      <c r="N57" s="138">
        <v>6.5</v>
      </c>
      <c r="P57" s="691" t="s">
        <v>317</v>
      </c>
      <c r="Q57" s="692"/>
      <c r="R57" s="692"/>
      <c r="S57" s="693"/>
      <c r="T57" s="689">
        <f>SUM(T42:U56)</f>
        <v>18.5</v>
      </c>
      <c r="U57" s="690"/>
      <c r="V57" s="689">
        <f ca="1">SUM(W42:W56)</f>
        <v>17.25</v>
      </c>
      <c r="W57" s="690"/>
      <c r="X57" s="689">
        <f t="shared" ref="X57" ca="1" si="5">SUM(X42:Y56)</f>
        <v>1.25</v>
      </c>
      <c r="Y57" s="690"/>
      <c r="Z57" s="669"/>
      <c r="AA57" s="669"/>
      <c r="AB57" s="669"/>
      <c r="AC57" s="669"/>
      <c r="AD57" s="669"/>
      <c r="AE57" s="669"/>
      <c r="AF57" s="669"/>
      <c r="AG57" s="669"/>
      <c r="AH57" s="669"/>
      <c r="AI57" s="669"/>
      <c r="AJ57" s="669"/>
      <c r="AK57" s="670"/>
    </row>
    <row r="58" spans="5:37" ht="15.75" customHeight="1" x14ac:dyDescent="0.55000000000000004">
      <c r="E58" s="687">
        <v>44678</v>
      </c>
      <c r="F58" s="688">
        <v>44619</v>
      </c>
      <c r="G58" s="640" t="s">
        <v>14</v>
      </c>
      <c r="H58" s="641"/>
      <c r="I58" s="641"/>
      <c r="J58" s="642"/>
      <c r="K58" s="640"/>
      <c r="L58" s="641"/>
      <c r="M58" s="642"/>
      <c r="N58" s="139">
        <v>1.4</v>
      </c>
      <c r="Q58" s="6"/>
      <c r="R58" s="6"/>
      <c r="S58" s="6"/>
      <c r="T58" s="6"/>
    </row>
    <row r="59" spans="5:37" ht="15.75" customHeight="1" x14ac:dyDescent="0.55000000000000004">
      <c r="E59" s="687">
        <v>44679</v>
      </c>
      <c r="F59" s="688" t="s">
        <v>174</v>
      </c>
      <c r="G59" s="640" t="s">
        <v>8</v>
      </c>
      <c r="H59" s="641"/>
      <c r="I59" s="641"/>
      <c r="J59" s="642"/>
      <c r="K59" s="640" t="s">
        <v>165</v>
      </c>
      <c r="L59" s="641"/>
      <c r="M59" s="642"/>
      <c r="N59" s="140">
        <v>0.7</v>
      </c>
      <c r="Q59" s="6"/>
      <c r="R59" s="6"/>
      <c r="S59" s="6"/>
      <c r="T59" s="6"/>
    </row>
    <row r="60" spans="5:37" ht="15" x14ac:dyDescent="0.55000000000000004">
      <c r="E60" s="638"/>
      <c r="F60" s="639"/>
      <c r="G60" s="640"/>
      <c r="H60" s="641"/>
      <c r="I60" s="641"/>
      <c r="J60" s="642"/>
      <c r="K60" s="640"/>
      <c r="L60" s="641"/>
      <c r="M60" s="642"/>
      <c r="N60" s="140"/>
    </row>
    <row r="61" spans="5:37" ht="15" x14ac:dyDescent="0.55000000000000004">
      <c r="E61" s="638"/>
      <c r="F61" s="639"/>
      <c r="G61" s="640"/>
      <c r="H61" s="641"/>
      <c r="I61" s="641"/>
      <c r="J61" s="642"/>
      <c r="K61" s="640"/>
      <c r="L61" s="641"/>
      <c r="M61" s="642"/>
      <c r="N61" s="140"/>
    </row>
    <row r="62" spans="5:37" ht="15" x14ac:dyDescent="0.55000000000000004">
      <c r="E62" s="638"/>
      <c r="F62" s="639"/>
      <c r="G62" s="640"/>
      <c r="H62" s="641"/>
      <c r="I62" s="641"/>
      <c r="J62" s="642"/>
      <c r="K62" s="640"/>
      <c r="L62" s="641"/>
      <c r="M62" s="642"/>
      <c r="N62" s="140"/>
    </row>
    <row r="63" spans="5:37" ht="15" x14ac:dyDescent="0.55000000000000004">
      <c r="E63" s="638"/>
      <c r="F63" s="639"/>
      <c r="G63" s="640"/>
      <c r="H63" s="641"/>
      <c r="I63" s="641"/>
      <c r="J63" s="642"/>
      <c r="K63" s="640"/>
      <c r="L63" s="641"/>
      <c r="M63" s="642"/>
      <c r="N63" s="140"/>
    </row>
    <row r="64" spans="5:37" ht="15" x14ac:dyDescent="0.55000000000000004">
      <c r="E64" s="638"/>
      <c r="F64" s="639"/>
      <c r="G64" s="640"/>
      <c r="H64" s="641"/>
      <c r="I64" s="641"/>
      <c r="J64" s="642"/>
      <c r="K64" s="640"/>
      <c r="L64" s="641"/>
      <c r="M64" s="642"/>
      <c r="N64" s="140"/>
    </row>
    <row r="65" spans="5:14" ht="15" x14ac:dyDescent="0.55000000000000004">
      <c r="E65" s="638"/>
      <c r="F65" s="639"/>
      <c r="G65" s="640"/>
      <c r="H65" s="641"/>
      <c r="I65" s="641"/>
      <c r="J65" s="642"/>
      <c r="K65" s="640"/>
      <c r="L65" s="641"/>
      <c r="M65" s="642"/>
      <c r="N65" s="140"/>
    </row>
    <row r="66" spans="5:14" ht="15" x14ac:dyDescent="0.55000000000000004">
      <c r="E66" s="638"/>
      <c r="F66" s="639"/>
      <c r="G66" s="640"/>
      <c r="H66" s="641"/>
      <c r="I66" s="641"/>
      <c r="J66" s="642"/>
      <c r="K66" s="640"/>
      <c r="L66" s="641"/>
      <c r="M66" s="642"/>
      <c r="N66" s="140"/>
    </row>
    <row r="67" spans="5:14" ht="15" x14ac:dyDescent="0.55000000000000004">
      <c r="E67" s="638"/>
      <c r="F67" s="639"/>
      <c r="G67" s="640"/>
      <c r="H67" s="641"/>
      <c r="I67" s="641"/>
      <c r="J67" s="642"/>
      <c r="K67" s="640"/>
      <c r="L67" s="641"/>
      <c r="M67" s="642"/>
      <c r="N67" s="140"/>
    </row>
    <row r="68" spans="5:14" ht="15" x14ac:dyDescent="0.55000000000000004">
      <c r="E68" s="638"/>
      <c r="F68" s="639"/>
      <c r="G68" s="640"/>
      <c r="H68" s="641"/>
      <c r="I68" s="641"/>
      <c r="J68" s="642"/>
      <c r="K68" s="640"/>
      <c r="L68" s="641"/>
      <c r="M68" s="642"/>
      <c r="N68" s="140"/>
    </row>
    <row r="69" spans="5:14" ht="15" x14ac:dyDescent="0.55000000000000004">
      <c r="E69" s="638"/>
      <c r="F69" s="639"/>
      <c r="G69" s="640"/>
      <c r="H69" s="641"/>
      <c r="I69" s="641"/>
      <c r="J69" s="642"/>
      <c r="K69" s="640"/>
      <c r="L69" s="641"/>
      <c r="M69" s="642"/>
      <c r="N69" s="140"/>
    </row>
    <row r="70" spans="5:14" ht="15" x14ac:dyDescent="0.55000000000000004">
      <c r="E70" s="638"/>
      <c r="F70" s="639"/>
      <c r="G70" s="640"/>
      <c r="H70" s="641"/>
      <c r="I70" s="641"/>
      <c r="J70" s="642"/>
      <c r="K70" s="640"/>
      <c r="L70" s="641"/>
      <c r="M70" s="642"/>
      <c r="N70" s="140"/>
    </row>
    <row r="71" spans="5:14" ht="15" x14ac:dyDescent="0.55000000000000004">
      <c r="E71" s="638"/>
      <c r="F71" s="639"/>
      <c r="G71" s="640"/>
      <c r="H71" s="641"/>
      <c r="I71" s="641"/>
      <c r="J71" s="642"/>
      <c r="K71" s="640"/>
      <c r="L71" s="641"/>
      <c r="M71" s="642"/>
      <c r="N71" s="140"/>
    </row>
    <row r="72" spans="5:14" ht="15" x14ac:dyDescent="0.55000000000000004">
      <c r="E72" s="638"/>
      <c r="F72" s="639"/>
      <c r="G72" s="640"/>
      <c r="H72" s="641"/>
      <c r="I72" s="641"/>
      <c r="J72" s="642"/>
      <c r="K72" s="640"/>
      <c r="L72" s="641"/>
      <c r="M72" s="642"/>
      <c r="N72" s="140"/>
    </row>
    <row r="73" spans="5:14" ht="15" x14ac:dyDescent="0.55000000000000004">
      <c r="E73" s="638"/>
      <c r="F73" s="639"/>
      <c r="G73" s="640"/>
      <c r="H73" s="641"/>
      <c r="I73" s="641"/>
      <c r="J73" s="642"/>
      <c r="K73" s="640"/>
      <c r="L73" s="641"/>
      <c r="M73" s="642"/>
      <c r="N73" s="140"/>
    </row>
    <row r="74" spans="5:14" ht="15" x14ac:dyDescent="0.55000000000000004">
      <c r="E74" s="638"/>
      <c r="F74" s="639"/>
      <c r="G74" s="640"/>
      <c r="H74" s="641"/>
      <c r="I74" s="641"/>
      <c r="J74" s="642"/>
      <c r="K74" s="640"/>
      <c r="L74" s="641"/>
      <c r="M74" s="642"/>
      <c r="N74" s="140"/>
    </row>
    <row r="75" spans="5:14" ht="15" x14ac:dyDescent="0.55000000000000004">
      <c r="E75" s="638"/>
      <c r="F75" s="639"/>
      <c r="G75" s="640"/>
      <c r="H75" s="641"/>
      <c r="I75" s="641"/>
      <c r="J75" s="642"/>
      <c r="K75" s="640"/>
      <c r="L75" s="641"/>
      <c r="M75" s="642"/>
      <c r="N75" s="140"/>
    </row>
    <row r="76" spans="5:14" ht="15" x14ac:dyDescent="0.55000000000000004">
      <c r="E76" s="638"/>
      <c r="F76" s="639"/>
      <c r="G76" s="640"/>
      <c r="H76" s="641"/>
      <c r="I76" s="641"/>
      <c r="J76" s="642"/>
      <c r="K76" s="640"/>
      <c r="L76" s="641"/>
      <c r="M76" s="642"/>
      <c r="N76" s="140"/>
    </row>
    <row r="77" spans="5:14" ht="15" x14ac:dyDescent="0.55000000000000004">
      <c r="E77" s="638"/>
      <c r="F77" s="639"/>
      <c r="G77" s="640"/>
      <c r="H77" s="641"/>
      <c r="I77" s="641"/>
      <c r="J77" s="642"/>
      <c r="K77" s="640"/>
      <c r="L77" s="641"/>
      <c r="M77" s="642"/>
      <c r="N77" s="140"/>
    </row>
    <row r="78" spans="5:14" ht="15" x14ac:dyDescent="0.55000000000000004">
      <c r="E78" s="638"/>
      <c r="F78" s="639"/>
      <c r="G78" s="640"/>
      <c r="H78" s="641"/>
      <c r="I78" s="641"/>
      <c r="J78" s="642"/>
      <c r="K78" s="640"/>
      <c r="L78" s="641"/>
      <c r="M78" s="642"/>
      <c r="N78" s="140"/>
    </row>
    <row r="79" spans="5:14" ht="15" x14ac:dyDescent="0.55000000000000004">
      <c r="E79" s="638"/>
      <c r="F79" s="639"/>
      <c r="G79" s="640"/>
      <c r="H79" s="641"/>
      <c r="I79" s="641"/>
      <c r="J79" s="642"/>
      <c r="K79" s="640"/>
      <c r="L79" s="641"/>
      <c r="M79" s="642"/>
      <c r="N79" s="140"/>
    </row>
    <row r="80" spans="5:14" ht="15" x14ac:dyDescent="0.55000000000000004">
      <c r="E80" s="638"/>
      <c r="F80" s="639"/>
      <c r="G80" s="640"/>
      <c r="H80" s="641"/>
      <c r="I80" s="641"/>
      <c r="J80" s="642"/>
      <c r="K80" s="640"/>
      <c r="L80" s="641"/>
      <c r="M80" s="642"/>
      <c r="N80" s="140"/>
    </row>
    <row r="81" spans="1:31" ht="15" x14ac:dyDescent="0.55000000000000004">
      <c r="E81" s="638"/>
      <c r="F81" s="639"/>
      <c r="G81" s="640"/>
      <c r="H81" s="641"/>
      <c r="I81" s="641"/>
      <c r="J81" s="642"/>
      <c r="K81" s="640"/>
      <c r="L81" s="641"/>
      <c r="M81" s="642"/>
      <c r="N81" s="140"/>
    </row>
    <row r="82" spans="1:31" ht="15" x14ac:dyDescent="0.55000000000000004">
      <c r="E82" s="638"/>
      <c r="F82" s="639"/>
      <c r="G82" s="640"/>
      <c r="H82" s="641"/>
      <c r="I82" s="641"/>
      <c r="J82" s="642"/>
      <c r="K82" s="640"/>
      <c r="L82" s="641"/>
      <c r="M82" s="642"/>
      <c r="N82" s="140"/>
    </row>
    <row r="83" spans="1:31" ht="15.4" thickBot="1" x14ac:dyDescent="0.6">
      <c r="E83" s="671" t="s">
        <v>317</v>
      </c>
      <c r="F83" s="672"/>
      <c r="G83" s="672"/>
      <c r="H83" s="672"/>
      <c r="I83" s="672"/>
      <c r="J83" s="672"/>
      <c r="K83" s="672"/>
      <c r="L83" s="672"/>
      <c r="M83" s="673"/>
      <c r="N83" s="143">
        <f>SUM(N42:N82)</f>
        <v>17.25</v>
      </c>
    </row>
    <row r="86" spans="1:31" ht="15" customHeight="1" x14ac:dyDescent="0.45">
      <c r="E86" s="532" t="s">
        <v>348</v>
      </c>
      <c r="F86" s="532"/>
      <c r="G86" s="532"/>
      <c r="H86" s="532"/>
      <c r="I86" s="532"/>
      <c r="J86" s="532"/>
      <c r="K86" s="532"/>
      <c r="L86" s="532"/>
      <c r="M86" s="532"/>
      <c r="N86" s="5"/>
      <c r="O86" s="5"/>
      <c r="P86" s="5"/>
      <c r="Q86" s="5"/>
      <c r="R86" s="5"/>
      <c r="S86" s="6"/>
      <c r="T86" s="6"/>
      <c r="U86" s="6"/>
      <c r="V86" s="6"/>
      <c r="W86" s="6"/>
      <c r="X86" s="6"/>
      <c r="Y86" s="6"/>
      <c r="Z86" s="6"/>
      <c r="AA86" s="6"/>
    </row>
    <row r="87" spans="1:31" s="8" customFormat="1" ht="15" customHeight="1" thickBot="1" x14ac:dyDescent="0.5">
      <c r="A87" s="7"/>
      <c r="B87" s="7"/>
      <c r="C87" s="7"/>
      <c r="E87" s="533"/>
      <c r="F87" s="533"/>
      <c r="G87" s="533"/>
      <c r="H87" s="533"/>
      <c r="I87" s="533"/>
      <c r="J87" s="533"/>
      <c r="K87" s="533"/>
      <c r="L87" s="533"/>
      <c r="M87" s="533"/>
      <c r="N87" s="9"/>
      <c r="O87" s="9"/>
      <c r="P87" s="9"/>
      <c r="Q87" s="9"/>
      <c r="R87" s="9"/>
      <c r="S87" s="10"/>
      <c r="T87" s="10"/>
      <c r="U87" s="10"/>
      <c r="V87" s="10"/>
      <c r="W87" s="10"/>
      <c r="X87" s="10"/>
      <c r="Y87" s="10"/>
      <c r="Z87" s="10"/>
      <c r="AA87" s="10"/>
    </row>
    <row r="88" spans="1:31" ht="14.65" thickBot="1" x14ac:dyDescent="0.5"/>
    <row r="89" spans="1:31" ht="14.65" thickBot="1" x14ac:dyDescent="0.5">
      <c r="E89" s="620" t="s">
        <v>350</v>
      </c>
      <c r="F89" s="621"/>
      <c r="G89" s="621"/>
      <c r="H89" s="621"/>
      <c r="I89" s="621"/>
      <c r="J89" s="621"/>
      <c r="K89" s="621"/>
      <c r="L89" s="621"/>
      <c r="M89" s="621"/>
      <c r="N89" s="621"/>
      <c r="O89" s="621"/>
      <c r="P89" s="621"/>
      <c r="Q89" s="621"/>
      <c r="R89" s="621"/>
      <c r="S89" s="621"/>
      <c r="T89" s="621"/>
      <c r="U89" s="621"/>
      <c r="V89" s="621"/>
      <c r="W89" s="621"/>
      <c r="X89" s="621"/>
      <c r="Y89" s="622"/>
      <c r="AA89" s="629" t="s">
        <v>353</v>
      </c>
      <c r="AB89" s="630"/>
      <c r="AC89" s="630"/>
      <c r="AD89" s="630"/>
      <c r="AE89" s="631"/>
    </row>
    <row r="90" spans="1:31" x14ac:dyDescent="0.45">
      <c r="E90" s="615" t="s">
        <v>146</v>
      </c>
      <c r="F90" s="350"/>
      <c r="G90" s="350" t="s">
        <v>349</v>
      </c>
      <c r="H90" s="350"/>
      <c r="I90" s="350" t="s">
        <v>345</v>
      </c>
      <c r="J90" s="350"/>
      <c r="K90" s="133" t="s">
        <v>148</v>
      </c>
      <c r="L90" s="350" t="s">
        <v>166</v>
      </c>
      <c r="M90" s="350"/>
      <c r="N90" s="350"/>
      <c r="O90" s="350"/>
      <c r="P90" s="350"/>
      <c r="Q90" s="350"/>
      <c r="R90" s="350"/>
      <c r="S90" s="350" t="s">
        <v>352</v>
      </c>
      <c r="T90" s="350"/>
      <c r="U90" s="350"/>
      <c r="V90" s="350"/>
      <c r="W90" s="350"/>
      <c r="X90" s="350"/>
      <c r="Y90" s="614"/>
      <c r="AA90" s="685" t="s">
        <v>147</v>
      </c>
      <c r="AB90" s="686"/>
      <c r="AC90" s="686"/>
      <c r="AD90" s="686"/>
      <c r="AE90" s="684" t="s">
        <v>324</v>
      </c>
    </row>
    <row r="91" spans="1:31" ht="15" x14ac:dyDescent="0.45">
      <c r="E91" s="680">
        <v>44662</v>
      </c>
      <c r="F91" s="681"/>
      <c r="G91" s="555" t="s">
        <v>23</v>
      </c>
      <c r="H91" s="555"/>
      <c r="I91" s="555" t="s">
        <v>167</v>
      </c>
      <c r="J91" s="555"/>
      <c r="K91" s="149">
        <v>0.1</v>
      </c>
      <c r="L91" s="619" t="s">
        <v>168</v>
      </c>
      <c r="M91" s="619"/>
      <c r="N91" s="619"/>
      <c r="O91" s="619"/>
      <c r="P91" s="619"/>
      <c r="Q91" s="619"/>
      <c r="R91" s="619"/>
      <c r="S91" s="555" t="s">
        <v>432</v>
      </c>
      <c r="T91" s="555"/>
      <c r="U91" s="555"/>
      <c r="V91" s="555"/>
      <c r="W91" s="555"/>
      <c r="X91" s="555"/>
      <c r="Y91" s="556"/>
      <c r="AA91" s="685"/>
      <c r="AB91" s="686"/>
      <c r="AC91" s="686"/>
      <c r="AD91" s="686"/>
      <c r="AE91" s="684"/>
    </row>
    <row r="92" spans="1:31" ht="15" x14ac:dyDescent="0.45">
      <c r="E92" s="680">
        <v>44663</v>
      </c>
      <c r="F92" s="681"/>
      <c r="G92" s="557" t="s">
        <v>24</v>
      </c>
      <c r="H92" s="557"/>
      <c r="I92" s="557" t="s">
        <v>329</v>
      </c>
      <c r="J92" s="557"/>
      <c r="K92" s="150">
        <v>0.5</v>
      </c>
      <c r="L92" s="606" t="s">
        <v>168</v>
      </c>
      <c r="M92" s="606"/>
      <c r="N92" s="606"/>
      <c r="O92" s="606"/>
      <c r="P92" s="606"/>
      <c r="Q92" s="606"/>
      <c r="R92" s="606"/>
      <c r="S92" s="555" t="s">
        <v>432</v>
      </c>
      <c r="T92" s="555"/>
      <c r="U92" s="555"/>
      <c r="V92" s="555"/>
      <c r="W92" s="555"/>
      <c r="X92" s="555"/>
      <c r="Y92" s="556"/>
      <c r="AA92" s="682" t="str">
        <f>'Từ khóa'!S12:S12</f>
        <v>Mua sách</v>
      </c>
      <c r="AB92" s="683"/>
      <c r="AC92" s="683"/>
      <c r="AD92" s="683"/>
      <c r="AE92" s="145">
        <f ca="1">SUMIF($G$91:$H$105,AA92,$K$91:$K$105)</f>
        <v>0.1</v>
      </c>
    </row>
    <row r="93" spans="1:31" ht="15" x14ac:dyDescent="0.45">
      <c r="E93" s="680">
        <v>44679</v>
      </c>
      <c r="F93" s="681"/>
      <c r="G93" s="557" t="s">
        <v>24</v>
      </c>
      <c r="H93" s="557"/>
      <c r="I93" s="557" t="s">
        <v>380</v>
      </c>
      <c r="J93" s="557"/>
      <c r="K93" s="150">
        <v>0.7</v>
      </c>
      <c r="L93" s="606" t="s">
        <v>381</v>
      </c>
      <c r="M93" s="606"/>
      <c r="N93" s="606"/>
      <c r="O93" s="606"/>
      <c r="P93" s="606"/>
      <c r="Q93" s="606"/>
      <c r="R93" s="606"/>
      <c r="S93" s="557"/>
      <c r="T93" s="557"/>
      <c r="U93" s="557"/>
      <c r="V93" s="557"/>
      <c r="W93" s="557"/>
      <c r="X93" s="557"/>
      <c r="Y93" s="558"/>
      <c r="AA93" s="678" t="str">
        <f>'Từ khóa'!S13:S13</f>
        <v>Khóa học ngắn hạn</v>
      </c>
      <c r="AB93" s="679"/>
      <c r="AC93" s="679"/>
      <c r="AD93" s="679"/>
      <c r="AE93" s="146">
        <f t="shared" ref="AE93:AE101" ca="1" si="6">SUMIF($G$91:$H$105,AA93,$K$91:$K$105)</f>
        <v>1.2</v>
      </c>
    </row>
    <row r="94" spans="1:31" ht="15" x14ac:dyDescent="0.45">
      <c r="E94" s="680"/>
      <c r="F94" s="681"/>
      <c r="G94" s="557"/>
      <c r="H94" s="557"/>
      <c r="I94" s="557"/>
      <c r="J94" s="557"/>
      <c r="K94" s="150"/>
      <c r="L94" s="606"/>
      <c r="M94" s="606"/>
      <c r="N94" s="606"/>
      <c r="O94" s="606"/>
      <c r="P94" s="606"/>
      <c r="Q94" s="606"/>
      <c r="R94" s="606"/>
      <c r="S94" s="557"/>
      <c r="T94" s="557"/>
      <c r="U94" s="557"/>
      <c r="V94" s="557"/>
      <c r="W94" s="557"/>
      <c r="X94" s="557"/>
      <c r="Y94" s="558"/>
      <c r="AA94" s="678" t="str">
        <f>'Từ khóa'!S14:S14</f>
        <v>Khóa học dài hạn</v>
      </c>
      <c r="AB94" s="679"/>
      <c r="AC94" s="679"/>
      <c r="AD94" s="679"/>
      <c r="AE94" s="146">
        <f t="shared" ca="1" si="6"/>
        <v>0</v>
      </c>
    </row>
    <row r="95" spans="1:31" x14ac:dyDescent="0.45">
      <c r="E95" s="604"/>
      <c r="F95" s="605"/>
      <c r="G95" s="557"/>
      <c r="H95" s="557"/>
      <c r="I95" s="557"/>
      <c r="J95" s="557"/>
      <c r="K95" s="150"/>
      <c r="L95" s="606"/>
      <c r="M95" s="606"/>
      <c r="N95" s="606"/>
      <c r="O95" s="606"/>
      <c r="P95" s="606"/>
      <c r="Q95" s="606"/>
      <c r="R95" s="606"/>
      <c r="S95" s="557"/>
      <c r="T95" s="557"/>
      <c r="U95" s="557"/>
      <c r="V95" s="557"/>
      <c r="W95" s="557"/>
      <c r="X95" s="557"/>
      <c r="Y95" s="558"/>
      <c r="AA95" s="678" t="e">
        <f>'Từ khóa'!#REF!</f>
        <v>#REF!</v>
      </c>
      <c r="AB95" s="679"/>
      <c r="AC95" s="679"/>
      <c r="AD95" s="679"/>
      <c r="AE95" s="146">
        <f t="shared" ca="1" si="6"/>
        <v>0</v>
      </c>
    </row>
    <row r="96" spans="1:31" x14ac:dyDescent="0.45">
      <c r="E96" s="604"/>
      <c r="F96" s="605"/>
      <c r="G96" s="557"/>
      <c r="H96" s="557"/>
      <c r="I96" s="557"/>
      <c r="J96" s="557"/>
      <c r="K96" s="150"/>
      <c r="L96" s="606"/>
      <c r="M96" s="606"/>
      <c r="N96" s="606"/>
      <c r="O96" s="606"/>
      <c r="P96" s="606"/>
      <c r="Q96" s="606"/>
      <c r="R96" s="606"/>
      <c r="S96" s="557"/>
      <c r="T96" s="557"/>
      <c r="U96" s="557"/>
      <c r="V96" s="557"/>
      <c r="W96" s="557"/>
      <c r="X96" s="557"/>
      <c r="Y96" s="558"/>
      <c r="AA96" s="678" t="str">
        <f>'Từ khóa'!S15:S15</f>
        <v>Tham gia các buổi diễn thuyết</v>
      </c>
      <c r="AB96" s="679"/>
      <c r="AC96" s="679"/>
      <c r="AD96" s="679"/>
      <c r="AE96" s="146">
        <f t="shared" ca="1" si="6"/>
        <v>0</v>
      </c>
    </row>
    <row r="97" spans="5:31" x14ac:dyDescent="0.45">
      <c r="E97" s="604"/>
      <c r="F97" s="605"/>
      <c r="G97" s="557"/>
      <c r="H97" s="557"/>
      <c r="I97" s="557"/>
      <c r="J97" s="557"/>
      <c r="K97" s="150"/>
      <c r="L97" s="606"/>
      <c r="M97" s="606"/>
      <c r="N97" s="606"/>
      <c r="O97" s="606"/>
      <c r="P97" s="606"/>
      <c r="Q97" s="606"/>
      <c r="R97" s="606"/>
      <c r="S97" s="557"/>
      <c r="T97" s="557"/>
      <c r="U97" s="557"/>
      <c r="V97" s="557"/>
      <c r="W97" s="557"/>
      <c r="X97" s="557"/>
      <c r="Y97" s="558"/>
      <c r="AA97" s="678" t="str">
        <f>'Từ khóa'!S16:S16</f>
        <v>Chi phát triển bản thân khác</v>
      </c>
      <c r="AB97" s="679"/>
      <c r="AC97" s="679"/>
      <c r="AD97" s="679"/>
      <c r="AE97" s="146">
        <f t="shared" ca="1" si="6"/>
        <v>0</v>
      </c>
    </row>
    <row r="98" spans="5:31" x14ac:dyDescent="0.45">
      <c r="E98" s="604"/>
      <c r="F98" s="605"/>
      <c r="G98" s="557"/>
      <c r="H98" s="557"/>
      <c r="I98" s="557"/>
      <c r="J98" s="557"/>
      <c r="K98" s="150"/>
      <c r="L98" s="606"/>
      <c r="M98" s="606"/>
      <c r="N98" s="606"/>
      <c r="O98" s="606"/>
      <c r="P98" s="606"/>
      <c r="Q98" s="606"/>
      <c r="R98" s="606"/>
      <c r="S98" s="557"/>
      <c r="T98" s="557"/>
      <c r="U98" s="557"/>
      <c r="V98" s="557"/>
      <c r="W98" s="557"/>
      <c r="X98" s="557"/>
      <c r="Y98" s="558"/>
      <c r="AA98" s="678">
        <f>'Từ khóa'!S18:S18</f>
        <v>0</v>
      </c>
      <c r="AB98" s="679"/>
      <c r="AC98" s="679"/>
      <c r="AD98" s="679"/>
      <c r="AE98" s="146">
        <f t="shared" ca="1" si="6"/>
        <v>0</v>
      </c>
    </row>
    <row r="99" spans="5:31" x14ac:dyDescent="0.45">
      <c r="E99" s="604"/>
      <c r="F99" s="605"/>
      <c r="G99" s="557"/>
      <c r="H99" s="557"/>
      <c r="I99" s="557"/>
      <c r="J99" s="557"/>
      <c r="K99" s="150"/>
      <c r="L99" s="606"/>
      <c r="M99" s="606"/>
      <c r="N99" s="606"/>
      <c r="O99" s="606"/>
      <c r="P99" s="606"/>
      <c r="Q99" s="606"/>
      <c r="R99" s="606"/>
      <c r="S99" s="557"/>
      <c r="T99" s="557"/>
      <c r="U99" s="557"/>
      <c r="V99" s="557"/>
      <c r="W99" s="557"/>
      <c r="X99" s="557"/>
      <c r="Y99" s="558"/>
      <c r="AA99" s="678">
        <f>'Từ khóa'!S19:S19</f>
        <v>0</v>
      </c>
      <c r="AB99" s="679"/>
      <c r="AC99" s="679"/>
      <c r="AD99" s="679"/>
      <c r="AE99" s="146">
        <f t="shared" ca="1" si="6"/>
        <v>0</v>
      </c>
    </row>
    <row r="100" spans="5:31" x14ac:dyDescent="0.45">
      <c r="E100" s="604"/>
      <c r="F100" s="605"/>
      <c r="G100" s="557"/>
      <c r="H100" s="557"/>
      <c r="I100" s="557"/>
      <c r="J100" s="557"/>
      <c r="K100" s="150"/>
      <c r="L100" s="606"/>
      <c r="M100" s="606"/>
      <c r="N100" s="606"/>
      <c r="O100" s="606"/>
      <c r="P100" s="606"/>
      <c r="Q100" s="606"/>
      <c r="R100" s="606"/>
      <c r="S100" s="557"/>
      <c r="T100" s="557"/>
      <c r="U100" s="557"/>
      <c r="V100" s="557"/>
      <c r="W100" s="557"/>
      <c r="X100" s="557"/>
      <c r="Y100" s="558"/>
      <c r="AA100" s="678">
        <f>'Từ khóa'!S20:S20</f>
        <v>0</v>
      </c>
      <c r="AB100" s="679"/>
      <c r="AC100" s="679"/>
      <c r="AD100" s="679"/>
      <c r="AE100" s="146">
        <f t="shared" ca="1" si="6"/>
        <v>0</v>
      </c>
    </row>
    <row r="101" spans="5:31" ht="14.65" thickBot="1" x14ac:dyDescent="0.5">
      <c r="E101" s="604"/>
      <c r="F101" s="605"/>
      <c r="G101" s="557"/>
      <c r="H101" s="557"/>
      <c r="I101" s="557"/>
      <c r="J101" s="557"/>
      <c r="K101" s="150"/>
      <c r="L101" s="606"/>
      <c r="M101" s="606"/>
      <c r="N101" s="606"/>
      <c r="O101" s="606"/>
      <c r="P101" s="606"/>
      <c r="Q101" s="606"/>
      <c r="R101" s="606"/>
      <c r="S101" s="557"/>
      <c r="T101" s="557"/>
      <c r="U101" s="557"/>
      <c r="V101" s="557"/>
      <c r="W101" s="557"/>
      <c r="X101" s="557"/>
      <c r="Y101" s="558"/>
      <c r="AA101" s="676">
        <f>'Từ khóa'!S21:S21</f>
        <v>0</v>
      </c>
      <c r="AB101" s="677"/>
      <c r="AC101" s="677"/>
      <c r="AD101" s="677"/>
      <c r="AE101" s="147">
        <f t="shared" ca="1" si="6"/>
        <v>0</v>
      </c>
    </row>
    <row r="102" spans="5:31" ht="14.65" thickBot="1" x14ac:dyDescent="0.5">
      <c r="E102" s="604"/>
      <c r="F102" s="605"/>
      <c r="G102" s="557"/>
      <c r="H102" s="557"/>
      <c r="I102" s="557"/>
      <c r="J102" s="557"/>
      <c r="K102" s="150"/>
      <c r="L102" s="606"/>
      <c r="M102" s="606"/>
      <c r="N102" s="606"/>
      <c r="O102" s="606"/>
      <c r="P102" s="606"/>
      <c r="Q102" s="606"/>
      <c r="R102" s="606"/>
      <c r="S102" s="557"/>
      <c r="T102" s="557"/>
      <c r="U102" s="557"/>
      <c r="V102" s="557"/>
      <c r="W102" s="557"/>
      <c r="X102" s="557"/>
      <c r="Y102" s="558"/>
      <c r="AA102" s="709" t="s">
        <v>351</v>
      </c>
      <c r="AB102" s="710"/>
      <c r="AC102" s="710"/>
      <c r="AD102" s="710"/>
      <c r="AE102" s="262">
        <f ca="1">SUM(AE92:AE101)</f>
        <v>1.3</v>
      </c>
    </row>
    <row r="103" spans="5:31" x14ac:dyDescent="0.45">
      <c r="E103" s="604"/>
      <c r="F103" s="605"/>
      <c r="G103" s="557"/>
      <c r="H103" s="557"/>
      <c r="I103" s="557"/>
      <c r="J103" s="557"/>
      <c r="K103" s="150"/>
      <c r="L103" s="606"/>
      <c r="M103" s="606"/>
      <c r="N103" s="606"/>
      <c r="O103" s="606"/>
      <c r="P103" s="606"/>
      <c r="Q103" s="606"/>
      <c r="R103" s="606"/>
      <c r="S103" s="557"/>
      <c r="T103" s="557"/>
      <c r="U103" s="557"/>
      <c r="V103" s="557"/>
      <c r="W103" s="557"/>
      <c r="X103" s="557"/>
      <c r="Y103" s="558"/>
      <c r="AA103" s="600"/>
      <c r="AB103" s="600"/>
      <c r="AC103" s="600"/>
      <c r="AD103" s="600"/>
    </row>
    <row r="104" spans="5:31" x14ac:dyDescent="0.45">
      <c r="E104" s="604"/>
      <c r="F104" s="605"/>
      <c r="G104" s="557"/>
      <c r="H104" s="557"/>
      <c r="I104" s="557"/>
      <c r="J104" s="557"/>
      <c r="K104" s="150"/>
      <c r="L104" s="606"/>
      <c r="M104" s="606"/>
      <c r="N104" s="606"/>
      <c r="O104" s="606"/>
      <c r="P104" s="606"/>
      <c r="Q104" s="606"/>
      <c r="R104" s="606"/>
      <c r="S104" s="557"/>
      <c r="T104" s="557"/>
      <c r="U104" s="557"/>
      <c r="V104" s="557"/>
      <c r="W104" s="557"/>
      <c r="X104" s="557"/>
      <c r="Y104" s="558"/>
      <c r="AA104" s="600"/>
      <c r="AB104" s="600"/>
      <c r="AC104" s="600"/>
      <c r="AD104" s="600"/>
    </row>
    <row r="105" spans="5:31" ht="14.65" thickBot="1" x14ac:dyDescent="0.5">
      <c r="E105" s="607"/>
      <c r="F105" s="608"/>
      <c r="G105" s="546"/>
      <c r="H105" s="546"/>
      <c r="I105" s="546"/>
      <c r="J105" s="546"/>
      <c r="K105" s="151"/>
      <c r="L105" s="609"/>
      <c r="M105" s="609"/>
      <c r="N105" s="609"/>
      <c r="O105" s="609"/>
      <c r="P105" s="609"/>
      <c r="Q105" s="609"/>
      <c r="R105" s="609"/>
      <c r="S105" s="546"/>
      <c r="T105" s="546"/>
      <c r="U105" s="546"/>
      <c r="V105" s="546"/>
      <c r="W105" s="546"/>
      <c r="X105" s="546"/>
      <c r="Y105" s="547"/>
      <c r="AA105" s="600"/>
      <c r="AB105" s="600"/>
      <c r="AC105" s="600"/>
      <c r="AD105" s="600"/>
    </row>
    <row r="106" spans="5:31" ht="14.65" thickBot="1" x14ac:dyDescent="0.5">
      <c r="E106" s="601" t="s">
        <v>351</v>
      </c>
      <c r="F106" s="602"/>
      <c r="G106" s="602"/>
      <c r="H106" s="602"/>
      <c r="I106" s="602"/>
      <c r="J106" s="602"/>
      <c r="K106" s="603">
        <f>SUM(K91:K105)</f>
        <v>1.2999999999999998</v>
      </c>
      <c r="L106" s="603"/>
      <c r="M106" s="603"/>
      <c r="N106" s="603"/>
      <c r="O106" s="603"/>
      <c r="P106" s="603"/>
      <c r="Q106" s="603"/>
      <c r="R106" s="603"/>
      <c r="S106" s="141"/>
      <c r="T106" s="141"/>
      <c r="U106" s="141"/>
      <c r="V106" s="141"/>
      <c r="W106" s="141"/>
      <c r="X106" s="141"/>
      <c r="Y106" s="142"/>
    </row>
  </sheetData>
  <sheetProtection algorithmName="SHA-512" hashValue="+ao9LQ7o7EwwRDd6RnoRn3rqMOwrlD/+0IgZ1XgnGr9Qri5Loy7ZiLlU/Em6bVoJ/W8Fu7Fpgld/R31iNffZOw==" saltValue="lgMWe/PP/C9WXdq2XgxokQ==" spinCount="100000" sheet="1" formatCells="0" formatColumns="0" formatRows="0" insertColumns="0" insertRows="0" insertHyperlinks="0" deleteColumns="0" deleteRows="0" sort="0" autoFilter="0" pivotTables="0"/>
  <mergeCells count="423">
    <mergeCell ref="E1:K3"/>
    <mergeCell ref="E6:M7"/>
    <mergeCell ref="E9:H12"/>
    <mergeCell ref="I9:I12"/>
    <mergeCell ref="E14:H17"/>
    <mergeCell ref="I14:I17"/>
    <mergeCell ref="E19:H22"/>
    <mergeCell ref="I19:I22"/>
    <mergeCell ref="E25:N25"/>
    <mergeCell ref="P25:AK25"/>
    <mergeCell ref="E26:F26"/>
    <mergeCell ref="G26:J26"/>
    <mergeCell ref="K26:M26"/>
    <mergeCell ref="P26:S26"/>
    <mergeCell ref="T26:U26"/>
    <mergeCell ref="V26:W26"/>
    <mergeCell ref="X26:Y26"/>
    <mergeCell ref="Z26:AE26"/>
    <mergeCell ref="AF26:AK26"/>
    <mergeCell ref="E27:F27"/>
    <mergeCell ref="G27:J27"/>
    <mergeCell ref="K27:M27"/>
    <mergeCell ref="P27:S27"/>
    <mergeCell ref="T27:U27"/>
    <mergeCell ref="X27:Y27"/>
    <mergeCell ref="Z27:AE27"/>
    <mergeCell ref="AF27:AK27"/>
    <mergeCell ref="E28:F28"/>
    <mergeCell ref="G28:J28"/>
    <mergeCell ref="K28:M28"/>
    <mergeCell ref="P28:S28"/>
    <mergeCell ref="T28:U28"/>
    <mergeCell ref="X28:Y28"/>
    <mergeCell ref="Z28:AE28"/>
    <mergeCell ref="AF28:AK28"/>
    <mergeCell ref="Z29:AE29"/>
    <mergeCell ref="AF29:AK29"/>
    <mergeCell ref="E30:F30"/>
    <mergeCell ref="G30:J30"/>
    <mergeCell ref="K30:M30"/>
    <mergeCell ref="P30:S30"/>
    <mergeCell ref="T30:U30"/>
    <mergeCell ref="X30:Y30"/>
    <mergeCell ref="Z30:AE30"/>
    <mergeCell ref="AF30:AK30"/>
    <mergeCell ref="E29:F29"/>
    <mergeCell ref="G29:J29"/>
    <mergeCell ref="K29:M29"/>
    <mergeCell ref="P29:S29"/>
    <mergeCell ref="T29:U29"/>
    <mergeCell ref="X29:Y29"/>
    <mergeCell ref="Z31:AE31"/>
    <mergeCell ref="AF31:AK31"/>
    <mergeCell ref="E32:F32"/>
    <mergeCell ref="G32:J32"/>
    <mergeCell ref="K32:M32"/>
    <mergeCell ref="P32:S32"/>
    <mergeCell ref="T32:U32"/>
    <mergeCell ref="X32:Y32"/>
    <mergeCell ref="Z32:AE32"/>
    <mergeCell ref="AF32:AK32"/>
    <mergeCell ref="E31:F31"/>
    <mergeCell ref="G31:J31"/>
    <mergeCell ref="K31:M31"/>
    <mergeCell ref="P31:S31"/>
    <mergeCell ref="T31:U31"/>
    <mergeCell ref="X31:Y31"/>
    <mergeCell ref="Z33:AE33"/>
    <mergeCell ref="AF33:AK33"/>
    <mergeCell ref="E34:F34"/>
    <mergeCell ref="G34:J34"/>
    <mergeCell ref="K34:M34"/>
    <mergeCell ref="P34:S34"/>
    <mergeCell ref="T34:U34"/>
    <mergeCell ref="X34:Y34"/>
    <mergeCell ref="Z34:AE34"/>
    <mergeCell ref="AF34:AK34"/>
    <mergeCell ref="E33:F33"/>
    <mergeCell ref="G33:J33"/>
    <mergeCell ref="K33:M33"/>
    <mergeCell ref="P33:S33"/>
    <mergeCell ref="T33:U33"/>
    <mergeCell ref="X33:Y33"/>
    <mergeCell ref="Z35:AE35"/>
    <mergeCell ref="AF35:AK35"/>
    <mergeCell ref="E36:F36"/>
    <mergeCell ref="G36:J36"/>
    <mergeCell ref="K36:M36"/>
    <mergeCell ref="P36:S36"/>
    <mergeCell ref="T36:U36"/>
    <mergeCell ref="X36:Y36"/>
    <mergeCell ref="Z36:AE36"/>
    <mergeCell ref="AF36:AK36"/>
    <mergeCell ref="E35:F35"/>
    <mergeCell ref="G35:J35"/>
    <mergeCell ref="K35:M35"/>
    <mergeCell ref="P35:S35"/>
    <mergeCell ref="T35:U35"/>
    <mergeCell ref="X35:Y35"/>
    <mergeCell ref="AF37:AK37"/>
    <mergeCell ref="E40:N40"/>
    <mergeCell ref="P40:AK40"/>
    <mergeCell ref="E41:F41"/>
    <mergeCell ref="G41:J41"/>
    <mergeCell ref="K41:M41"/>
    <mergeCell ref="P41:S41"/>
    <mergeCell ref="T41:U41"/>
    <mergeCell ref="V41:W41"/>
    <mergeCell ref="X41:Y41"/>
    <mergeCell ref="E37:M37"/>
    <mergeCell ref="P37:S37"/>
    <mergeCell ref="T37:U37"/>
    <mergeCell ref="V37:W37"/>
    <mergeCell ref="X37:Y37"/>
    <mergeCell ref="Z37:AE37"/>
    <mergeCell ref="Z41:AE41"/>
    <mergeCell ref="AF41:AK41"/>
    <mergeCell ref="E42:F42"/>
    <mergeCell ref="G42:J42"/>
    <mergeCell ref="K42:M42"/>
    <mergeCell ref="P42:S42"/>
    <mergeCell ref="T42:U42"/>
    <mergeCell ref="X42:Y42"/>
    <mergeCell ref="Z42:AE42"/>
    <mergeCell ref="AF42:AK42"/>
    <mergeCell ref="Z43:AE43"/>
    <mergeCell ref="AF43:AK43"/>
    <mergeCell ref="E44:F44"/>
    <mergeCell ref="G44:J44"/>
    <mergeCell ref="K44:M44"/>
    <mergeCell ref="P44:S44"/>
    <mergeCell ref="T44:U44"/>
    <mergeCell ref="X44:Y44"/>
    <mergeCell ref="Z44:AE44"/>
    <mergeCell ref="AF44:AK44"/>
    <mergeCell ref="E43:F43"/>
    <mergeCell ref="G43:J43"/>
    <mergeCell ref="K43:M43"/>
    <mergeCell ref="P43:S43"/>
    <mergeCell ref="T43:U43"/>
    <mergeCell ref="X43:Y43"/>
    <mergeCell ref="Z45:AE45"/>
    <mergeCell ref="AF45:AK45"/>
    <mergeCell ref="E46:F46"/>
    <mergeCell ref="G46:J46"/>
    <mergeCell ref="K46:M46"/>
    <mergeCell ref="P46:S46"/>
    <mergeCell ref="T46:U46"/>
    <mergeCell ref="X46:Y46"/>
    <mergeCell ref="Z46:AE46"/>
    <mergeCell ref="AF46:AK46"/>
    <mergeCell ref="E45:F45"/>
    <mergeCell ref="G45:J45"/>
    <mergeCell ref="K45:M45"/>
    <mergeCell ref="P45:S45"/>
    <mergeCell ref="T45:U45"/>
    <mergeCell ref="X45:Y45"/>
    <mergeCell ref="Z47:AE47"/>
    <mergeCell ref="AF47:AK47"/>
    <mergeCell ref="E48:F48"/>
    <mergeCell ref="G48:J48"/>
    <mergeCell ref="K48:M48"/>
    <mergeCell ref="P48:S48"/>
    <mergeCell ref="T48:U48"/>
    <mergeCell ref="X48:Y48"/>
    <mergeCell ref="Z48:AE48"/>
    <mergeCell ref="AF48:AK48"/>
    <mergeCell ref="E47:F47"/>
    <mergeCell ref="G47:J47"/>
    <mergeCell ref="K47:M47"/>
    <mergeCell ref="P47:S47"/>
    <mergeCell ref="T47:U47"/>
    <mergeCell ref="X47:Y47"/>
    <mergeCell ref="Z49:AE49"/>
    <mergeCell ref="AF49:AK49"/>
    <mergeCell ref="E50:F50"/>
    <mergeCell ref="G50:J50"/>
    <mergeCell ref="K50:M50"/>
    <mergeCell ref="P50:S50"/>
    <mergeCell ref="T50:U50"/>
    <mergeCell ref="X50:Y50"/>
    <mergeCell ref="Z50:AE50"/>
    <mergeCell ref="AF50:AK50"/>
    <mergeCell ref="E49:F49"/>
    <mergeCell ref="G49:J49"/>
    <mergeCell ref="K49:M49"/>
    <mergeCell ref="P49:S49"/>
    <mergeCell ref="T49:U49"/>
    <mergeCell ref="X49:Y49"/>
    <mergeCell ref="Z51:AE51"/>
    <mergeCell ref="AF51:AK51"/>
    <mergeCell ref="E52:F52"/>
    <mergeCell ref="G52:J52"/>
    <mergeCell ref="K52:M52"/>
    <mergeCell ref="P52:S52"/>
    <mergeCell ref="T52:U52"/>
    <mergeCell ref="X52:Y52"/>
    <mergeCell ref="Z52:AE52"/>
    <mergeCell ref="AF52:AK52"/>
    <mergeCell ref="E51:F51"/>
    <mergeCell ref="G51:J51"/>
    <mergeCell ref="K51:M51"/>
    <mergeCell ref="P51:S51"/>
    <mergeCell ref="T51:U51"/>
    <mergeCell ref="X51:Y51"/>
    <mergeCell ref="Z53:AE53"/>
    <mergeCell ref="AF53:AK53"/>
    <mergeCell ref="E54:F54"/>
    <mergeCell ref="G54:J54"/>
    <mergeCell ref="K54:M54"/>
    <mergeCell ref="P54:S54"/>
    <mergeCell ref="T54:U54"/>
    <mergeCell ref="X54:Y54"/>
    <mergeCell ref="Z54:AE54"/>
    <mergeCell ref="AF54:AK54"/>
    <mergeCell ref="E53:F53"/>
    <mergeCell ref="G53:J53"/>
    <mergeCell ref="K53:M53"/>
    <mergeCell ref="P53:S53"/>
    <mergeCell ref="T53:U53"/>
    <mergeCell ref="X53:Y53"/>
    <mergeCell ref="Z55:AE55"/>
    <mergeCell ref="AF55:AK55"/>
    <mergeCell ref="E56:F56"/>
    <mergeCell ref="G56:J56"/>
    <mergeCell ref="K56:M56"/>
    <mergeCell ref="P56:S56"/>
    <mergeCell ref="T56:U56"/>
    <mergeCell ref="X56:Y56"/>
    <mergeCell ref="Z56:AE56"/>
    <mergeCell ref="AF56:AK56"/>
    <mergeCell ref="E55:F55"/>
    <mergeCell ref="G55:J55"/>
    <mergeCell ref="K55:M55"/>
    <mergeCell ref="P55:S55"/>
    <mergeCell ref="T55:U55"/>
    <mergeCell ref="X55:Y55"/>
    <mergeCell ref="X57:Y57"/>
    <mergeCell ref="Z57:AE57"/>
    <mergeCell ref="AF57:AK57"/>
    <mergeCell ref="E58:F58"/>
    <mergeCell ref="G58:J58"/>
    <mergeCell ref="K58:M58"/>
    <mergeCell ref="E57:F57"/>
    <mergeCell ref="G57:J57"/>
    <mergeCell ref="K57:M57"/>
    <mergeCell ref="P57:S57"/>
    <mergeCell ref="T57:U57"/>
    <mergeCell ref="V57:W57"/>
    <mergeCell ref="E61:F61"/>
    <mergeCell ref="G61:J61"/>
    <mergeCell ref="K61:M61"/>
    <mergeCell ref="E62:F62"/>
    <mergeCell ref="G62:J62"/>
    <mergeCell ref="K62:M62"/>
    <mergeCell ref="E59:F59"/>
    <mergeCell ref="G59:J59"/>
    <mergeCell ref="K59:M59"/>
    <mergeCell ref="E60:F60"/>
    <mergeCell ref="G60:J60"/>
    <mergeCell ref="K60:M60"/>
    <mergeCell ref="E65:F65"/>
    <mergeCell ref="G65:J65"/>
    <mergeCell ref="K65:M65"/>
    <mergeCell ref="E66:F66"/>
    <mergeCell ref="G66:J66"/>
    <mergeCell ref="K66:M66"/>
    <mergeCell ref="E63:F63"/>
    <mergeCell ref="G63:J63"/>
    <mergeCell ref="K63:M63"/>
    <mergeCell ref="E64:F64"/>
    <mergeCell ref="G64:J64"/>
    <mergeCell ref="K64:M64"/>
    <mergeCell ref="E69:F69"/>
    <mergeCell ref="G69:J69"/>
    <mergeCell ref="K69:M69"/>
    <mergeCell ref="E70:F70"/>
    <mergeCell ref="G70:J70"/>
    <mergeCell ref="K70:M70"/>
    <mergeCell ref="E67:F67"/>
    <mergeCell ref="G67:J67"/>
    <mergeCell ref="K67:M67"/>
    <mergeCell ref="E68:F68"/>
    <mergeCell ref="G68:J68"/>
    <mergeCell ref="K68:M68"/>
    <mergeCell ref="E73:F73"/>
    <mergeCell ref="G73:J73"/>
    <mergeCell ref="K73:M73"/>
    <mergeCell ref="E74:F74"/>
    <mergeCell ref="G74:J74"/>
    <mergeCell ref="K74:M74"/>
    <mergeCell ref="E71:F71"/>
    <mergeCell ref="G71:J71"/>
    <mergeCell ref="K71:M71"/>
    <mergeCell ref="E72:F72"/>
    <mergeCell ref="G72:J72"/>
    <mergeCell ref="K72:M72"/>
    <mergeCell ref="E77:F77"/>
    <mergeCell ref="G77:J77"/>
    <mergeCell ref="K77:M77"/>
    <mergeCell ref="E78:F78"/>
    <mergeCell ref="G78:J78"/>
    <mergeCell ref="K78:M78"/>
    <mergeCell ref="E75:F75"/>
    <mergeCell ref="G75:J75"/>
    <mergeCell ref="K75:M75"/>
    <mergeCell ref="E76:F76"/>
    <mergeCell ref="G76:J76"/>
    <mergeCell ref="K76:M76"/>
    <mergeCell ref="E81:F81"/>
    <mergeCell ref="G81:J81"/>
    <mergeCell ref="K81:M81"/>
    <mergeCell ref="E82:F82"/>
    <mergeCell ref="G82:J82"/>
    <mergeCell ref="K82:M82"/>
    <mergeCell ref="E79:F79"/>
    <mergeCell ref="G79:J79"/>
    <mergeCell ref="K79:M79"/>
    <mergeCell ref="E80:F80"/>
    <mergeCell ref="G80:J80"/>
    <mergeCell ref="K80:M80"/>
    <mergeCell ref="AE90:AE91"/>
    <mergeCell ref="E91:F91"/>
    <mergeCell ref="G91:H91"/>
    <mergeCell ref="I91:J91"/>
    <mergeCell ref="L91:R91"/>
    <mergeCell ref="S91:Y91"/>
    <mergeCell ref="E83:M83"/>
    <mergeCell ref="E86:M87"/>
    <mergeCell ref="E89:Y89"/>
    <mergeCell ref="AA89:AE89"/>
    <mergeCell ref="E90:F90"/>
    <mergeCell ref="G90:H90"/>
    <mergeCell ref="I90:J90"/>
    <mergeCell ref="L90:R90"/>
    <mergeCell ref="S90:Y90"/>
    <mergeCell ref="AA90:AD91"/>
    <mergeCell ref="E93:F93"/>
    <mergeCell ref="G93:H93"/>
    <mergeCell ref="I93:J93"/>
    <mergeCell ref="L93:R93"/>
    <mergeCell ref="S93:Y93"/>
    <mergeCell ref="AA93:AD93"/>
    <mergeCell ref="E92:F92"/>
    <mergeCell ref="G92:H92"/>
    <mergeCell ref="I92:J92"/>
    <mergeCell ref="L92:R92"/>
    <mergeCell ref="S92:Y92"/>
    <mergeCell ref="AA92:AD92"/>
    <mergeCell ref="E95:F95"/>
    <mergeCell ref="G95:H95"/>
    <mergeCell ref="I95:J95"/>
    <mergeCell ref="L95:R95"/>
    <mergeCell ref="S95:Y95"/>
    <mergeCell ref="AA95:AD95"/>
    <mergeCell ref="E94:F94"/>
    <mergeCell ref="G94:H94"/>
    <mergeCell ref="I94:J94"/>
    <mergeCell ref="L94:R94"/>
    <mergeCell ref="S94:Y94"/>
    <mergeCell ref="AA94:AD94"/>
    <mergeCell ref="E97:F97"/>
    <mergeCell ref="G97:H97"/>
    <mergeCell ref="I97:J97"/>
    <mergeCell ref="L97:R97"/>
    <mergeCell ref="S97:Y97"/>
    <mergeCell ref="AA97:AD97"/>
    <mergeCell ref="E96:F96"/>
    <mergeCell ref="G96:H96"/>
    <mergeCell ref="I96:J96"/>
    <mergeCell ref="L96:R96"/>
    <mergeCell ref="S96:Y96"/>
    <mergeCell ref="AA96:AD96"/>
    <mergeCell ref="E99:F99"/>
    <mergeCell ref="G99:H99"/>
    <mergeCell ref="I99:J99"/>
    <mergeCell ref="L99:R99"/>
    <mergeCell ref="S99:Y99"/>
    <mergeCell ref="AA99:AD99"/>
    <mergeCell ref="E98:F98"/>
    <mergeCell ref="G98:H98"/>
    <mergeCell ref="I98:J98"/>
    <mergeCell ref="L98:R98"/>
    <mergeCell ref="S98:Y98"/>
    <mergeCell ref="AA98:AD98"/>
    <mergeCell ref="E101:F101"/>
    <mergeCell ref="G101:H101"/>
    <mergeCell ref="I101:J101"/>
    <mergeCell ref="L101:R101"/>
    <mergeCell ref="S101:Y101"/>
    <mergeCell ref="AA101:AD101"/>
    <mergeCell ref="E100:F100"/>
    <mergeCell ref="G100:H100"/>
    <mergeCell ref="I100:J100"/>
    <mergeCell ref="L100:R100"/>
    <mergeCell ref="S100:Y100"/>
    <mergeCell ref="AA100:AD100"/>
    <mergeCell ref="E103:F103"/>
    <mergeCell ref="G103:H103"/>
    <mergeCell ref="I103:J103"/>
    <mergeCell ref="L103:R103"/>
    <mergeCell ref="S103:Y103"/>
    <mergeCell ref="AA103:AD103"/>
    <mergeCell ref="E102:F102"/>
    <mergeCell ref="G102:H102"/>
    <mergeCell ref="I102:J102"/>
    <mergeCell ref="L102:R102"/>
    <mergeCell ref="S102:Y102"/>
    <mergeCell ref="AA102:AD102"/>
    <mergeCell ref="E106:J106"/>
    <mergeCell ref="K106:R106"/>
    <mergeCell ref="E105:F105"/>
    <mergeCell ref="G105:H105"/>
    <mergeCell ref="I105:J105"/>
    <mergeCell ref="L105:R105"/>
    <mergeCell ref="S105:Y105"/>
    <mergeCell ref="AA105:AD105"/>
    <mergeCell ref="E104:F104"/>
    <mergeCell ref="G104:H104"/>
    <mergeCell ref="I104:J104"/>
    <mergeCell ref="L104:R104"/>
    <mergeCell ref="S104:Y104"/>
    <mergeCell ref="AA104:AD104"/>
  </mergeCells>
  <conditionalFormatting sqref="X27:Y36">
    <cfRule type="cellIs" dxfId="18" priority="2" operator="lessThan">
      <formula>0</formula>
    </cfRule>
  </conditionalFormatting>
  <conditionalFormatting sqref="X42:Y56">
    <cfRule type="cellIs" dxfId="17" priority="3" operator="lessThan">
      <formula>0</formula>
    </cfRule>
  </conditionalFormatting>
  <conditionalFormatting sqref="AE92:AE101">
    <cfRule type="dataBar" priority="1">
      <dataBar>
        <cfvo type="min"/>
        <cfvo type="max"/>
        <color theme="6" tint="0.39997558519241921"/>
      </dataBar>
      <extLst>
        <ext xmlns:x14="http://schemas.microsoft.com/office/spreadsheetml/2009/9/main" uri="{B025F937-C7B1-47D3-B67F-A62EFF666E3E}">
          <x14:id>{4FE6598E-3D54-4D5F-8DEF-E5E423ACBB72}</x14:id>
        </ext>
      </extLst>
    </cfRule>
  </conditionalFormatting>
  <dataValidations count="1">
    <dataValidation allowBlank="1" showInputMessage="1" showErrorMessage="1" prompt="Nhập dữ liệu" sqref="E60:F82 E95:F105 K60:M82 K27:N36 I91:Y105 N42:N82" xr:uid="{00000000-0002-0000-0900-000000000000}"/>
  </dataValidations>
  <hyperlinks>
    <hyperlink ref="F4" location="'T4'!E7" display="Phần 1" xr:uid="{00000000-0004-0000-0900-000000000000}"/>
    <hyperlink ref="G4" location="'T4'!E87" display="Phần 2" xr:uid="{00000000-0004-0000-0900-000001000000}"/>
  </hyperlinks>
  <pageMargins left="0.7" right="0.7" top="0.75" bottom="0.75" header="0.3" footer="0.3"/>
  <pageSetup scale="31" orientation="portrait" r:id="rId1"/>
  <drawing r:id="rId2"/>
  <extLst>
    <ext xmlns:x14="http://schemas.microsoft.com/office/spreadsheetml/2009/9/main" uri="{78C0D931-6437-407d-A8EE-F0AAD7539E65}">
      <x14:conditionalFormattings>
        <x14:conditionalFormatting xmlns:xm="http://schemas.microsoft.com/office/excel/2006/main">
          <x14:cfRule type="dataBar" id="{4FE6598E-3D54-4D5F-8DEF-E5E423ACBB72}">
            <x14:dataBar minLength="0" maxLength="100" gradient="0">
              <x14:cfvo type="autoMin"/>
              <x14:cfvo type="autoMax"/>
              <x14:negativeFillColor rgb="FFFF0000"/>
              <x14:axisColor rgb="FF000000"/>
            </x14:dataBar>
          </x14:cfRule>
          <xm:sqref>AE92:AE101</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prompt="Chọn dữ liệu" xr:uid="{00000000-0002-0000-0900-000001000000}">
          <x14:formula1>
            <xm:f>'Từ khóa'!$F$12:$F$26</xm:f>
          </x14:formula1>
          <xm:sqref>G42:J82</xm:sqref>
        </x14:dataValidation>
        <x14:dataValidation type="list" allowBlank="1" showInputMessage="1" showErrorMessage="1" prompt="Chọn dữ liệu" xr:uid="{00000000-0002-0000-0900-000002000000}">
          <x14:formula1>
            <xm:f>'Từ khóa'!$M$12:$M$19</xm:f>
          </x14:formula1>
          <xm:sqref>G27:J36</xm:sqref>
        </x14:dataValidation>
        <x14:dataValidation type="list" allowBlank="1" showInputMessage="1" showErrorMessage="1" prompt="Chọn dữ liệu" xr:uid="{00000000-0002-0000-0900-000003000000}">
          <x14:formula1>
            <xm:f>'Từ khóa'!$S$12:$S$21</xm:f>
          </x14:formula1>
          <xm:sqref>G91:H105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106"/>
  <sheetViews>
    <sheetView showGridLines="0" zoomScale="80" zoomScaleNormal="80" workbookViewId="0">
      <pane xSplit="4" ySplit="4" topLeftCell="E62" activePane="bottomRight" state="frozen"/>
      <selection pane="topRight" activeCell="E1" sqref="E1"/>
      <selection pane="bottomLeft" activeCell="A5" sqref="A5"/>
      <selection pane="bottomRight" activeCell="H4" sqref="H4"/>
    </sheetView>
  </sheetViews>
  <sheetFormatPr defaultColWidth="9.19921875" defaultRowHeight="14.25" x14ac:dyDescent="0.45"/>
  <cols>
    <col min="1" max="3" width="9.19921875" style="270"/>
    <col min="4" max="5" width="9.19921875" style="273"/>
    <col min="6" max="9" width="13.19921875" style="273" customWidth="1"/>
    <col min="10" max="14" width="9.19921875" style="273"/>
    <col min="15" max="15" width="13.19921875" style="273" customWidth="1"/>
    <col min="16" max="16384" width="9.19921875" style="273"/>
  </cols>
  <sheetData>
    <row r="1" spans="1:27" s="271" customFormat="1" ht="15" customHeight="1" x14ac:dyDescent="0.45">
      <c r="A1" s="270"/>
      <c r="B1" s="270"/>
      <c r="C1" s="270"/>
      <c r="E1" s="760" t="s">
        <v>332</v>
      </c>
      <c r="F1" s="760"/>
      <c r="G1" s="760"/>
      <c r="H1" s="760"/>
      <c r="I1" s="760"/>
      <c r="J1" s="760"/>
      <c r="K1" s="760"/>
    </row>
    <row r="2" spans="1:27" s="271" customFormat="1" ht="15" customHeight="1" x14ac:dyDescent="0.45">
      <c r="A2" s="270"/>
      <c r="B2" s="270"/>
      <c r="C2" s="270"/>
      <c r="E2" s="760"/>
      <c r="F2" s="760"/>
      <c r="G2" s="760"/>
      <c r="H2" s="760"/>
      <c r="I2" s="760"/>
      <c r="J2" s="760"/>
      <c r="K2" s="760"/>
    </row>
    <row r="3" spans="1:27" s="271" customFormat="1" ht="14.65" thickBot="1" x14ac:dyDescent="0.5">
      <c r="A3" s="270"/>
      <c r="B3" s="270"/>
      <c r="C3" s="270"/>
      <c r="E3" s="760"/>
      <c r="F3" s="760"/>
      <c r="G3" s="760"/>
      <c r="H3" s="760"/>
      <c r="I3" s="760"/>
      <c r="J3" s="760"/>
      <c r="K3" s="760"/>
      <c r="L3" s="272" t="s">
        <v>45</v>
      </c>
    </row>
    <row r="4" spans="1:27" ht="14.65" thickBot="1" x14ac:dyDescent="0.5">
      <c r="F4" s="274" t="s">
        <v>132</v>
      </c>
      <c r="G4" s="274" t="s">
        <v>133</v>
      </c>
      <c r="H4" s="274" t="s">
        <v>134</v>
      </c>
    </row>
    <row r="5" spans="1:27" ht="15" customHeight="1" x14ac:dyDescent="0.45">
      <c r="F5" s="275"/>
      <c r="G5" s="275"/>
      <c r="H5" s="275"/>
      <c r="I5" s="275"/>
      <c r="J5" s="275"/>
      <c r="K5" s="275"/>
      <c r="L5" s="275"/>
      <c r="M5" s="275"/>
      <c r="N5" s="275"/>
      <c r="O5" s="275"/>
      <c r="P5" s="275"/>
      <c r="Q5" s="275"/>
      <c r="R5" s="275"/>
      <c r="S5" s="275"/>
      <c r="T5" s="275"/>
      <c r="U5" s="275"/>
      <c r="V5" s="275"/>
      <c r="W5" s="275"/>
      <c r="X5" s="275"/>
      <c r="Y5" s="275"/>
      <c r="Z5" s="275"/>
      <c r="AA5" s="275"/>
    </row>
    <row r="6" spans="1:27" ht="15" customHeight="1" x14ac:dyDescent="0.45">
      <c r="E6" s="761" t="s">
        <v>135</v>
      </c>
      <c r="F6" s="761"/>
      <c r="G6" s="761"/>
      <c r="H6" s="761"/>
      <c r="I6" s="761"/>
      <c r="J6" s="761"/>
      <c r="K6" s="761"/>
      <c r="L6" s="761"/>
      <c r="M6" s="761"/>
      <c r="N6" s="276"/>
      <c r="O6" s="276"/>
      <c r="P6" s="276"/>
      <c r="Q6" s="276"/>
      <c r="R6" s="276"/>
      <c r="S6" s="275"/>
      <c r="T6" s="275"/>
      <c r="U6" s="275"/>
      <c r="V6" s="275"/>
      <c r="W6" s="275"/>
      <c r="X6" s="275"/>
      <c r="Y6" s="275"/>
      <c r="Z6" s="275"/>
      <c r="AA6" s="275"/>
    </row>
    <row r="7" spans="1:27" s="278" customFormat="1" ht="15" customHeight="1" thickBot="1" x14ac:dyDescent="0.5">
      <c r="A7" s="277"/>
      <c r="B7" s="277"/>
      <c r="C7" s="277"/>
      <c r="E7" s="762"/>
      <c r="F7" s="762"/>
      <c r="G7" s="762"/>
      <c r="H7" s="762"/>
      <c r="I7" s="762"/>
      <c r="J7" s="762"/>
      <c r="K7" s="762"/>
      <c r="L7" s="762"/>
      <c r="M7" s="762"/>
      <c r="N7" s="279"/>
      <c r="O7" s="279"/>
      <c r="P7" s="279"/>
      <c r="Q7" s="279"/>
      <c r="R7" s="279"/>
      <c r="S7" s="280"/>
      <c r="T7" s="280"/>
      <c r="U7" s="280"/>
      <c r="V7" s="280"/>
      <c r="W7" s="280"/>
      <c r="X7" s="280"/>
      <c r="Y7" s="280"/>
      <c r="Z7" s="280"/>
      <c r="AA7" s="280"/>
    </row>
    <row r="8" spans="1:27" ht="15" customHeight="1" x14ac:dyDescent="0.45">
      <c r="E8" s="275"/>
      <c r="F8" s="275"/>
      <c r="G8" s="275"/>
      <c r="H8" s="275"/>
      <c r="I8" s="275"/>
      <c r="J8" s="275"/>
      <c r="K8" s="275"/>
      <c r="L8" s="275"/>
      <c r="M8" s="275"/>
      <c r="N8" s="275"/>
      <c r="O8" s="275"/>
      <c r="P8" s="275"/>
      <c r="Q8" s="275"/>
      <c r="R8" s="275"/>
      <c r="S8" s="275"/>
      <c r="T8" s="275"/>
      <c r="U8" s="275"/>
      <c r="V8" s="275"/>
      <c r="W8" s="275"/>
      <c r="X8" s="275"/>
      <c r="Y8" s="275"/>
      <c r="Z8" s="275"/>
      <c r="AA8" s="275"/>
    </row>
    <row r="9" spans="1:27" ht="15" customHeight="1" x14ac:dyDescent="0.45">
      <c r="E9" s="763" t="s">
        <v>124</v>
      </c>
      <c r="F9" s="763"/>
      <c r="G9" s="763"/>
      <c r="H9" s="763"/>
      <c r="I9" s="708">
        <f>N37</f>
        <v>32.799999999999997</v>
      </c>
    </row>
    <row r="10" spans="1:27" ht="15" customHeight="1" x14ac:dyDescent="0.45">
      <c r="E10" s="763"/>
      <c r="F10" s="763"/>
      <c r="G10" s="763"/>
      <c r="H10" s="763"/>
      <c r="I10" s="708"/>
    </row>
    <row r="11" spans="1:27" ht="15" customHeight="1" x14ac:dyDescent="0.45">
      <c r="E11" s="763"/>
      <c r="F11" s="763"/>
      <c r="G11" s="763"/>
      <c r="H11" s="763"/>
      <c r="I11" s="708"/>
    </row>
    <row r="12" spans="1:27" ht="15" customHeight="1" x14ac:dyDescent="0.45">
      <c r="E12" s="763"/>
      <c r="F12" s="763"/>
      <c r="G12" s="763"/>
      <c r="H12" s="763"/>
      <c r="I12" s="708"/>
    </row>
    <row r="13" spans="1:27" x14ac:dyDescent="0.45">
      <c r="E13" s="281"/>
      <c r="F13" s="281"/>
      <c r="G13" s="281"/>
      <c r="I13" s="281"/>
    </row>
    <row r="14" spans="1:27" ht="15" customHeight="1" x14ac:dyDescent="0.45">
      <c r="E14" s="764" t="s">
        <v>136</v>
      </c>
      <c r="F14" s="764"/>
      <c r="G14" s="764"/>
      <c r="H14" s="764"/>
      <c r="I14" s="708">
        <f>N83</f>
        <v>16.600000000000001</v>
      </c>
    </row>
    <row r="15" spans="1:27" ht="15" customHeight="1" x14ac:dyDescent="0.45">
      <c r="E15" s="764"/>
      <c r="F15" s="764"/>
      <c r="G15" s="764"/>
      <c r="H15" s="764"/>
      <c r="I15" s="708"/>
    </row>
    <row r="16" spans="1:27" ht="15" customHeight="1" x14ac:dyDescent="0.45">
      <c r="E16" s="764"/>
      <c r="F16" s="764"/>
      <c r="G16" s="764"/>
      <c r="H16" s="764"/>
      <c r="I16" s="708"/>
    </row>
    <row r="17" spans="5:37" ht="15" customHeight="1" x14ac:dyDescent="0.45">
      <c r="E17" s="764"/>
      <c r="F17" s="764"/>
      <c r="G17" s="764"/>
      <c r="H17" s="764"/>
      <c r="I17" s="708"/>
    </row>
    <row r="18" spans="5:37" x14ac:dyDescent="0.45">
      <c r="E18" s="281"/>
      <c r="F18" s="281"/>
      <c r="G18" s="281"/>
      <c r="I18" s="281"/>
    </row>
    <row r="19" spans="5:37" ht="15" customHeight="1" x14ac:dyDescent="0.45">
      <c r="E19" s="765" t="s">
        <v>96</v>
      </c>
      <c r="F19" s="765"/>
      <c r="G19" s="765"/>
      <c r="H19" s="765"/>
      <c r="I19" s="708">
        <f>I9-I14</f>
        <v>16.199999999999996</v>
      </c>
    </row>
    <row r="20" spans="5:37" ht="15" customHeight="1" x14ac:dyDescent="0.45">
      <c r="E20" s="765"/>
      <c r="F20" s="765"/>
      <c r="G20" s="765"/>
      <c r="H20" s="765"/>
      <c r="I20" s="708"/>
    </row>
    <row r="21" spans="5:37" ht="15" customHeight="1" x14ac:dyDescent="0.45">
      <c r="E21" s="765"/>
      <c r="F21" s="765"/>
      <c r="G21" s="765"/>
      <c r="H21" s="765"/>
      <c r="I21" s="708"/>
    </row>
    <row r="22" spans="5:37" ht="15" customHeight="1" x14ac:dyDescent="0.45">
      <c r="E22" s="765"/>
      <c r="F22" s="765"/>
      <c r="G22" s="765"/>
      <c r="H22" s="765"/>
      <c r="I22" s="708"/>
    </row>
    <row r="24" spans="5:37" ht="14.65" thickBot="1" x14ac:dyDescent="0.5">
      <c r="E24" s="275"/>
      <c r="F24" s="275"/>
      <c r="G24" s="275"/>
      <c r="H24" s="275"/>
    </row>
    <row r="25" spans="5:37" ht="15.75" customHeight="1" thickBot="1" x14ac:dyDescent="0.6">
      <c r="E25" s="753" t="s">
        <v>143</v>
      </c>
      <c r="F25" s="754"/>
      <c r="G25" s="754"/>
      <c r="H25" s="754"/>
      <c r="I25" s="754"/>
      <c r="J25" s="754"/>
      <c r="K25" s="754"/>
      <c r="L25" s="754"/>
      <c r="M25" s="754"/>
      <c r="N25" s="755"/>
      <c r="P25" s="753" t="s">
        <v>144</v>
      </c>
      <c r="Q25" s="754"/>
      <c r="R25" s="754"/>
      <c r="S25" s="754"/>
      <c r="T25" s="754"/>
      <c r="U25" s="754"/>
      <c r="V25" s="754"/>
      <c r="W25" s="754"/>
      <c r="X25" s="754"/>
      <c r="Y25" s="754"/>
      <c r="Z25" s="754"/>
      <c r="AA25" s="754"/>
      <c r="AB25" s="754"/>
      <c r="AC25" s="754"/>
      <c r="AD25" s="754"/>
      <c r="AE25" s="754"/>
      <c r="AF25" s="754"/>
      <c r="AG25" s="754"/>
      <c r="AH25" s="754"/>
      <c r="AI25" s="754"/>
      <c r="AJ25" s="754"/>
      <c r="AK25" s="755"/>
    </row>
    <row r="26" spans="5:37" ht="15" customHeight="1" x14ac:dyDescent="0.45">
      <c r="E26" s="756" t="s">
        <v>146</v>
      </c>
      <c r="F26" s="757"/>
      <c r="G26" s="647" t="s">
        <v>346</v>
      </c>
      <c r="H26" s="647"/>
      <c r="I26" s="647"/>
      <c r="J26" s="647"/>
      <c r="K26" s="647" t="s">
        <v>345</v>
      </c>
      <c r="L26" s="647"/>
      <c r="M26" s="647"/>
      <c r="N26" s="282" t="s">
        <v>148</v>
      </c>
      <c r="P26" s="706" t="s">
        <v>147</v>
      </c>
      <c r="Q26" s="707"/>
      <c r="R26" s="707"/>
      <c r="S26" s="707"/>
      <c r="T26" s="707" t="s">
        <v>149</v>
      </c>
      <c r="U26" s="707"/>
      <c r="V26" s="707" t="s">
        <v>150</v>
      </c>
      <c r="W26" s="707"/>
      <c r="X26" s="707" t="s">
        <v>151</v>
      </c>
      <c r="Y26" s="707"/>
      <c r="Z26" s="758" t="s">
        <v>152</v>
      </c>
      <c r="AA26" s="758"/>
      <c r="AB26" s="758"/>
      <c r="AC26" s="758"/>
      <c r="AD26" s="758"/>
      <c r="AE26" s="758"/>
      <c r="AF26" s="758" t="s">
        <v>153</v>
      </c>
      <c r="AG26" s="758"/>
      <c r="AH26" s="758"/>
      <c r="AI26" s="758"/>
      <c r="AJ26" s="758"/>
      <c r="AK26" s="759"/>
    </row>
    <row r="27" spans="5:37" ht="15" x14ac:dyDescent="0.45">
      <c r="E27" s="735">
        <v>44696</v>
      </c>
      <c r="F27" s="736"/>
      <c r="G27" s="643" t="s">
        <v>21</v>
      </c>
      <c r="H27" s="643"/>
      <c r="I27" s="643"/>
      <c r="J27" s="643"/>
      <c r="K27" s="646"/>
      <c r="L27" s="646"/>
      <c r="M27" s="646"/>
      <c r="N27" s="135">
        <v>20</v>
      </c>
      <c r="P27" s="694" t="str">
        <f>'Từ khóa'!M12</f>
        <v>Lương từ công ty</v>
      </c>
      <c r="Q27" s="695"/>
      <c r="R27" s="695"/>
      <c r="S27" s="695"/>
      <c r="T27" s="696">
        <f>'Kế hoạch thu nhập và chi tiêu'!L11</f>
        <v>20</v>
      </c>
      <c r="U27" s="696"/>
      <c r="V27" s="152"/>
      <c r="W27" s="153">
        <f t="shared" ref="W27:W34" ca="1" si="0">SUMIF($G$27:$J$36,P27,$N$27:$N$36)</f>
        <v>20</v>
      </c>
      <c r="X27" s="696">
        <f t="shared" ref="X27:X34" ca="1" si="1">W27-T27</f>
        <v>0</v>
      </c>
      <c r="Y27" s="696"/>
      <c r="Z27" s="739"/>
      <c r="AA27" s="739"/>
      <c r="AB27" s="739"/>
      <c r="AC27" s="739"/>
      <c r="AD27" s="739"/>
      <c r="AE27" s="739"/>
      <c r="AF27" s="739"/>
      <c r="AG27" s="739"/>
      <c r="AH27" s="739"/>
      <c r="AI27" s="739"/>
      <c r="AJ27" s="739"/>
      <c r="AK27" s="740"/>
    </row>
    <row r="28" spans="5:37" ht="15" x14ac:dyDescent="0.45">
      <c r="E28" s="735">
        <v>44701</v>
      </c>
      <c r="F28" s="736">
        <v>44612</v>
      </c>
      <c r="G28" s="643" t="s">
        <v>372</v>
      </c>
      <c r="H28" s="643"/>
      <c r="I28" s="643"/>
      <c r="J28" s="643"/>
      <c r="K28" s="646"/>
      <c r="L28" s="646"/>
      <c r="M28" s="646"/>
      <c r="N28" s="135">
        <v>10</v>
      </c>
      <c r="P28" s="694" t="str">
        <f>'Từ khóa'!M13</f>
        <v>Thu nhập khác</v>
      </c>
      <c r="Q28" s="695"/>
      <c r="R28" s="695"/>
      <c r="S28" s="695"/>
      <c r="T28" s="696">
        <f>'Kế hoạch thu nhập và chi tiêu'!L12</f>
        <v>10</v>
      </c>
      <c r="U28" s="696"/>
      <c r="V28" s="152"/>
      <c r="W28" s="153">
        <f t="shared" ca="1" si="0"/>
        <v>12.8</v>
      </c>
      <c r="X28" s="696">
        <f t="shared" ca="1" si="1"/>
        <v>2.8000000000000007</v>
      </c>
      <c r="Y28" s="696"/>
      <c r="Z28" s="739"/>
      <c r="AA28" s="739"/>
      <c r="AB28" s="739"/>
      <c r="AC28" s="739"/>
      <c r="AD28" s="739"/>
      <c r="AE28" s="739"/>
      <c r="AF28" s="739"/>
      <c r="AG28" s="739"/>
      <c r="AH28" s="739"/>
      <c r="AI28" s="739"/>
      <c r="AJ28" s="739"/>
      <c r="AK28" s="740"/>
    </row>
    <row r="29" spans="5:37" ht="15" x14ac:dyDescent="0.45">
      <c r="E29" s="735">
        <v>44709</v>
      </c>
      <c r="F29" s="736">
        <v>44620</v>
      </c>
      <c r="G29" s="643" t="s">
        <v>372</v>
      </c>
      <c r="H29" s="643"/>
      <c r="I29" s="643"/>
      <c r="J29" s="643"/>
      <c r="K29" s="646"/>
      <c r="L29" s="646"/>
      <c r="M29" s="646"/>
      <c r="N29" s="135">
        <v>2</v>
      </c>
      <c r="P29" s="694">
        <f>'Từ khóa'!M14</f>
        <v>0</v>
      </c>
      <c r="Q29" s="695"/>
      <c r="R29" s="695"/>
      <c r="S29" s="695"/>
      <c r="T29" s="696">
        <f>'Kế hoạch thu nhập và chi tiêu'!L13</f>
        <v>0</v>
      </c>
      <c r="U29" s="696"/>
      <c r="V29" s="152"/>
      <c r="W29" s="153">
        <f t="shared" ca="1" si="0"/>
        <v>0</v>
      </c>
      <c r="X29" s="696">
        <f t="shared" ca="1" si="1"/>
        <v>0</v>
      </c>
      <c r="Y29" s="696"/>
      <c r="Z29" s="739"/>
      <c r="AA29" s="739"/>
      <c r="AB29" s="739"/>
      <c r="AC29" s="739"/>
      <c r="AD29" s="739"/>
      <c r="AE29" s="739"/>
      <c r="AF29" s="739"/>
      <c r="AG29" s="739"/>
      <c r="AH29" s="739"/>
      <c r="AI29" s="739"/>
      <c r="AJ29" s="739"/>
      <c r="AK29" s="740"/>
    </row>
    <row r="30" spans="5:37" ht="15" x14ac:dyDescent="0.45">
      <c r="E30" s="735">
        <v>44709</v>
      </c>
      <c r="F30" s="736">
        <v>44620</v>
      </c>
      <c r="G30" s="643" t="s">
        <v>372</v>
      </c>
      <c r="H30" s="643"/>
      <c r="I30" s="643"/>
      <c r="J30" s="643"/>
      <c r="K30" s="646"/>
      <c r="L30" s="646"/>
      <c r="M30" s="646"/>
      <c r="N30" s="135">
        <v>0.8</v>
      </c>
      <c r="P30" s="694">
        <f>'Từ khóa'!M15</f>
        <v>0</v>
      </c>
      <c r="Q30" s="695"/>
      <c r="R30" s="695"/>
      <c r="S30" s="695"/>
      <c r="T30" s="696">
        <f>'Kế hoạch thu nhập và chi tiêu'!L14</f>
        <v>0</v>
      </c>
      <c r="U30" s="696"/>
      <c r="V30" s="152"/>
      <c r="W30" s="153">
        <f t="shared" ca="1" si="0"/>
        <v>0</v>
      </c>
      <c r="X30" s="696">
        <f t="shared" ca="1" si="1"/>
        <v>0</v>
      </c>
      <c r="Y30" s="696"/>
      <c r="Z30" s="739"/>
      <c r="AA30" s="739"/>
      <c r="AB30" s="739"/>
      <c r="AC30" s="739"/>
      <c r="AD30" s="739"/>
      <c r="AE30" s="739"/>
      <c r="AF30" s="739"/>
      <c r="AG30" s="739"/>
      <c r="AH30" s="739"/>
      <c r="AI30" s="739"/>
      <c r="AJ30" s="739"/>
      <c r="AK30" s="740"/>
    </row>
    <row r="31" spans="5:37" ht="15" x14ac:dyDescent="0.45">
      <c r="E31" s="735"/>
      <c r="F31" s="736"/>
      <c r="G31" s="643"/>
      <c r="H31" s="643"/>
      <c r="I31" s="643"/>
      <c r="J31" s="643"/>
      <c r="K31" s="646"/>
      <c r="L31" s="646"/>
      <c r="M31" s="646"/>
      <c r="N31" s="135"/>
      <c r="P31" s="694">
        <f>'Từ khóa'!M16</f>
        <v>0</v>
      </c>
      <c r="Q31" s="695"/>
      <c r="R31" s="695"/>
      <c r="S31" s="695"/>
      <c r="T31" s="696">
        <f>'Kế hoạch thu nhập và chi tiêu'!L15</f>
        <v>0</v>
      </c>
      <c r="U31" s="696"/>
      <c r="V31" s="152"/>
      <c r="W31" s="153">
        <f t="shared" ca="1" si="0"/>
        <v>0</v>
      </c>
      <c r="X31" s="696">
        <f t="shared" ca="1" si="1"/>
        <v>0</v>
      </c>
      <c r="Y31" s="696"/>
      <c r="Z31" s="739"/>
      <c r="AA31" s="739"/>
      <c r="AB31" s="739"/>
      <c r="AC31" s="739"/>
      <c r="AD31" s="739"/>
      <c r="AE31" s="739"/>
      <c r="AF31" s="739"/>
      <c r="AG31" s="739"/>
      <c r="AH31" s="739"/>
      <c r="AI31" s="739"/>
      <c r="AJ31" s="739"/>
      <c r="AK31" s="740"/>
    </row>
    <row r="32" spans="5:37" ht="15" x14ac:dyDescent="0.45">
      <c r="E32" s="735"/>
      <c r="F32" s="736"/>
      <c r="G32" s="643"/>
      <c r="H32" s="643"/>
      <c r="I32" s="643"/>
      <c r="J32" s="643"/>
      <c r="K32" s="646"/>
      <c r="L32" s="646"/>
      <c r="M32" s="646"/>
      <c r="N32" s="135"/>
      <c r="P32" s="694">
        <f>'Từ khóa'!M17</f>
        <v>0</v>
      </c>
      <c r="Q32" s="695"/>
      <c r="R32" s="695"/>
      <c r="S32" s="695"/>
      <c r="T32" s="696">
        <f>'Kế hoạch thu nhập và chi tiêu'!L16</f>
        <v>0</v>
      </c>
      <c r="U32" s="696"/>
      <c r="V32" s="152"/>
      <c r="W32" s="153">
        <f t="shared" ca="1" si="0"/>
        <v>0</v>
      </c>
      <c r="X32" s="696">
        <f t="shared" ca="1" si="1"/>
        <v>0</v>
      </c>
      <c r="Y32" s="696"/>
      <c r="Z32" s="739"/>
      <c r="AA32" s="739"/>
      <c r="AB32" s="739"/>
      <c r="AC32" s="739"/>
      <c r="AD32" s="739"/>
      <c r="AE32" s="739"/>
      <c r="AF32" s="739"/>
      <c r="AG32" s="739"/>
      <c r="AH32" s="739"/>
      <c r="AI32" s="739"/>
      <c r="AJ32" s="739"/>
      <c r="AK32" s="740"/>
    </row>
    <row r="33" spans="5:37" ht="15" x14ac:dyDescent="0.45">
      <c r="E33" s="735"/>
      <c r="F33" s="736"/>
      <c r="G33" s="643"/>
      <c r="H33" s="643"/>
      <c r="I33" s="643"/>
      <c r="J33" s="643"/>
      <c r="K33" s="646"/>
      <c r="L33" s="646"/>
      <c r="M33" s="646"/>
      <c r="N33" s="135"/>
      <c r="P33" s="694">
        <f>'Từ khóa'!M18</f>
        <v>0</v>
      </c>
      <c r="Q33" s="695"/>
      <c r="R33" s="695"/>
      <c r="S33" s="695"/>
      <c r="T33" s="696">
        <f>'Kế hoạch thu nhập và chi tiêu'!L17</f>
        <v>0</v>
      </c>
      <c r="U33" s="696"/>
      <c r="V33" s="152"/>
      <c r="W33" s="153">
        <f t="shared" ca="1" si="0"/>
        <v>0</v>
      </c>
      <c r="X33" s="696">
        <f t="shared" ca="1" si="1"/>
        <v>0</v>
      </c>
      <c r="Y33" s="696"/>
      <c r="Z33" s="739"/>
      <c r="AA33" s="739"/>
      <c r="AB33" s="739"/>
      <c r="AC33" s="739"/>
      <c r="AD33" s="739"/>
      <c r="AE33" s="739"/>
      <c r="AF33" s="739"/>
      <c r="AG33" s="739"/>
      <c r="AH33" s="739"/>
      <c r="AI33" s="739"/>
      <c r="AJ33" s="739"/>
      <c r="AK33" s="740"/>
    </row>
    <row r="34" spans="5:37" ht="15" x14ac:dyDescent="0.45">
      <c r="E34" s="735"/>
      <c r="F34" s="736"/>
      <c r="G34" s="643"/>
      <c r="H34" s="643"/>
      <c r="I34" s="643"/>
      <c r="J34" s="643"/>
      <c r="K34" s="646"/>
      <c r="L34" s="646"/>
      <c r="M34" s="646"/>
      <c r="N34" s="135"/>
      <c r="P34" s="694">
        <f>'Từ khóa'!M19</f>
        <v>0</v>
      </c>
      <c r="Q34" s="695"/>
      <c r="R34" s="695"/>
      <c r="S34" s="695"/>
      <c r="T34" s="696">
        <f>'Kế hoạch thu nhập và chi tiêu'!L18</f>
        <v>0</v>
      </c>
      <c r="U34" s="696"/>
      <c r="V34" s="152"/>
      <c r="W34" s="153">
        <f t="shared" ca="1" si="0"/>
        <v>0</v>
      </c>
      <c r="X34" s="696">
        <f t="shared" ca="1" si="1"/>
        <v>0</v>
      </c>
      <c r="Y34" s="696"/>
      <c r="Z34" s="739"/>
      <c r="AA34" s="739"/>
      <c r="AB34" s="739"/>
      <c r="AC34" s="739"/>
      <c r="AD34" s="739"/>
      <c r="AE34" s="739"/>
      <c r="AF34" s="739"/>
      <c r="AG34" s="739"/>
      <c r="AH34" s="739"/>
      <c r="AI34" s="739"/>
      <c r="AJ34" s="739"/>
      <c r="AK34" s="740"/>
    </row>
    <row r="35" spans="5:37" ht="15" x14ac:dyDescent="0.45">
      <c r="E35" s="735"/>
      <c r="F35" s="736"/>
      <c r="G35" s="643"/>
      <c r="H35" s="643"/>
      <c r="I35" s="643"/>
      <c r="J35" s="643"/>
      <c r="K35" s="646"/>
      <c r="L35" s="646"/>
      <c r="M35" s="646"/>
      <c r="N35" s="135"/>
      <c r="P35" s="694"/>
      <c r="Q35" s="695"/>
      <c r="R35" s="695"/>
      <c r="S35" s="695"/>
      <c r="T35" s="697"/>
      <c r="U35" s="698"/>
      <c r="V35" s="152"/>
      <c r="W35" s="153"/>
      <c r="X35" s="696"/>
      <c r="Y35" s="696"/>
      <c r="Z35" s="739"/>
      <c r="AA35" s="739"/>
      <c r="AB35" s="739"/>
      <c r="AC35" s="739"/>
      <c r="AD35" s="739"/>
      <c r="AE35" s="739"/>
      <c r="AF35" s="739"/>
      <c r="AG35" s="739"/>
      <c r="AH35" s="739"/>
      <c r="AI35" s="739"/>
      <c r="AJ35" s="739"/>
      <c r="AK35" s="740"/>
    </row>
    <row r="36" spans="5:37" ht="15" x14ac:dyDescent="0.45">
      <c r="E36" s="735"/>
      <c r="F36" s="736"/>
      <c r="G36" s="643"/>
      <c r="H36" s="643"/>
      <c r="I36" s="643"/>
      <c r="J36" s="643"/>
      <c r="K36" s="646"/>
      <c r="L36" s="646"/>
      <c r="M36" s="646"/>
      <c r="N36" s="135"/>
      <c r="P36" s="694"/>
      <c r="Q36" s="695"/>
      <c r="R36" s="695"/>
      <c r="S36" s="695"/>
      <c r="T36" s="697"/>
      <c r="U36" s="698"/>
      <c r="V36" s="152"/>
      <c r="W36" s="153"/>
      <c r="X36" s="696"/>
      <c r="Y36" s="696"/>
      <c r="Z36" s="739"/>
      <c r="AA36" s="739"/>
      <c r="AB36" s="739"/>
      <c r="AC36" s="739"/>
      <c r="AD36" s="739"/>
      <c r="AE36" s="739"/>
      <c r="AF36" s="739"/>
      <c r="AG36" s="739"/>
      <c r="AH36" s="739"/>
      <c r="AI36" s="739"/>
      <c r="AJ36" s="739"/>
      <c r="AK36" s="740"/>
    </row>
    <row r="37" spans="5:37" ht="16.5" customHeight="1" thickBot="1" x14ac:dyDescent="0.6">
      <c r="E37" s="748" t="s">
        <v>124</v>
      </c>
      <c r="F37" s="749"/>
      <c r="G37" s="749"/>
      <c r="H37" s="749"/>
      <c r="I37" s="749"/>
      <c r="J37" s="749"/>
      <c r="K37" s="749"/>
      <c r="L37" s="749"/>
      <c r="M37" s="750"/>
      <c r="N37" s="283">
        <f>SUBTOTAL(109,'T5'!$N$27:$N$36)</f>
        <v>32.799999999999997</v>
      </c>
      <c r="P37" s="701" t="s">
        <v>124</v>
      </c>
      <c r="Q37" s="702"/>
      <c r="R37" s="702"/>
      <c r="S37" s="703"/>
      <c r="T37" s="704">
        <f>SUM(T27:U36)</f>
        <v>30</v>
      </c>
      <c r="U37" s="705"/>
      <c r="V37" s="704">
        <f ca="1">SUM(W27:W36)</f>
        <v>32.799999999999997</v>
      </c>
      <c r="W37" s="705"/>
      <c r="X37" s="704">
        <f t="shared" ref="X37" ca="1" si="2">SUM(X27:Y36)</f>
        <v>2.8000000000000007</v>
      </c>
      <c r="Y37" s="705"/>
      <c r="Z37" s="741"/>
      <c r="AA37" s="741"/>
      <c r="AB37" s="741"/>
      <c r="AC37" s="741"/>
      <c r="AD37" s="741"/>
      <c r="AE37" s="741"/>
      <c r="AF37" s="741"/>
      <c r="AG37" s="741"/>
      <c r="AH37" s="741"/>
      <c r="AI37" s="741"/>
      <c r="AJ37" s="741"/>
      <c r="AK37" s="742"/>
    </row>
    <row r="39" spans="5:37" ht="14.65" thickBot="1" x14ac:dyDescent="0.5"/>
    <row r="40" spans="5:37" ht="15.75" customHeight="1" x14ac:dyDescent="0.55000000000000004">
      <c r="E40" s="743" t="s">
        <v>320</v>
      </c>
      <c r="F40" s="744"/>
      <c r="G40" s="744"/>
      <c r="H40" s="744"/>
      <c r="I40" s="744"/>
      <c r="J40" s="744"/>
      <c r="K40" s="744"/>
      <c r="L40" s="744"/>
      <c r="M40" s="744"/>
      <c r="N40" s="745"/>
      <c r="P40" s="743" t="s">
        <v>321</v>
      </c>
      <c r="Q40" s="744"/>
      <c r="R40" s="744"/>
      <c r="S40" s="744"/>
      <c r="T40" s="744"/>
      <c r="U40" s="744"/>
      <c r="V40" s="744"/>
      <c r="W40" s="744"/>
      <c r="X40" s="744"/>
      <c r="Y40" s="744"/>
      <c r="Z40" s="744"/>
      <c r="AA40" s="744"/>
      <c r="AB40" s="744"/>
      <c r="AC40" s="744"/>
      <c r="AD40" s="744"/>
      <c r="AE40" s="744"/>
      <c r="AF40" s="744"/>
      <c r="AG40" s="744"/>
      <c r="AH40" s="744"/>
      <c r="AI40" s="744"/>
      <c r="AJ40" s="744"/>
      <c r="AK40" s="745"/>
    </row>
    <row r="41" spans="5:37" ht="15" x14ac:dyDescent="0.45">
      <c r="E41" s="746" t="s">
        <v>146</v>
      </c>
      <c r="F41" s="747"/>
      <c r="G41" s="666" t="s">
        <v>347</v>
      </c>
      <c r="H41" s="666"/>
      <c r="I41" s="666"/>
      <c r="J41" s="666"/>
      <c r="K41" s="666" t="s">
        <v>345</v>
      </c>
      <c r="L41" s="666"/>
      <c r="M41" s="666"/>
      <c r="N41" s="284" t="s">
        <v>148</v>
      </c>
      <c r="P41" s="699" t="s">
        <v>147</v>
      </c>
      <c r="Q41" s="700"/>
      <c r="R41" s="700"/>
      <c r="S41" s="700"/>
      <c r="T41" s="700" t="s">
        <v>149</v>
      </c>
      <c r="U41" s="700"/>
      <c r="V41" s="700" t="s">
        <v>150</v>
      </c>
      <c r="W41" s="700"/>
      <c r="X41" s="700" t="s">
        <v>151</v>
      </c>
      <c r="Y41" s="700"/>
      <c r="Z41" s="751" t="s">
        <v>152</v>
      </c>
      <c r="AA41" s="751"/>
      <c r="AB41" s="751"/>
      <c r="AC41" s="751"/>
      <c r="AD41" s="751"/>
      <c r="AE41" s="751"/>
      <c r="AF41" s="751" t="s">
        <v>153</v>
      </c>
      <c r="AG41" s="751"/>
      <c r="AH41" s="751"/>
      <c r="AI41" s="751"/>
      <c r="AJ41" s="751"/>
      <c r="AK41" s="752"/>
    </row>
    <row r="42" spans="5:37" ht="15" customHeight="1" x14ac:dyDescent="0.55000000000000004">
      <c r="E42" s="735">
        <v>44682</v>
      </c>
      <c r="F42" s="736">
        <v>44593</v>
      </c>
      <c r="G42" s="640" t="s">
        <v>5</v>
      </c>
      <c r="H42" s="641"/>
      <c r="I42" s="641"/>
      <c r="J42" s="642"/>
      <c r="K42" s="640"/>
      <c r="L42" s="641"/>
      <c r="M42" s="642"/>
      <c r="N42" s="137">
        <v>3.4</v>
      </c>
      <c r="P42" s="694" t="str">
        <f>'Từ khóa'!F12</f>
        <v>Mua thực phẩm</v>
      </c>
      <c r="Q42" s="695"/>
      <c r="R42" s="695"/>
      <c r="S42" s="695"/>
      <c r="T42" s="696">
        <f>'Kế hoạch thu nhập và chi tiêu'!L26</f>
        <v>5</v>
      </c>
      <c r="U42" s="696"/>
      <c r="V42" s="152"/>
      <c r="W42" s="153">
        <f t="shared" ref="W42:W56" ca="1" si="3">SUMIF($G$42:$J$82,P42,$N$42:$N$82)</f>
        <v>3.4</v>
      </c>
      <c r="X42" s="697">
        <f t="shared" ref="X42:X56" ca="1" si="4">T42-W42</f>
        <v>1.6</v>
      </c>
      <c r="Y42" s="698"/>
      <c r="Z42" s="739"/>
      <c r="AA42" s="739"/>
      <c r="AB42" s="739"/>
      <c r="AC42" s="739"/>
      <c r="AD42" s="739"/>
      <c r="AE42" s="739"/>
      <c r="AF42" s="739"/>
      <c r="AG42" s="739"/>
      <c r="AH42" s="739"/>
      <c r="AI42" s="739"/>
      <c r="AJ42" s="739"/>
      <c r="AK42" s="740"/>
    </row>
    <row r="43" spans="5:37" ht="15" customHeight="1" x14ac:dyDescent="0.55000000000000004">
      <c r="E43" s="735">
        <v>44682</v>
      </c>
      <c r="F43" s="736">
        <v>44593</v>
      </c>
      <c r="G43" s="640" t="s">
        <v>6</v>
      </c>
      <c r="H43" s="641" t="s">
        <v>6</v>
      </c>
      <c r="I43" s="641" t="s">
        <v>6</v>
      </c>
      <c r="J43" s="642" t="s">
        <v>6</v>
      </c>
      <c r="K43" s="640"/>
      <c r="L43" s="641"/>
      <c r="M43" s="642"/>
      <c r="N43" s="138">
        <v>1</v>
      </c>
      <c r="P43" s="694" t="str">
        <f>'Từ khóa'!F13</f>
        <v>Mua đồ dùng trong nhà</v>
      </c>
      <c r="Q43" s="695"/>
      <c r="R43" s="695"/>
      <c r="S43" s="695"/>
      <c r="T43" s="696">
        <f>'Kế hoạch thu nhập và chi tiêu'!L27</f>
        <v>0.5</v>
      </c>
      <c r="U43" s="696"/>
      <c r="V43" s="152"/>
      <c r="W43" s="153">
        <f t="shared" ca="1" si="3"/>
        <v>1</v>
      </c>
      <c r="X43" s="697">
        <f t="shared" ca="1" si="4"/>
        <v>-0.5</v>
      </c>
      <c r="Y43" s="698"/>
      <c r="Z43" s="739" t="s">
        <v>390</v>
      </c>
      <c r="AA43" s="739"/>
      <c r="AB43" s="739"/>
      <c r="AC43" s="739"/>
      <c r="AD43" s="739"/>
      <c r="AE43" s="739"/>
      <c r="AF43" s="739"/>
      <c r="AG43" s="739"/>
      <c r="AH43" s="739"/>
      <c r="AI43" s="739"/>
      <c r="AJ43" s="739"/>
      <c r="AK43" s="740"/>
    </row>
    <row r="44" spans="5:37" ht="15" customHeight="1" x14ac:dyDescent="0.55000000000000004">
      <c r="E44" s="735">
        <v>44683</v>
      </c>
      <c r="F44" s="736">
        <v>44594</v>
      </c>
      <c r="G44" s="640" t="s">
        <v>10</v>
      </c>
      <c r="H44" s="641" t="s">
        <v>10</v>
      </c>
      <c r="I44" s="641" t="s">
        <v>10</v>
      </c>
      <c r="J44" s="642" t="s">
        <v>10</v>
      </c>
      <c r="K44" s="640" t="s">
        <v>159</v>
      </c>
      <c r="L44" s="641" t="s">
        <v>159</v>
      </c>
      <c r="M44" s="642" t="s">
        <v>159</v>
      </c>
      <c r="N44" s="138">
        <v>0.5</v>
      </c>
      <c r="P44" s="694" t="str">
        <f>'Từ khóa'!F14</f>
        <v>Đi ăn ở ngoài</v>
      </c>
      <c r="Q44" s="695"/>
      <c r="R44" s="695"/>
      <c r="S44" s="695"/>
      <c r="T44" s="696">
        <f>'Kế hoạch thu nhập và chi tiêu'!L28</f>
        <v>2</v>
      </c>
      <c r="U44" s="696"/>
      <c r="V44" s="152"/>
      <c r="W44" s="153">
        <f t="shared" ca="1" si="3"/>
        <v>1.2999999999999998</v>
      </c>
      <c r="X44" s="697">
        <f t="shared" ca="1" si="4"/>
        <v>0.70000000000000018</v>
      </c>
      <c r="Y44" s="698"/>
      <c r="Z44" s="739" t="s">
        <v>391</v>
      </c>
      <c r="AA44" s="739"/>
      <c r="AB44" s="739"/>
      <c r="AC44" s="739"/>
      <c r="AD44" s="739"/>
      <c r="AE44" s="739"/>
      <c r="AF44" s="739" t="s">
        <v>322</v>
      </c>
      <c r="AG44" s="739"/>
      <c r="AH44" s="739"/>
      <c r="AI44" s="739"/>
      <c r="AJ44" s="739"/>
      <c r="AK44" s="740"/>
    </row>
    <row r="45" spans="5:37" ht="15" customHeight="1" x14ac:dyDescent="0.55000000000000004">
      <c r="E45" s="735">
        <v>44684</v>
      </c>
      <c r="F45" s="736">
        <v>44595</v>
      </c>
      <c r="G45" s="640" t="s">
        <v>10</v>
      </c>
      <c r="H45" s="641" t="s">
        <v>10</v>
      </c>
      <c r="I45" s="641" t="s">
        <v>10</v>
      </c>
      <c r="J45" s="642" t="s">
        <v>10</v>
      </c>
      <c r="K45" s="640" t="s">
        <v>161</v>
      </c>
      <c r="L45" s="641" t="s">
        <v>161</v>
      </c>
      <c r="M45" s="642" t="s">
        <v>161</v>
      </c>
      <c r="N45" s="138">
        <v>0.25</v>
      </c>
      <c r="P45" s="694" t="str">
        <f>'Từ khóa'!F15</f>
        <v>Chi tiền phát triển bản thân</v>
      </c>
      <c r="Q45" s="695"/>
      <c r="R45" s="695"/>
      <c r="S45" s="695"/>
      <c r="T45" s="696">
        <f>'Kế hoạch thu nhập và chi tiêu'!L29</f>
        <v>1.5</v>
      </c>
      <c r="U45" s="696"/>
      <c r="V45" s="152"/>
      <c r="W45" s="153">
        <f t="shared" ca="1" si="3"/>
        <v>2</v>
      </c>
      <c r="X45" s="697">
        <f t="shared" ca="1" si="4"/>
        <v>-0.5</v>
      </c>
      <c r="Y45" s="698"/>
      <c r="Z45" s="739" t="s">
        <v>389</v>
      </c>
      <c r="AA45" s="739"/>
      <c r="AB45" s="739"/>
      <c r="AC45" s="739"/>
      <c r="AD45" s="739"/>
      <c r="AE45" s="739"/>
      <c r="AF45" s="739"/>
      <c r="AG45" s="739"/>
      <c r="AH45" s="739"/>
      <c r="AI45" s="739"/>
      <c r="AJ45" s="739"/>
      <c r="AK45" s="740"/>
    </row>
    <row r="46" spans="5:37" ht="15" customHeight="1" x14ac:dyDescent="0.55000000000000004">
      <c r="E46" s="735">
        <v>44685</v>
      </c>
      <c r="F46" s="736">
        <v>44596</v>
      </c>
      <c r="G46" s="640" t="s">
        <v>10</v>
      </c>
      <c r="H46" s="641" t="s">
        <v>10</v>
      </c>
      <c r="I46" s="641" t="s">
        <v>10</v>
      </c>
      <c r="J46" s="642" t="s">
        <v>10</v>
      </c>
      <c r="K46" s="640" t="s">
        <v>162</v>
      </c>
      <c r="L46" s="641" t="s">
        <v>162</v>
      </c>
      <c r="M46" s="642" t="s">
        <v>162</v>
      </c>
      <c r="N46" s="138">
        <v>0.3</v>
      </c>
      <c r="P46" s="694" t="str">
        <f>'Từ khóa'!F16</f>
        <v>Chi tiền bảo hiểm</v>
      </c>
      <c r="Q46" s="695"/>
      <c r="R46" s="695"/>
      <c r="S46" s="695"/>
      <c r="T46" s="696">
        <f>'Kế hoạch thu nhập và chi tiêu'!L30</f>
        <v>0</v>
      </c>
      <c r="U46" s="696"/>
      <c r="V46" s="152"/>
      <c r="W46" s="153">
        <f t="shared" ca="1" si="3"/>
        <v>0</v>
      </c>
      <c r="X46" s="697">
        <f t="shared" ca="1" si="4"/>
        <v>0</v>
      </c>
      <c r="Y46" s="698"/>
      <c r="Z46" s="739"/>
      <c r="AA46" s="739"/>
      <c r="AB46" s="739"/>
      <c r="AC46" s="739"/>
      <c r="AD46" s="739"/>
      <c r="AE46" s="739"/>
      <c r="AF46" s="739"/>
      <c r="AG46" s="739"/>
      <c r="AH46" s="739"/>
      <c r="AI46" s="739"/>
      <c r="AJ46" s="739"/>
      <c r="AK46" s="740"/>
    </row>
    <row r="47" spans="5:37" ht="15" customHeight="1" x14ac:dyDescent="0.55000000000000004">
      <c r="E47" s="735">
        <v>44686</v>
      </c>
      <c r="F47" s="736">
        <v>44597</v>
      </c>
      <c r="G47" s="640" t="s">
        <v>10</v>
      </c>
      <c r="H47" s="641" t="s">
        <v>10</v>
      </c>
      <c r="I47" s="641" t="s">
        <v>10</v>
      </c>
      <c r="J47" s="642" t="s">
        <v>10</v>
      </c>
      <c r="K47" s="640" t="s">
        <v>163</v>
      </c>
      <c r="L47" s="641" t="s">
        <v>163</v>
      </c>
      <c r="M47" s="642" t="s">
        <v>163</v>
      </c>
      <c r="N47" s="138">
        <v>0.2</v>
      </c>
      <c r="P47" s="694" t="str">
        <f>'Từ khóa'!F17</f>
        <v>Chi tiền điện, nước, internet, điện thoại, xăng xe</v>
      </c>
      <c r="Q47" s="695"/>
      <c r="R47" s="695"/>
      <c r="S47" s="695"/>
      <c r="T47" s="696">
        <f>'Kế hoạch thu nhập và chi tiêu'!L31</f>
        <v>2</v>
      </c>
      <c r="U47" s="696"/>
      <c r="V47" s="152"/>
      <c r="W47" s="153">
        <f t="shared" ca="1" si="3"/>
        <v>1.5</v>
      </c>
      <c r="X47" s="697">
        <f t="shared" ca="1" si="4"/>
        <v>0.5</v>
      </c>
      <c r="Y47" s="698"/>
      <c r="Z47" s="739" t="s">
        <v>376</v>
      </c>
      <c r="AA47" s="739"/>
      <c r="AB47" s="739"/>
      <c r="AC47" s="739"/>
      <c r="AD47" s="739"/>
      <c r="AE47" s="739"/>
      <c r="AF47" s="739" t="s">
        <v>322</v>
      </c>
      <c r="AG47" s="739"/>
      <c r="AH47" s="739"/>
      <c r="AI47" s="739"/>
      <c r="AJ47" s="739"/>
      <c r="AK47" s="740"/>
    </row>
    <row r="48" spans="5:37" ht="15" customHeight="1" x14ac:dyDescent="0.55000000000000004">
      <c r="E48" s="735">
        <v>44688</v>
      </c>
      <c r="F48" s="736">
        <v>44599</v>
      </c>
      <c r="G48" s="640" t="s">
        <v>10</v>
      </c>
      <c r="H48" s="641" t="s">
        <v>10</v>
      </c>
      <c r="I48" s="641" t="s">
        <v>10</v>
      </c>
      <c r="J48" s="642" t="s">
        <v>10</v>
      </c>
      <c r="K48" s="640" t="s">
        <v>164</v>
      </c>
      <c r="L48" s="641" t="s">
        <v>164</v>
      </c>
      <c r="M48" s="642" t="s">
        <v>164</v>
      </c>
      <c r="N48" s="138">
        <v>0.05</v>
      </c>
      <c r="P48" s="694" t="str">
        <f>'Từ khóa'!F18</f>
        <v>Chi tiền giải trí, quà tặng</v>
      </c>
      <c r="Q48" s="695"/>
      <c r="R48" s="695"/>
      <c r="S48" s="695"/>
      <c r="T48" s="696">
        <f>'Kế hoạch thu nhập và chi tiêu'!L32</f>
        <v>0</v>
      </c>
      <c r="U48" s="696"/>
      <c r="V48" s="152"/>
      <c r="W48" s="153">
        <f t="shared" ca="1" si="3"/>
        <v>0.4</v>
      </c>
      <c r="X48" s="697">
        <f t="shared" ca="1" si="4"/>
        <v>-0.4</v>
      </c>
      <c r="Y48" s="698"/>
      <c r="Z48" s="739" t="s">
        <v>386</v>
      </c>
      <c r="AA48" s="739"/>
      <c r="AB48" s="739"/>
      <c r="AC48" s="739"/>
      <c r="AD48" s="739"/>
      <c r="AE48" s="739"/>
      <c r="AF48" s="739"/>
      <c r="AG48" s="739"/>
      <c r="AH48" s="739"/>
      <c r="AI48" s="739"/>
      <c r="AJ48" s="739"/>
      <c r="AK48" s="740"/>
    </row>
    <row r="49" spans="5:37" ht="15" customHeight="1" x14ac:dyDescent="0.55000000000000004">
      <c r="E49" s="735">
        <v>44690</v>
      </c>
      <c r="F49" s="736">
        <v>44601</v>
      </c>
      <c r="G49" s="640" t="s">
        <v>7</v>
      </c>
      <c r="H49" s="641" t="s">
        <v>7</v>
      </c>
      <c r="I49" s="641" t="s">
        <v>7</v>
      </c>
      <c r="J49" s="642" t="s">
        <v>7</v>
      </c>
      <c r="K49" s="640"/>
      <c r="L49" s="641"/>
      <c r="M49" s="642"/>
      <c r="N49" s="138">
        <v>0.5</v>
      </c>
      <c r="P49" s="694" t="str">
        <f>'Từ khóa'!F19</f>
        <v>Chi tiền cho con</v>
      </c>
      <c r="Q49" s="695"/>
      <c r="R49" s="695"/>
      <c r="S49" s="695"/>
      <c r="T49" s="696">
        <f>'Kế hoạch thu nhập và chi tiêu'!L33</f>
        <v>0</v>
      </c>
      <c r="U49" s="696"/>
      <c r="V49" s="152"/>
      <c r="W49" s="153">
        <f t="shared" ca="1" si="3"/>
        <v>0</v>
      </c>
      <c r="X49" s="697">
        <f t="shared" ca="1" si="4"/>
        <v>0</v>
      </c>
      <c r="Y49" s="698"/>
      <c r="Z49" s="739"/>
      <c r="AA49" s="739"/>
      <c r="AB49" s="739"/>
      <c r="AC49" s="739"/>
      <c r="AD49" s="739"/>
      <c r="AE49" s="739"/>
      <c r="AF49" s="739"/>
      <c r="AG49" s="739"/>
      <c r="AH49" s="739"/>
      <c r="AI49" s="739"/>
      <c r="AJ49" s="739"/>
      <c r="AK49" s="740"/>
    </row>
    <row r="50" spans="5:37" ht="15" customHeight="1" x14ac:dyDescent="0.55000000000000004">
      <c r="E50" s="735">
        <v>44692</v>
      </c>
      <c r="F50" s="736">
        <v>44603</v>
      </c>
      <c r="G50" s="640" t="s">
        <v>8</v>
      </c>
      <c r="H50" s="641" t="s">
        <v>8</v>
      </c>
      <c r="I50" s="641" t="s">
        <v>8</v>
      </c>
      <c r="J50" s="642" t="s">
        <v>8</v>
      </c>
      <c r="K50" s="640" t="s">
        <v>23</v>
      </c>
      <c r="L50" s="641" t="s">
        <v>23</v>
      </c>
      <c r="M50" s="642" t="s">
        <v>23</v>
      </c>
      <c r="N50" s="138">
        <v>0.3</v>
      </c>
      <c r="P50" s="694" t="str">
        <f>'Từ khóa'!F20</f>
        <v>Chi tiền trả nợ</v>
      </c>
      <c r="Q50" s="695"/>
      <c r="R50" s="695"/>
      <c r="S50" s="695"/>
      <c r="T50" s="696">
        <f>'Kế hoạch thu nhập và chi tiêu'!L34</f>
        <v>6.5</v>
      </c>
      <c r="U50" s="696"/>
      <c r="V50" s="152"/>
      <c r="W50" s="153">
        <f t="shared" ca="1" si="3"/>
        <v>6.5</v>
      </c>
      <c r="X50" s="697">
        <f t="shared" ca="1" si="4"/>
        <v>0</v>
      </c>
      <c r="Y50" s="698"/>
      <c r="Z50" s="739"/>
      <c r="AA50" s="739"/>
      <c r="AB50" s="739"/>
      <c r="AC50" s="739"/>
      <c r="AD50" s="739"/>
      <c r="AE50" s="739"/>
      <c r="AF50" s="739"/>
      <c r="AG50" s="739"/>
      <c r="AH50" s="739"/>
      <c r="AI50" s="739"/>
      <c r="AJ50" s="739"/>
      <c r="AK50" s="740"/>
    </row>
    <row r="51" spans="5:37" ht="15" customHeight="1" x14ac:dyDescent="0.55000000000000004">
      <c r="E51" s="735">
        <v>44693</v>
      </c>
      <c r="F51" s="736">
        <v>44604</v>
      </c>
      <c r="G51" s="640" t="s">
        <v>8</v>
      </c>
      <c r="H51" s="641" t="s">
        <v>8</v>
      </c>
      <c r="I51" s="641" t="s">
        <v>8</v>
      </c>
      <c r="J51" s="642" t="s">
        <v>8</v>
      </c>
      <c r="K51" s="640" t="s">
        <v>165</v>
      </c>
      <c r="L51" s="641" t="s">
        <v>165</v>
      </c>
      <c r="M51" s="642" t="s">
        <v>165</v>
      </c>
      <c r="N51" s="138">
        <v>0.5</v>
      </c>
      <c r="P51" s="694" t="str">
        <f>'Từ khóa'!F21</f>
        <v>Chi tiền cho tặng gia đình</v>
      </c>
      <c r="Q51" s="695"/>
      <c r="R51" s="695"/>
      <c r="S51" s="695"/>
      <c r="T51" s="696">
        <f>'Kế hoạch thu nhập và chi tiêu'!L35</f>
        <v>1</v>
      </c>
      <c r="U51" s="696"/>
      <c r="V51" s="152"/>
      <c r="W51" s="153">
        <f t="shared" ca="1" si="3"/>
        <v>0.5</v>
      </c>
      <c r="X51" s="697">
        <f t="shared" ca="1" si="4"/>
        <v>0.5</v>
      </c>
      <c r="Y51" s="698"/>
      <c r="Z51" s="739"/>
      <c r="AA51" s="739"/>
      <c r="AB51" s="739"/>
      <c r="AC51" s="739"/>
      <c r="AD51" s="739"/>
      <c r="AE51" s="739"/>
      <c r="AF51" s="739"/>
      <c r="AG51" s="739"/>
      <c r="AH51" s="739"/>
      <c r="AI51" s="739"/>
      <c r="AJ51" s="739"/>
      <c r="AK51" s="740"/>
    </row>
    <row r="52" spans="5:37" ht="15" customHeight="1" x14ac:dyDescent="0.55000000000000004">
      <c r="E52" s="735">
        <v>44701</v>
      </c>
      <c r="F52" s="736">
        <v>44612</v>
      </c>
      <c r="G52" s="640" t="s">
        <v>8</v>
      </c>
      <c r="H52" s="641"/>
      <c r="I52" s="641"/>
      <c r="J52" s="642"/>
      <c r="K52" s="640" t="s">
        <v>165</v>
      </c>
      <c r="L52" s="641"/>
      <c r="M52" s="642"/>
      <c r="N52" s="138">
        <v>0.7</v>
      </c>
      <c r="P52" s="694" t="str">
        <f>'Từ khóa'!F22</f>
        <v>Chi tiêu 1</v>
      </c>
      <c r="Q52" s="695"/>
      <c r="R52" s="695"/>
      <c r="S52" s="695"/>
      <c r="T52" s="696">
        <f>'Kế hoạch thu nhập và chi tiêu'!L36</f>
        <v>0</v>
      </c>
      <c r="U52" s="696"/>
      <c r="V52" s="152"/>
      <c r="W52" s="153">
        <f t="shared" ca="1" si="3"/>
        <v>0</v>
      </c>
      <c r="X52" s="697">
        <f t="shared" ca="1" si="4"/>
        <v>0</v>
      </c>
      <c r="Y52" s="698"/>
      <c r="Z52" s="739"/>
      <c r="AA52" s="739"/>
      <c r="AB52" s="739"/>
      <c r="AC52" s="739"/>
      <c r="AD52" s="739"/>
      <c r="AE52" s="739"/>
      <c r="AF52" s="739"/>
      <c r="AG52" s="739"/>
      <c r="AH52" s="739"/>
      <c r="AI52" s="739"/>
      <c r="AJ52" s="739"/>
      <c r="AK52" s="740"/>
    </row>
    <row r="53" spans="5:37" ht="15" customHeight="1" x14ac:dyDescent="0.55000000000000004">
      <c r="E53" s="735">
        <v>44703</v>
      </c>
      <c r="F53" s="736" t="s">
        <v>174</v>
      </c>
      <c r="G53" s="640" t="s">
        <v>7</v>
      </c>
      <c r="H53" s="641"/>
      <c r="I53" s="641"/>
      <c r="J53" s="642"/>
      <c r="K53" s="640"/>
      <c r="L53" s="641"/>
      <c r="M53" s="642"/>
      <c r="N53" s="138">
        <v>0.2</v>
      </c>
      <c r="P53" s="694" t="str">
        <f>'Từ khóa'!F23</f>
        <v>Chi tiêu 2</v>
      </c>
      <c r="Q53" s="695"/>
      <c r="R53" s="695"/>
      <c r="S53" s="695"/>
      <c r="T53" s="696">
        <f>'Kế hoạch thu nhập và chi tiêu'!L37</f>
        <v>0</v>
      </c>
      <c r="U53" s="696"/>
      <c r="V53" s="152"/>
      <c r="W53" s="153">
        <f t="shared" ca="1" si="3"/>
        <v>0</v>
      </c>
      <c r="X53" s="697">
        <f t="shared" ca="1" si="4"/>
        <v>0</v>
      </c>
      <c r="Y53" s="698"/>
      <c r="Z53" s="739"/>
      <c r="AA53" s="739"/>
      <c r="AB53" s="739"/>
      <c r="AC53" s="739"/>
      <c r="AD53" s="739"/>
      <c r="AE53" s="739"/>
      <c r="AF53" s="739"/>
      <c r="AG53" s="739"/>
      <c r="AH53" s="739"/>
      <c r="AI53" s="739"/>
      <c r="AJ53" s="739"/>
      <c r="AK53" s="740"/>
    </row>
    <row r="54" spans="5:37" ht="15" customHeight="1" x14ac:dyDescent="0.55000000000000004">
      <c r="E54" s="735">
        <v>44704</v>
      </c>
      <c r="F54" s="736">
        <v>44615</v>
      </c>
      <c r="G54" s="640" t="s">
        <v>10</v>
      </c>
      <c r="H54" s="641"/>
      <c r="I54" s="641"/>
      <c r="J54" s="642"/>
      <c r="K54" s="640" t="s">
        <v>163</v>
      </c>
      <c r="L54" s="641"/>
      <c r="M54" s="642"/>
      <c r="N54" s="138">
        <v>0.2</v>
      </c>
      <c r="P54" s="694" t="str">
        <f>'Từ khóa'!F24</f>
        <v>Chi tiêu 3</v>
      </c>
      <c r="Q54" s="695"/>
      <c r="R54" s="695"/>
      <c r="S54" s="695"/>
      <c r="T54" s="696">
        <f>'Kế hoạch thu nhập và chi tiêu'!L38</f>
        <v>0</v>
      </c>
      <c r="U54" s="696"/>
      <c r="V54" s="152"/>
      <c r="W54" s="153">
        <f t="shared" ca="1" si="3"/>
        <v>0</v>
      </c>
      <c r="X54" s="697">
        <f t="shared" ca="1" si="4"/>
        <v>0</v>
      </c>
      <c r="Y54" s="698"/>
      <c r="Z54" s="739"/>
      <c r="AA54" s="739"/>
      <c r="AB54" s="739"/>
      <c r="AC54" s="739"/>
      <c r="AD54" s="739"/>
      <c r="AE54" s="739"/>
      <c r="AF54" s="739"/>
      <c r="AG54" s="739"/>
      <c r="AH54" s="739"/>
      <c r="AI54" s="739"/>
      <c r="AJ54" s="739"/>
      <c r="AK54" s="740"/>
    </row>
    <row r="55" spans="5:37" ht="15" customHeight="1" x14ac:dyDescent="0.55000000000000004">
      <c r="E55" s="735">
        <v>44705</v>
      </c>
      <c r="F55" s="736">
        <v>44616</v>
      </c>
      <c r="G55" s="640" t="s">
        <v>7</v>
      </c>
      <c r="H55" s="641"/>
      <c r="I55" s="641"/>
      <c r="J55" s="642"/>
      <c r="K55" s="640"/>
      <c r="L55" s="641"/>
      <c r="M55" s="642"/>
      <c r="N55" s="138">
        <v>0.6</v>
      </c>
      <c r="P55" s="694" t="str">
        <f>'Từ khóa'!F25</f>
        <v>Chi tiêu 4</v>
      </c>
      <c r="Q55" s="695"/>
      <c r="R55" s="695"/>
      <c r="S55" s="695"/>
      <c r="T55" s="696">
        <f>'Kế hoạch thu nhập và chi tiêu'!L39</f>
        <v>0</v>
      </c>
      <c r="U55" s="696"/>
      <c r="V55" s="152"/>
      <c r="W55" s="153">
        <f t="shared" ca="1" si="3"/>
        <v>0</v>
      </c>
      <c r="X55" s="697">
        <f t="shared" ca="1" si="4"/>
        <v>0</v>
      </c>
      <c r="Y55" s="698"/>
      <c r="Z55" s="739"/>
      <c r="AA55" s="739"/>
      <c r="AB55" s="739"/>
      <c r="AC55" s="739"/>
      <c r="AD55" s="739"/>
      <c r="AE55" s="739"/>
      <c r="AF55" s="739"/>
      <c r="AG55" s="739"/>
      <c r="AH55" s="739"/>
      <c r="AI55" s="739"/>
      <c r="AJ55" s="739"/>
      <c r="AK55" s="740"/>
    </row>
    <row r="56" spans="5:37" ht="15" customHeight="1" x14ac:dyDescent="0.55000000000000004">
      <c r="E56" s="735">
        <v>44706</v>
      </c>
      <c r="F56" s="736">
        <v>44617</v>
      </c>
      <c r="G56" s="640" t="s">
        <v>13</v>
      </c>
      <c r="H56" s="641"/>
      <c r="I56" s="641"/>
      <c r="J56" s="642"/>
      <c r="K56" s="640"/>
      <c r="L56" s="641"/>
      <c r="M56" s="642"/>
      <c r="N56" s="138">
        <v>6.5</v>
      </c>
      <c r="P56" s="694" t="str">
        <f>'Từ khóa'!F26</f>
        <v>Chi tiêu 5</v>
      </c>
      <c r="Q56" s="695"/>
      <c r="R56" s="695"/>
      <c r="S56" s="695"/>
      <c r="T56" s="696">
        <f>'Kế hoạch thu nhập và chi tiêu'!L40</f>
        <v>0</v>
      </c>
      <c r="U56" s="696"/>
      <c r="V56" s="152"/>
      <c r="W56" s="153">
        <f t="shared" ca="1" si="3"/>
        <v>0</v>
      </c>
      <c r="X56" s="697">
        <f t="shared" ca="1" si="4"/>
        <v>0</v>
      </c>
      <c r="Y56" s="698"/>
      <c r="Z56" s="739"/>
      <c r="AA56" s="739"/>
      <c r="AB56" s="739"/>
      <c r="AC56" s="739"/>
      <c r="AD56" s="739"/>
      <c r="AE56" s="739"/>
      <c r="AF56" s="739"/>
      <c r="AG56" s="739"/>
      <c r="AH56" s="739"/>
      <c r="AI56" s="739"/>
      <c r="AJ56" s="739"/>
      <c r="AK56" s="740"/>
    </row>
    <row r="57" spans="5:37" ht="15.75" customHeight="1" thickBot="1" x14ac:dyDescent="0.6">
      <c r="E57" s="735">
        <v>44707</v>
      </c>
      <c r="F57" s="736">
        <v>44618</v>
      </c>
      <c r="G57" s="640" t="s">
        <v>11</v>
      </c>
      <c r="H57" s="641"/>
      <c r="I57" s="641"/>
      <c r="J57" s="642"/>
      <c r="K57" s="640" t="s">
        <v>378</v>
      </c>
      <c r="L57" s="641"/>
      <c r="M57" s="642"/>
      <c r="N57" s="138">
        <v>0.4</v>
      </c>
      <c r="P57" s="691" t="s">
        <v>317</v>
      </c>
      <c r="Q57" s="692"/>
      <c r="R57" s="692"/>
      <c r="S57" s="693"/>
      <c r="T57" s="689">
        <f>SUM(T42:U56)</f>
        <v>18.5</v>
      </c>
      <c r="U57" s="690"/>
      <c r="V57" s="689">
        <f ca="1">SUM(W42:W56)</f>
        <v>16.600000000000001</v>
      </c>
      <c r="W57" s="690"/>
      <c r="X57" s="689">
        <f t="shared" ref="X57" ca="1" si="5">SUM(X42:Y56)</f>
        <v>1.9000000000000004</v>
      </c>
      <c r="Y57" s="690"/>
      <c r="Z57" s="737"/>
      <c r="AA57" s="737"/>
      <c r="AB57" s="737"/>
      <c r="AC57" s="737"/>
      <c r="AD57" s="737"/>
      <c r="AE57" s="737"/>
      <c r="AF57" s="737"/>
      <c r="AG57" s="737"/>
      <c r="AH57" s="737"/>
      <c r="AI57" s="737"/>
      <c r="AJ57" s="737"/>
      <c r="AK57" s="738"/>
    </row>
    <row r="58" spans="5:37" ht="15.75" customHeight="1" x14ac:dyDescent="0.55000000000000004">
      <c r="E58" s="735">
        <v>44708</v>
      </c>
      <c r="F58" s="736">
        <v>44619</v>
      </c>
      <c r="G58" s="640" t="s">
        <v>14</v>
      </c>
      <c r="H58" s="641"/>
      <c r="I58" s="641"/>
      <c r="J58" s="642"/>
      <c r="K58" s="640"/>
      <c r="L58" s="641"/>
      <c r="M58" s="642"/>
      <c r="N58" s="139">
        <v>0.5</v>
      </c>
      <c r="Q58" s="275"/>
      <c r="R58" s="275"/>
      <c r="S58" s="275"/>
      <c r="T58" s="275"/>
    </row>
    <row r="59" spans="5:37" ht="15.75" customHeight="1" x14ac:dyDescent="0.55000000000000004">
      <c r="E59" s="735">
        <v>44709</v>
      </c>
      <c r="F59" s="736" t="s">
        <v>174</v>
      </c>
      <c r="G59" s="640" t="s">
        <v>8</v>
      </c>
      <c r="H59" s="641"/>
      <c r="I59" s="641"/>
      <c r="J59" s="642"/>
      <c r="K59" s="640" t="s">
        <v>165</v>
      </c>
      <c r="L59" s="641"/>
      <c r="M59" s="642"/>
      <c r="N59" s="140">
        <v>0.5</v>
      </c>
      <c r="Q59" s="275"/>
      <c r="R59" s="275"/>
      <c r="S59" s="275"/>
      <c r="T59" s="275"/>
    </row>
    <row r="60" spans="5:37" ht="15" x14ac:dyDescent="0.55000000000000004">
      <c r="E60" s="730"/>
      <c r="F60" s="731"/>
      <c r="G60" s="640"/>
      <c r="H60" s="641"/>
      <c r="I60" s="641"/>
      <c r="J60" s="642"/>
      <c r="K60" s="640"/>
      <c r="L60" s="641"/>
      <c r="M60" s="642"/>
      <c r="N60" s="140"/>
    </row>
    <row r="61" spans="5:37" ht="15" x14ac:dyDescent="0.55000000000000004">
      <c r="E61" s="730"/>
      <c r="F61" s="731"/>
      <c r="G61" s="640"/>
      <c r="H61" s="641"/>
      <c r="I61" s="641"/>
      <c r="J61" s="642"/>
      <c r="K61" s="640"/>
      <c r="L61" s="641"/>
      <c r="M61" s="642"/>
      <c r="N61" s="140"/>
    </row>
    <row r="62" spans="5:37" ht="15" x14ac:dyDescent="0.55000000000000004">
      <c r="E62" s="730"/>
      <c r="F62" s="731"/>
      <c r="G62" s="640"/>
      <c r="H62" s="641"/>
      <c r="I62" s="641"/>
      <c r="J62" s="642"/>
      <c r="K62" s="640"/>
      <c r="L62" s="641"/>
      <c r="M62" s="642"/>
      <c r="N62" s="140"/>
    </row>
    <row r="63" spans="5:37" ht="15" x14ac:dyDescent="0.55000000000000004">
      <c r="E63" s="730"/>
      <c r="F63" s="731"/>
      <c r="G63" s="732"/>
      <c r="H63" s="733"/>
      <c r="I63" s="733"/>
      <c r="J63" s="734"/>
      <c r="K63" s="732"/>
      <c r="L63" s="733"/>
      <c r="M63" s="734"/>
      <c r="N63" s="285"/>
    </row>
    <row r="64" spans="5:37" ht="15" x14ac:dyDescent="0.55000000000000004">
      <c r="E64" s="730"/>
      <c r="F64" s="731"/>
      <c r="G64" s="732"/>
      <c r="H64" s="733"/>
      <c r="I64" s="733"/>
      <c r="J64" s="734"/>
      <c r="K64" s="732"/>
      <c r="L64" s="733"/>
      <c r="M64" s="734"/>
      <c r="N64" s="285"/>
    </row>
    <row r="65" spans="5:14" ht="15" x14ac:dyDescent="0.55000000000000004">
      <c r="E65" s="730"/>
      <c r="F65" s="731"/>
      <c r="G65" s="732"/>
      <c r="H65" s="733"/>
      <c r="I65" s="733"/>
      <c r="J65" s="734"/>
      <c r="K65" s="732"/>
      <c r="L65" s="733"/>
      <c r="M65" s="734"/>
      <c r="N65" s="285"/>
    </row>
    <row r="66" spans="5:14" ht="15" x14ac:dyDescent="0.55000000000000004">
      <c r="E66" s="730"/>
      <c r="F66" s="731"/>
      <c r="G66" s="732"/>
      <c r="H66" s="733"/>
      <c r="I66" s="733"/>
      <c r="J66" s="734"/>
      <c r="K66" s="732"/>
      <c r="L66" s="733"/>
      <c r="M66" s="734"/>
      <c r="N66" s="285"/>
    </row>
    <row r="67" spans="5:14" ht="15" x14ac:dyDescent="0.55000000000000004">
      <c r="E67" s="730"/>
      <c r="F67" s="731"/>
      <c r="G67" s="732"/>
      <c r="H67" s="733"/>
      <c r="I67" s="733"/>
      <c r="J67" s="734"/>
      <c r="K67" s="732"/>
      <c r="L67" s="733"/>
      <c r="M67" s="734"/>
      <c r="N67" s="285"/>
    </row>
    <row r="68" spans="5:14" ht="15" x14ac:dyDescent="0.55000000000000004">
      <c r="E68" s="730"/>
      <c r="F68" s="731"/>
      <c r="G68" s="732"/>
      <c r="H68" s="733"/>
      <c r="I68" s="733"/>
      <c r="J68" s="734"/>
      <c r="K68" s="732"/>
      <c r="L68" s="733"/>
      <c r="M68" s="734"/>
      <c r="N68" s="285"/>
    </row>
    <row r="69" spans="5:14" ht="15" x14ac:dyDescent="0.55000000000000004">
      <c r="E69" s="730"/>
      <c r="F69" s="731"/>
      <c r="G69" s="732"/>
      <c r="H69" s="733"/>
      <c r="I69" s="733"/>
      <c r="J69" s="734"/>
      <c r="K69" s="732"/>
      <c r="L69" s="733"/>
      <c r="M69" s="734"/>
      <c r="N69" s="285"/>
    </row>
    <row r="70" spans="5:14" ht="15" x14ac:dyDescent="0.55000000000000004">
      <c r="E70" s="730"/>
      <c r="F70" s="731"/>
      <c r="G70" s="732"/>
      <c r="H70" s="733"/>
      <c r="I70" s="733"/>
      <c r="J70" s="734"/>
      <c r="K70" s="732"/>
      <c r="L70" s="733"/>
      <c r="M70" s="734"/>
      <c r="N70" s="285"/>
    </row>
    <row r="71" spans="5:14" ht="15" x14ac:dyDescent="0.55000000000000004">
      <c r="E71" s="730"/>
      <c r="F71" s="731"/>
      <c r="G71" s="732"/>
      <c r="H71" s="733"/>
      <c r="I71" s="733"/>
      <c r="J71" s="734"/>
      <c r="K71" s="732"/>
      <c r="L71" s="733"/>
      <c r="M71" s="734"/>
      <c r="N71" s="285"/>
    </row>
    <row r="72" spans="5:14" ht="15" x14ac:dyDescent="0.55000000000000004">
      <c r="E72" s="730"/>
      <c r="F72" s="731"/>
      <c r="G72" s="732"/>
      <c r="H72" s="733"/>
      <c r="I72" s="733"/>
      <c r="J72" s="734"/>
      <c r="K72" s="732"/>
      <c r="L72" s="733"/>
      <c r="M72" s="734"/>
      <c r="N72" s="285"/>
    </row>
    <row r="73" spans="5:14" ht="15" x14ac:dyDescent="0.55000000000000004">
      <c r="E73" s="730"/>
      <c r="F73" s="731"/>
      <c r="G73" s="732"/>
      <c r="H73" s="733"/>
      <c r="I73" s="733"/>
      <c r="J73" s="734"/>
      <c r="K73" s="732"/>
      <c r="L73" s="733"/>
      <c r="M73" s="734"/>
      <c r="N73" s="285"/>
    </row>
    <row r="74" spans="5:14" ht="15" x14ac:dyDescent="0.55000000000000004">
      <c r="E74" s="730"/>
      <c r="F74" s="731"/>
      <c r="G74" s="732"/>
      <c r="H74" s="733"/>
      <c r="I74" s="733"/>
      <c r="J74" s="734"/>
      <c r="K74" s="732"/>
      <c r="L74" s="733"/>
      <c r="M74" s="734"/>
      <c r="N74" s="285"/>
    </row>
    <row r="75" spans="5:14" ht="15" x14ac:dyDescent="0.55000000000000004">
      <c r="E75" s="730"/>
      <c r="F75" s="731"/>
      <c r="G75" s="732"/>
      <c r="H75" s="733"/>
      <c r="I75" s="733"/>
      <c r="J75" s="734"/>
      <c r="K75" s="732"/>
      <c r="L75" s="733"/>
      <c r="M75" s="734"/>
      <c r="N75" s="285"/>
    </row>
    <row r="76" spans="5:14" ht="15" x14ac:dyDescent="0.55000000000000004">
      <c r="E76" s="730"/>
      <c r="F76" s="731"/>
      <c r="G76" s="732"/>
      <c r="H76" s="733"/>
      <c r="I76" s="733"/>
      <c r="J76" s="734"/>
      <c r="K76" s="732"/>
      <c r="L76" s="733"/>
      <c r="M76" s="734"/>
      <c r="N76" s="285"/>
    </row>
    <row r="77" spans="5:14" ht="15" x14ac:dyDescent="0.55000000000000004">
      <c r="E77" s="730"/>
      <c r="F77" s="731"/>
      <c r="G77" s="732"/>
      <c r="H77" s="733"/>
      <c r="I77" s="733"/>
      <c r="J77" s="734"/>
      <c r="K77" s="732"/>
      <c r="L77" s="733"/>
      <c r="M77" s="734"/>
      <c r="N77" s="285"/>
    </row>
    <row r="78" spans="5:14" ht="15" x14ac:dyDescent="0.55000000000000004">
      <c r="E78" s="730"/>
      <c r="F78" s="731"/>
      <c r="G78" s="732"/>
      <c r="H78" s="733"/>
      <c r="I78" s="733"/>
      <c r="J78" s="734"/>
      <c r="K78" s="732"/>
      <c r="L78" s="733"/>
      <c r="M78" s="734"/>
      <c r="N78" s="285"/>
    </row>
    <row r="79" spans="5:14" ht="15" x14ac:dyDescent="0.55000000000000004">
      <c r="E79" s="730"/>
      <c r="F79" s="731"/>
      <c r="G79" s="732"/>
      <c r="H79" s="733"/>
      <c r="I79" s="733"/>
      <c r="J79" s="734"/>
      <c r="K79" s="732"/>
      <c r="L79" s="733"/>
      <c r="M79" s="734"/>
      <c r="N79" s="285"/>
    </row>
    <row r="80" spans="5:14" ht="15" x14ac:dyDescent="0.55000000000000004">
      <c r="E80" s="730"/>
      <c r="F80" s="731"/>
      <c r="G80" s="732"/>
      <c r="H80" s="733"/>
      <c r="I80" s="733"/>
      <c r="J80" s="734"/>
      <c r="K80" s="732"/>
      <c r="L80" s="733"/>
      <c r="M80" s="734"/>
      <c r="N80" s="285"/>
    </row>
    <row r="81" spans="1:31" ht="15" x14ac:dyDescent="0.55000000000000004">
      <c r="E81" s="730"/>
      <c r="F81" s="731"/>
      <c r="G81" s="732"/>
      <c r="H81" s="733"/>
      <c r="I81" s="733"/>
      <c r="J81" s="734"/>
      <c r="K81" s="732"/>
      <c r="L81" s="733"/>
      <c r="M81" s="734"/>
      <c r="N81" s="285"/>
    </row>
    <row r="82" spans="1:31" ht="15" x14ac:dyDescent="0.55000000000000004">
      <c r="E82" s="730"/>
      <c r="F82" s="731"/>
      <c r="G82" s="732"/>
      <c r="H82" s="733"/>
      <c r="I82" s="733"/>
      <c r="J82" s="734"/>
      <c r="K82" s="732"/>
      <c r="L82" s="733"/>
      <c r="M82" s="734"/>
      <c r="N82" s="285"/>
    </row>
    <row r="83" spans="1:31" ht="15.4" thickBot="1" x14ac:dyDescent="0.6">
      <c r="E83" s="727" t="s">
        <v>317</v>
      </c>
      <c r="F83" s="728"/>
      <c r="G83" s="728"/>
      <c r="H83" s="728"/>
      <c r="I83" s="728"/>
      <c r="J83" s="728"/>
      <c r="K83" s="728"/>
      <c r="L83" s="728"/>
      <c r="M83" s="729"/>
      <c r="N83" s="286">
        <f>SUM(N42:N82)</f>
        <v>16.600000000000001</v>
      </c>
    </row>
    <row r="86" spans="1:31" s="4" customFormat="1" ht="15" customHeight="1" x14ac:dyDescent="0.45">
      <c r="A86" s="1"/>
      <c r="B86" s="1"/>
      <c r="C86" s="1"/>
      <c r="E86" s="532" t="s">
        <v>348</v>
      </c>
      <c r="F86" s="532"/>
      <c r="G86" s="532"/>
      <c r="H86" s="532"/>
      <c r="I86" s="532"/>
      <c r="J86" s="532"/>
      <c r="K86" s="532"/>
      <c r="L86" s="532"/>
      <c r="M86" s="532"/>
      <c r="N86" s="5"/>
      <c r="O86" s="5"/>
      <c r="P86" s="5"/>
      <c r="Q86" s="5"/>
      <c r="R86" s="5"/>
      <c r="S86" s="6"/>
      <c r="T86" s="6"/>
      <c r="U86" s="6"/>
      <c r="V86" s="6"/>
      <c r="W86" s="6"/>
      <c r="X86" s="6"/>
      <c r="Y86" s="6"/>
      <c r="Z86" s="6"/>
      <c r="AA86" s="6"/>
    </row>
    <row r="87" spans="1:31" s="8" customFormat="1" ht="15" customHeight="1" thickBot="1" x14ac:dyDescent="0.5">
      <c r="A87" s="7"/>
      <c r="B87" s="7"/>
      <c r="C87" s="7"/>
      <c r="E87" s="533"/>
      <c r="F87" s="533"/>
      <c r="G87" s="533"/>
      <c r="H87" s="533"/>
      <c r="I87" s="533"/>
      <c r="J87" s="533"/>
      <c r="K87" s="533"/>
      <c r="L87" s="533"/>
      <c r="M87" s="533"/>
      <c r="N87" s="9"/>
      <c r="O87" s="9"/>
      <c r="P87" s="9"/>
      <c r="Q87" s="9"/>
      <c r="R87" s="9"/>
      <c r="S87" s="10"/>
      <c r="T87" s="10"/>
      <c r="U87" s="10"/>
      <c r="V87" s="10"/>
      <c r="W87" s="10"/>
      <c r="X87" s="10"/>
      <c r="Y87" s="10"/>
      <c r="Z87" s="10"/>
      <c r="AA87" s="10"/>
    </row>
    <row r="88" spans="1:31" ht="14.65" thickBot="1" x14ac:dyDescent="0.5"/>
    <row r="89" spans="1:31" ht="14.65" thickBot="1" x14ac:dyDescent="0.5">
      <c r="E89" s="620" t="s">
        <v>350</v>
      </c>
      <c r="F89" s="621"/>
      <c r="G89" s="621"/>
      <c r="H89" s="621"/>
      <c r="I89" s="621"/>
      <c r="J89" s="621"/>
      <c r="K89" s="621"/>
      <c r="L89" s="621"/>
      <c r="M89" s="621"/>
      <c r="N89" s="621"/>
      <c r="O89" s="621"/>
      <c r="P89" s="621"/>
      <c r="Q89" s="621"/>
      <c r="R89" s="621"/>
      <c r="S89" s="621"/>
      <c r="T89" s="621"/>
      <c r="U89" s="621"/>
      <c r="V89" s="621"/>
      <c r="W89" s="621"/>
      <c r="X89" s="621"/>
      <c r="Y89" s="622"/>
      <c r="AA89" s="629" t="s">
        <v>353</v>
      </c>
      <c r="AB89" s="630"/>
      <c r="AC89" s="630"/>
      <c r="AD89" s="630"/>
      <c r="AE89" s="631"/>
    </row>
    <row r="90" spans="1:31" x14ac:dyDescent="0.45">
      <c r="E90" s="615" t="s">
        <v>146</v>
      </c>
      <c r="F90" s="350"/>
      <c r="G90" s="350" t="s">
        <v>349</v>
      </c>
      <c r="H90" s="350"/>
      <c r="I90" s="350" t="s">
        <v>345</v>
      </c>
      <c r="J90" s="350"/>
      <c r="K90" s="133" t="s">
        <v>148</v>
      </c>
      <c r="L90" s="350" t="s">
        <v>166</v>
      </c>
      <c r="M90" s="350"/>
      <c r="N90" s="350"/>
      <c r="O90" s="350"/>
      <c r="P90" s="350"/>
      <c r="Q90" s="350"/>
      <c r="R90" s="350"/>
      <c r="S90" s="350" t="s">
        <v>352</v>
      </c>
      <c r="T90" s="350"/>
      <c r="U90" s="350"/>
      <c r="V90" s="350"/>
      <c r="W90" s="350"/>
      <c r="X90" s="350"/>
      <c r="Y90" s="614"/>
      <c r="AA90" s="685" t="s">
        <v>147</v>
      </c>
      <c r="AB90" s="686"/>
      <c r="AC90" s="686"/>
      <c r="AD90" s="686"/>
      <c r="AE90" s="684" t="s">
        <v>324</v>
      </c>
    </row>
    <row r="91" spans="1:31" ht="15" x14ac:dyDescent="0.45">
      <c r="E91" s="723">
        <v>44692</v>
      </c>
      <c r="F91" s="724"/>
      <c r="G91" s="725" t="s">
        <v>23</v>
      </c>
      <c r="H91" s="725"/>
      <c r="I91" s="725" t="s">
        <v>167</v>
      </c>
      <c r="J91" s="725"/>
      <c r="K91" s="287">
        <v>0.3</v>
      </c>
      <c r="L91" s="726" t="s">
        <v>168</v>
      </c>
      <c r="M91" s="726"/>
      <c r="N91" s="726"/>
      <c r="O91" s="726"/>
      <c r="P91" s="726"/>
      <c r="Q91" s="726"/>
      <c r="R91" s="726"/>
      <c r="S91" s="555" t="s">
        <v>432</v>
      </c>
      <c r="T91" s="555"/>
      <c r="U91" s="555"/>
      <c r="V91" s="555"/>
      <c r="W91" s="555"/>
      <c r="X91" s="555"/>
      <c r="Y91" s="556"/>
      <c r="AA91" s="685"/>
      <c r="AB91" s="686"/>
      <c r="AC91" s="686"/>
      <c r="AD91" s="686"/>
      <c r="AE91" s="684"/>
    </row>
    <row r="92" spans="1:31" ht="15" x14ac:dyDescent="0.45">
      <c r="E92" s="723">
        <v>44693</v>
      </c>
      <c r="F92" s="724"/>
      <c r="G92" s="720" t="s">
        <v>24</v>
      </c>
      <c r="H92" s="720"/>
      <c r="I92" s="720" t="s">
        <v>329</v>
      </c>
      <c r="J92" s="720"/>
      <c r="K92" s="288">
        <v>0.5</v>
      </c>
      <c r="L92" s="721" t="s">
        <v>168</v>
      </c>
      <c r="M92" s="721"/>
      <c r="N92" s="721"/>
      <c r="O92" s="721"/>
      <c r="P92" s="721"/>
      <c r="Q92" s="721"/>
      <c r="R92" s="721"/>
      <c r="S92" s="555" t="s">
        <v>432</v>
      </c>
      <c r="T92" s="555"/>
      <c r="U92" s="555"/>
      <c r="V92" s="555"/>
      <c r="W92" s="555"/>
      <c r="X92" s="555"/>
      <c r="Y92" s="556"/>
      <c r="AA92" s="682" t="str">
        <f>'Từ khóa'!S12:S12</f>
        <v>Mua sách</v>
      </c>
      <c r="AB92" s="683"/>
      <c r="AC92" s="683"/>
      <c r="AD92" s="683"/>
      <c r="AE92" s="145">
        <f ca="1">SUMIF($G$91:$H$105,AA92,$K$91:$K$105)</f>
        <v>0.3</v>
      </c>
    </row>
    <row r="93" spans="1:31" ht="15" x14ac:dyDescent="0.45">
      <c r="E93" s="723">
        <v>44701</v>
      </c>
      <c r="F93" s="724"/>
      <c r="G93" s="720" t="s">
        <v>24</v>
      </c>
      <c r="H93" s="720"/>
      <c r="I93" s="557" t="s">
        <v>380</v>
      </c>
      <c r="J93" s="557"/>
      <c r="K93" s="288">
        <v>0.7</v>
      </c>
      <c r="L93" s="606" t="s">
        <v>381</v>
      </c>
      <c r="M93" s="606"/>
      <c r="N93" s="606"/>
      <c r="O93" s="606"/>
      <c r="P93" s="606"/>
      <c r="Q93" s="606"/>
      <c r="R93" s="606"/>
      <c r="S93" s="557"/>
      <c r="T93" s="557"/>
      <c r="U93" s="557"/>
      <c r="V93" s="557"/>
      <c r="W93" s="557"/>
      <c r="X93" s="557"/>
      <c r="Y93" s="558"/>
      <c r="AA93" s="678" t="str">
        <f>'Từ khóa'!S13:S13</f>
        <v>Khóa học ngắn hạn</v>
      </c>
      <c r="AB93" s="679"/>
      <c r="AC93" s="679"/>
      <c r="AD93" s="679"/>
      <c r="AE93" s="146">
        <f t="shared" ref="AE93:AE101" ca="1" si="6">SUMIF($G$91:$H$105,AA93,$K$91:$K$105)</f>
        <v>1.7</v>
      </c>
    </row>
    <row r="94" spans="1:31" ht="15" x14ac:dyDescent="0.45">
      <c r="E94" s="723">
        <v>44709</v>
      </c>
      <c r="F94" s="724"/>
      <c r="G94" s="720" t="s">
        <v>24</v>
      </c>
      <c r="H94" s="720"/>
      <c r="I94" s="720" t="s">
        <v>392</v>
      </c>
      <c r="J94" s="720"/>
      <c r="K94" s="288">
        <v>0.5</v>
      </c>
      <c r="L94" s="721" t="s">
        <v>393</v>
      </c>
      <c r="M94" s="721"/>
      <c r="N94" s="721"/>
      <c r="O94" s="721"/>
      <c r="P94" s="721"/>
      <c r="Q94" s="721"/>
      <c r="R94" s="721"/>
      <c r="S94" s="557"/>
      <c r="T94" s="557"/>
      <c r="U94" s="557"/>
      <c r="V94" s="557"/>
      <c r="W94" s="557"/>
      <c r="X94" s="557"/>
      <c r="Y94" s="558"/>
      <c r="AA94" s="678" t="str">
        <f>'Từ khóa'!S14:S14</f>
        <v>Khóa học dài hạn</v>
      </c>
      <c r="AB94" s="679"/>
      <c r="AC94" s="679"/>
      <c r="AD94" s="679"/>
      <c r="AE94" s="146">
        <f t="shared" ca="1" si="6"/>
        <v>0</v>
      </c>
    </row>
    <row r="95" spans="1:31" x14ac:dyDescent="0.45">
      <c r="E95" s="718"/>
      <c r="F95" s="719"/>
      <c r="G95" s="720"/>
      <c r="H95" s="720"/>
      <c r="I95" s="720"/>
      <c r="J95" s="720"/>
      <c r="K95" s="288"/>
      <c r="L95" s="721"/>
      <c r="M95" s="721"/>
      <c r="N95" s="721"/>
      <c r="O95" s="721"/>
      <c r="P95" s="721"/>
      <c r="Q95" s="721"/>
      <c r="R95" s="721"/>
      <c r="S95" s="720"/>
      <c r="T95" s="720"/>
      <c r="U95" s="720"/>
      <c r="V95" s="720"/>
      <c r="W95" s="720"/>
      <c r="X95" s="720"/>
      <c r="Y95" s="722"/>
      <c r="AA95" s="678" t="e">
        <f>'Từ khóa'!#REF!</f>
        <v>#REF!</v>
      </c>
      <c r="AB95" s="679"/>
      <c r="AC95" s="679"/>
      <c r="AD95" s="679"/>
      <c r="AE95" s="146">
        <f t="shared" ca="1" si="6"/>
        <v>0</v>
      </c>
    </row>
    <row r="96" spans="1:31" x14ac:dyDescent="0.45">
      <c r="E96" s="718"/>
      <c r="F96" s="719"/>
      <c r="G96" s="720"/>
      <c r="H96" s="720"/>
      <c r="I96" s="720"/>
      <c r="J96" s="720"/>
      <c r="K96" s="288"/>
      <c r="L96" s="721"/>
      <c r="M96" s="721"/>
      <c r="N96" s="721"/>
      <c r="O96" s="721"/>
      <c r="P96" s="721"/>
      <c r="Q96" s="721"/>
      <c r="R96" s="721"/>
      <c r="S96" s="720"/>
      <c r="T96" s="720"/>
      <c r="U96" s="720"/>
      <c r="V96" s="720"/>
      <c r="W96" s="720"/>
      <c r="X96" s="720"/>
      <c r="Y96" s="722"/>
      <c r="AA96" s="678" t="str">
        <f>'Từ khóa'!S15:S15</f>
        <v>Tham gia các buổi diễn thuyết</v>
      </c>
      <c r="AB96" s="679"/>
      <c r="AC96" s="679"/>
      <c r="AD96" s="679"/>
      <c r="AE96" s="146">
        <f t="shared" ca="1" si="6"/>
        <v>0</v>
      </c>
    </row>
    <row r="97" spans="5:31" x14ac:dyDescent="0.45">
      <c r="E97" s="718"/>
      <c r="F97" s="719"/>
      <c r="G97" s="720"/>
      <c r="H97" s="720"/>
      <c r="I97" s="720"/>
      <c r="J97" s="720"/>
      <c r="K97" s="288"/>
      <c r="L97" s="721"/>
      <c r="M97" s="721"/>
      <c r="N97" s="721"/>
      <c r="O97" s="721"/>
      <c r="P97" s="721"/>
      <c r="Q97" s="721"/>
      <c r="R97" s="721"/>
      <c r="S97" s="720"/>
      <c r="T97" s="720"/>
      <c r="U97" s="720"/>
      <c r="V97" s="720"/>
      <c r="W97" s="720"/>
      <c r="X97" s="720"/>
      <c r="Y97" s="722"/>
      <c r="AA97" s="678" t="str">
        <f>'Từ khóa'!S16:S16</f>
        <v>Chi phát triển bản thân khác</v>
      </c>
      <c r="AB97" s="679"/>
      <c r="AC97" s="679"/>
      <c r="AD97" s="679"/>
      <c r="AE97" s="146">
        <f t="shared" ca="1" si="6"/>
        <v>0</v>
      </c>
    </row>
    <row r="98" spans="5:31" x14ac:dyDescent="0.45">
      <c r="E98" s="718"/>
      <c r="F98" s="719"/>
      <c r="G98" s="720"/>
      <c r="H98" s="720"/>
      <c r="I98" s="720"/>
      <c r="J98" s="720"/>
      <c r="K98" s="288"/>
      <c r="L98" s="721"/>
      <c r="M98" s="721"/>
      <c r="N98" s="721"/>
      <c r="O98" s="721"/>
      <c r="P98" s="721"/>
      <c r="Q98" s="721"/>
      <c r="R98" s="721"/>
      <c r="S98" s="720"/>
      <c r="T98" s="720"/>
      <c r="U98" s="720"/>
      <c r="V98" s="720"/>
      <c r="W98" s="720"/>
      <c r="X98" s="720"/>
      <c r="Y98" s="722"/>
      <c r="AA98" s="678">
        <f>'Từ khóa'!S18:S18</f>
        <v>0</v>
      </c>
      <c r="AB98" s="679"/>
      <c r="AC98" s="679"/>
      <c r="AD98" s="679"/>
      <c r="AE98" s="146">
        <f t="shared" ca="1" si="6"/>
        <v>0</v>
      </c>
    </row>
    <row r="99" spans="5:31" x14ac:dyDescent="0.45">
      <c r="E99" s="718"/>
      <c r="F99" s="719"/>
      <c r="G99" s="720"/>
      <c r="H99" s="720"/>
      <c r="I99" s="720"/>
      <c r="J99" s="720"/>
      <c r="K99" s="288"/>
      <c r="L99" s="721"/>
      <c r="M99" s="721"/>
      <c r="N99" s="721"/>
      <c r="O99" s="721"/>
      <c r="P99" s="721"/>
      <c r="Q99" s="721"/>
      <c r="R99" s="721"/>
      <c r="S99" s="720"/>
      <c r="T99" s="720"/>
      <c r="U99" s="720"/>
      <c r="V99" s="720"/>
      <c r="W99" s="720"/>
      <c r="X99" s="720"/>
      <c r="Y99" s="722"/>
      <c r="AA99" s="678">
        <f>'Từ khóa'!S19:S19</f>
        <v>0</v>
      </c>
      <c r="AB99" s="679"/>
      <c r="AC99" s="679"/>
      <c r="AD99" s="679"/>
      <c r="AE99" s="146">
        <f t="shared" ca="1" si="6"/>
        <v>0</v>
      </c>
    </row>
    <row r="100" spans="5:31" x14ac:dyDescent="0.45">
      <c r="E100" s="718"/>
      <c r="F100" s="719"/>
      <c r="G100" s="720"/>
      <c r="H100" s="720"/>
      <c r="I100" s="720"/>
      <c r="J100" s="720"/>
      <c r="K100" s="288"/>
      <c r="L100" s="721"/>
      <c r="M100" s="721"/>
      <c r="N100" s="721"/>
      <c r="O100" s="721"/>
      <c r="P100" s="721"/>
      <c r="Q100" s="721"/>
      <c r="R100" s="721"/>
      <c r="S100" s="720"/>
      <c r="T100" s="720"/>
      <c r="U100" s="720"/>
      <c r="V100" s="720"/>
      <c r="W100" s="720"/>
      <c r="X100" s="720"/>
      <c r="Y100" s="722"/>
      <c r="AA100" s="678">
        <f>'Từ khóa'!S20:S20</f>
        <v>0</v>
      </c>
      <c r="AB100" s="679"/>
      <c r="AC100" s="679"/>
      <c r="AD100" s="679"/>
      <c r="AE100" s="146">
        <f t="shared" ca="1" si="6"/>
        <v>0</v>
      </c>
    </row>
    <row r="101" spans="5:31" ht="14.65" thickBot="1" x14ac:dyDescent="0.5">
      <c r="E101" s="718"/>
      <c r="F101" s="719"/>
      <c r="G101" s="720"/>
      <c r="H101" s="720"/>
      <c r="I101" s="720"/>
      <c r="J101" s="720"/>
      <c r="K101" s="288"/>
      <c r="L101" s="721"/>
      <c r="M101" s="721"/>
      <c r="N101" s="721"/>
      <c r="O101" s="721"/>
      <c r="P101" s="721"/>
      <c r="Q101" s="721"/>
      <c r="R101" s="721"/>
      <c r="S101" s="720"/>
      <c r="T101" s="720"/>
      <c r="U101" s="720"/>
      <c r="V101" s="720"/>
      <c r="W101" s="720"/>
      <c r="X101" s="720"/>
      <c r="Y101" s="722"/>
      <c r="AA101" s="676">
        <f>'Từ khóa'!S21:S21</f>
        <v>0</v>
      </c>
      <c r="AB101" s="677"/>
      <c r="AC101" s="677"/>
      <c r="AD101" s="677"/>
      <c r="AE101" s="147">
        <f t="shared" ca="1" si="6"/>
        <v>0</v>
      </c>
    </row>
    <row r="102" spans="5:31" ht="14.65" thickBot="1" x14ac:dyDescent="0.5">
      <c r="E102" s="718"/>
      <c r="F102" s="719"/>
      <c r="G102" s="720"/>
      <c r="H102" s="720"/>
      <c r="I102" s="720"/>
      <c r="J102" s="720"/>
      <c r="K102" s="288"/>
      <c r="L102" s="721"/>
      <c r="M102" s="721"/>
      <c r="N102" s="721"/>
      <c r="O102" s="721"/>
      <c r="P102" s="721"/>
      <c r="Q102" s="721"/>
      <c r="R102" s="721"/>
      <c r="S102" s="720"/>
      <c r="T102" s="720"/>
      <c r="U102" s="720"/>
      <c r="V102" s="720"/>
      <c r="W102" s="720"/>
      <c r="X102" s="720"/>
      <c r="Y102" s="722"/>
      <c r="AA102" s="598" t="s">
        <v>351</v>
      </c>
      <c r="AB102" s="599"/>
      <c r="AC102" s="599"/>
      <c r="AD102" s="599"/>
      <c r="AE102" s="262">
        <f ca="1">SUM(AE92:AE101)</f>
        <v>2</v>
      </c>
    </row>
    <row r="103" spans="5:31" x14ac:dyDescent="0.45">
      <c r="E103" s="718"/>
      <c r="F103" s="719"/>
      <c r="G103" s="720"/>
      <c r="H103" s="720"/>
      <c r="I103" s="720"/>
      <c r="J103" s="720"/>
      <c r="K103" s="288"/>
      <c r="L103" s="721"/>
      <c r="M103" s="721"/>
      <c r="N103" s="721"/>
      <c r="O103" s="721"/>
      <c r="P103" s="721"/>
      <c r="Q103" s="721"/>
      <c r="R103" s="721"/>
      <c r="S103" s="720"/>
      <c r="T103" s="720"/>
      <c r="U103" s="720"/>
      <c r="V103" s="720"/>
      <c r="W103" s="720"/>
      <c r="X103" s="720"/>
      <c r="Y103" s="722"/>
      <c r="AA103" s="717"/>
      <c r="AB103" s="717"/>
      <c r="AC103" s="717"/>
      <c r="AD103" s="717"/>
    </row>
    <row r="104" spans="5:31" x14ac:dyDescent="0.45">
      <c r="E104" s="718"/>
      <c r="F104" s="719"/>
      <c r="G104" s="720"/>
      <c r="H104" s="720"/>
      <c r="I104" s="720"/>
      <c r="J104" s="720"/>
      <c r="K104" s="288"/>
      <c r="L104" s="721"/>
      <c r="M104" s="721"/>
      <c r="N104" s="721"/>
      <c r="O104" s="721"/>
      <c r="P104" s="721"/>
      <c r="Q104" s="721"/>
      <c r="R104" s="721"/>
      <c r="S104" s="720"/>
      <c r="T104" s="720"/>
      <c r="U104" s="720"/>
      <c r="V104" s="720"/>
      <c r="W104" s="720"/>
      <c r="X104" s="720"/>
      <c r="Y104" s="722"/>
      <c r="AA104" s="717"/>
      <c r="AB104" s="717"/>
      <c r="AC104" s="717"/>
      <c r="AD104" s="717"/>
    </row>
    <row r="105" spans="5:31" ht="14.65" thickBot="1" x14ac:dyDescent="0.5">
      <c r="E105" s="712"/>
      <c r="F105" s="713"/>
      <c r="G105" s="714"/>
      <c r="H105" s="714"/>
      <c r="I105" s="714"/>
      <c r="J105" s="714"/>
      <c r="K105" s="289"/>
      <c r="L105" s="715"/>
      <c r="M105" s="715"/>
      <c r="N105" s="715"/>
      <c r="O105" s="715"/>
      <c r="P105" s="715"/>
      <c r="Q105" s="715"/>
      <c r="R105" s="715"/>
      <c r="S105" s="714"/>
      <c r="T105" s="714"/>
      <c r="U105" s="714"/>
      <c r="V105" s="714"/>
      <c r="W105" s="714"/>
      <c r="X105" s="714"/>
      <c r="Y105" s="716"/>
      <c r="AA105" s="717"/>
      <c r="AB105" s="717"/>
      <c r="AC105" s="717"/>
      <c r="AD105" s="717"/>
    </row>
    <row r="106" spans="5:31" ht="14.65" thickBot="1" x14ac:dyDescent="0.5">
      <c r="E106" s="601" t="s">
        <v>351</v>
      </c>
      <c r="F106" s="602"/>
      <c r="G106" s="602"/>
      <c r="H106" s="602"/>
      <c r="I106" s="602"/>
      <c r="J106" s="602"/>
      <c r="K106" s="711">
        <f>SUM(K91:K105)</f>
        <v>2</v>
      </c>
      <c r="L106" s="711"/>
      <c r="M106" s="711"/>
      <c r="N106" s="711"/>
      <c r="O106" s="711"/>
      <c r="P106" s="711"/>
      <c r="Q106" s="711"/>
      <c r="R106" s="711"/>
      <c r="S106" s="290"/>
      <c r="T106" s="290"/>
      <c r="U106" s="290"/>
      <c r="V106" s="290"/>
      <c r="W106" s="290"/>
      <c r="X106" s="290"/>
      <c r="Y106" s="291"/>
    </row>
  </sheetData>
  <sheetProtection algorithmName="SHA-512" hashValue="voC0y4j8e4E9fQrWyydMcRzXeUIrP5UcNWYj6QBHp7nVpGbEMHNc/PSh008tiMq5crnmMFY3NK/8PMaJDtKd+w==" saltValue="2KjMAdI8//muha1QzUxlMw==" spinCount="100000" sheet="1" formatCells="0" formatColumns="0" formatRows="0" insertColumns="0" insertRows="0" insertHyperlinks="0" deleteColumns="0" deleteRows="0" sort="0" autoFilter="0" pivotTables="0"/>
  <mergeCells count="423">
    <mergeCell ref="E1:K3"/>
    <mergeCell ref="E6:M7"/>
    <mergeCell ref="E9:H12"/>
    <mergeCell ref="I9:I12"/>
    <mergeCell ref="E14:H17"/>
    <mergeCell ref="I14:I17"/>
    <mergeCell ref="E19:H22"/>
    <mergeCell ref="I19:I22"/>
    <mergeCell ref="E25:N25"/>
    <mergeCell ref="P25:AK25"/>
    <mergeCell ref="E26:F26"/>
    <mergeCell ref="G26:J26"/>
    <mergeCell ref="K26:M26"/>
    <mergeCell ref="P26:S26"/>
    <mergeCell ref="T26:U26"/>
    <mergeCell ref="V26:W26"/>
    <mergeCell ref="X26:Y26"/>
    <mergeCell ref="Z26:AE26"/>
    <mergeCell ref="AF26:AK26"/>
    <mergeCell ref="E27:F27"/>
    <mergeCell ref="G27:J27"/>
    <mergeCell ref="K27:M27"/>
    <mergeCell ref="P27:S27"/>
    <mergeCell ref="T27:U27"/>
    <mergeCell ref="X27:Y27"/>
    <mergeCell ref="Z27:AE27"/>
    <mergeCell ref="AF27:AK27"/>
    <mergeCell ref="E28:F28"/>
    <mergeCell ref="G28:J28"/>
    <mergeCell ref="K28:M28"/>
    <mergeCell ref="P28:S28"/>
    <mergeCell ref="T28:U28"/>
    <mergeCell ref="X28:Y28"/>
    <mergeCell ref="Z28:AE28"/>
    <mergeCell ref="AF28:AK28"/>
    <mergeCell ref="Z29:AE29"/>
    <mergeCell ref="AF29:AK29"/>
    <mergeCell ref="E30:F30"/>
    <mergeCell ref="G30:J30"/>
    <mergeCell ref="K30:M30"/>
    <mergeCell ref="P30:S30"/>
    <mergeCell ref="T30:U30"/>
    <mergeCell ref="X30:Y30"/>
    <mergeCell ref="Z30:AE30"/>
    <mergeCell ref="AF30:AK30"/>
    <mergeCell ref="E29:F29"/>
    <mergeCell ref="G29:J29"/>
    <mergeCell ref="K29:M29"/>
    <mergeCell ref="P29:S29"/>
    <mergeCell ref="T29:U29"/>
    <mergeCell ref="X29:Y29"/>
    <mergeCell ref="Z31:AE31"/>
    <mergeCell ref="AF31:AK31"/>
    <mergeCell ref="E32:F32"/>
    <mergeCell ref="G32:J32"/>
    <mergeCell ref="K32:M32"/>
    <mergeCell ref="P32:S32"/>
    <mergeCell ref="T32:U32"/>
    <mergeCell ref="X32:Y32"/>
    <mergeCell ref="Z32:AE32"/>
    <mergeCell ref="AF32:AK32"/>
    <mergeCell ref="E31:F31"/>
    <mergeCell ref="G31:J31"/>
    <mergeCell ref="K31:M31"/>
    <mergeCell ref="P31:S31"/>
    <mergeCell ref="T31:U31"/>
    <mergeCell ref="X31:Y31"/>
    <mergeCell ref="Z33:AE33"/>
    <mergeCell ref="AF33:AK33"/>
    <mergeCell ref="E34:F34"/>
    <mergeCell ref="G34:J34"/>
    <mergeCell ref="K34:M34"/>
    <mergeCell ref="P34:S34"/>
    <mergeCell ref="T34:U34"/>
    <mergeCell ref="X34:Y34"/>
    <mergeCell ref="Z34:AE34"/>
    <mergeCell ref="AF34:AK34"/>
    <mergeCell ref="E33:F33"/>
    <mergeCell ref="G33:J33"/>
    <mergeCell ref="K33:M33"/>
    <mergeCell ref="P33:S33"/>
    <mergeCell ref="T33:U33"/>
    <mergeCell ref="X33:Y33"/>
    <mergeCell ref="Z35:AE35"/>
    <mergeCell ref="AF35:AK35"/>
    <mergeCell ref="E36:F36"/>
    <mergeCell ref="G36:J36"/>
    <mergeCell ref="K36:M36"/>
    <mergeCell ref="P36:S36"/>
    <mergeCell ref="T36:U36"/>
    <mergeCell ref="X36:Y36"/>
    <mergeCell ref="Z36:AE36"/>
    <mergeCell ref="AF36:AK36"/>
    <mergeCell ref="E35:F35"/>
    <mergeCell ref="G35:J35"/>
    <mergeCell ref="K35:M35"/>
    <mergeCell ref="P35:S35"/>
    <mergeCell ref="T35:U35"/>
    <mergeCell ref="X35:Y35"/>
    <mergeCell ref="AF37:AK37"/>
    <mergeCell ref="E40:N40"/>
    <mergeCell ref="P40:AK40"/>
    <mergeCell ref="E41:F41"/>
    <mergeCell ref="G41:J41"/>
    <mergeCell ref="K41:M41"/>
    <mergeCell ref="P41:S41"/>
    <mergeCell ref="T41:U41"/>
    <mergeCell ref="V41:W41"/>
    <mergeCell ref="X41:Y41"/>
    <mergeCell ref="E37:M37"/>
    <mergeCell ref="P37:S37"/>
    <mergeCell ref="T37:U37"/>
    <mergeCell ref="V37:W37"/>
    <mergeCell ref="X37:Y37"/>
    <mergeCell ref="Z37:AE37"/>
    <mergeCell ref="Z41:AE41"/>
    <mergeCell ref="AF41:AK41"/>
    <mergeCell ref="E42:F42"/>
    <mergeCell ref="G42:J42"/>
    <mergeCell ref="K42:M42"/>
    <mergeCell ref="P42:S42"/>
    <mergeCell ref="T42:U42"/>
    <mergeCell ref="X42:Y42"/>
    <mergeCell ref="Z42:AE42"/>
    <mergeCell ref="AF42:AK42"/>
    <mergeCell ref="Z43:AE43"/>
    <mergeCell ref="AF43:AK43"/>
    <mergeCell ref="E44:F44"/>
    <mergeCell ref="G44:J44"/>
    <mergeCell ref="K44:M44"/>
    <mergeCell ref="P44:S44"/>
    <mergeCell ref="T44:U44"/>
    <mergeCell ref="X44:Y44"/>
    <mergeCell ref="Z44:AE44"/>
    <mergeCell ref="AF44:AK44"/>
    <mergeCell ref="E43:F43"/>
    <mergeCell ref="G43:J43"/>
    <mergeCell ref="K43:M43"/>
    <mergeCell ref="P43:S43"/>
    <mergeCell ref="T43:U43"/>
    <mergeCell ref="X43:Y43"/>
    <mergeCell ref="Z45:AE45"/>
    <mergeCell ref="AF45:AK45"/>
    <mergeCell ref="E46:F46"/>
    <mergeCell ref="G46:J46"/>
    <mergeCell ref="K46:M46"/>
    <mergeCell ref="P46:S46"/>
    <mergeCell ref="T46:U46"/>
    <mergeCell ref="X46:Y46"/>
    <mergeCell ref="Z46:AE46"/>
    <mergeCell ref="AF46:AK46"/>
    <mergeCell ref="E45:F45"/>
    <mergeCell ref="G45:J45"/>
    <mergeCell ref="K45:M45"/>
    <mergeCell ref="P45:S45"/>
    <mergeCell ref="T45:U45"/>
    <mergeCell ref="X45:Y45"/>
    <mergeCell ref="Z47:AE47"/>
    <mergeCell ref="AF47:AK47"/>
    <mergeCell ref="E48:F48"/>
    <mergeCell ref="G48:J48"/>
    <mergeCell ref="K48:M48"/>
    <mergeCell ref="P48:S48"/>
    <mergeCell ref="T48:U48"/>
    <mergeCell ref="X48:Y48"/>
    <mergeCell ref="Z48:AE48"/>
    <mergeCell ref="AF48:AK48"/>
    <mergeCell ref="E47:F47"/>
    <mergeCell ref="G47:J47"/>
    <mergeCell ref="K47:M47"/>
    <mergeCell ref="P47:S47"/>
    <mergeCell ref="T47:U47"/>
    <mergeCell ref="X47:Y47"/>
    <mergeCell ref="Z49:AE49"/>
    <mergeCell ref="AF49:AK49"/>
    <mergeCell ref="E50:F50"/>
    <mergeCell ref="G50:J50"/>
    <mergeCell ref="K50:M50"/>
    <mergeCell ref="P50:S50"/>
    <mergeCell ref="T50:U50"/>
    <mergeCell ref="X50:Y50"/>
    <mergeCell ref="Z50:AE50"/>
    <mergeCell ref="AF50:AK50"/>
    <mergeCell ref="E49:F49"/>
    <mergeCell ref="G49:J49"/>
    <mergeCell ref="K49:M49"/>
    <mergeCell ref="P49:S49"/>
    <mergeCell ref="T49:U49"/>
    <mergeCell ref="X49:Y49"/>
    <mergeCell ref="Z51:AE51"/>
    <mergeCell ref="AF51:AK51"/>
    <mergeCell ref="E52:F52"/>
    <mergeCell ref="G52:J52"/>
    <mergeCell ref="K52:M52"/>
    <mergeCell ref="P52:S52"/>
    <mergeCell ref="T52:U52"/>
    <mergeCell ref="X52:Y52"/>
    <mergeCell ref="Z52:AE52"/>
    <mergeCell ref="AF52:AK52"/>
    <mergeCell ref="E51:F51"/>
    <mergeCell ref="G51:J51"/>
    <mergeCell ref="K51:M51"/>
    <mergeCell ref="P51:S51"/>
    <mergeCell ref="T51:U51"/>
    <mergeCell ref="X51:Y51"/>
    <mergeCell ref="Z53:AE53"/>
    <mergeCell ref="AF53:AK53"/>
    <mergeCell ref="E54:F54"/>
    <mergeCell ref="G54:J54"/>
    <mergeCell ref="K54:M54"/>
    <mergeCell ref="P54:S54"/>
    <mergeCell ref="T54:U54"/>
    <mergeCell ref="X54:Y54"/>
    <mergeCell ref="Z54:AE54"/>
    <mergeCell ref="AF54:AK54"/>
    <mergeCell ref="E53:F53"/>
    <mergeCell ref="G53:J53"/>
    <mergeCell ref="K53:M53"/>
    <mergeCell ref="P53:S53"/>
    <mergeCell ref="T53:U53"/>
    <mergeCell ref="X53:Y53"/>
    <mergeCell ref="Z55:AE55"/>
    <mergeCell ref="AF55:AK55"/>
    <mergeCell ref="E56:F56"/>
    <mergeCell ref="G56:J56"/>
    <mergeCell ref="K56:M56"/>
    <mergeCell ref="P56:S56"/>
    <mergeCell ref="T56:U56"/>
    <mergeCell ref="X56:Y56"/>
    <mergeCell ref="Z56:AE56"/>
    <mergeCell ref="AF56:AK56"/>
    <mergeCell ref="E55:F55"/>
    <mergeCell ref="G55:J55"/>
    <mergeCell ref="K55:M55"/>
    <mergeCell ref="P55:S55"/>
    <mergeCell ref="T55:U55"/>
    <mergeCell ref="X55:Y55"/>
    <mergeCell ref="X57:Y57"/>
    <mergeCell ref="Z57:AE57"/>
    <mergeCell ref="AF57:AK57"/>
    <mergeCell ref="E58:F58"/>
    <mergeCell ref="G58:J58"/>
    <mergeCell ref="K58:M58"/>
    <mergeCell ref="E57:F57"/>
    <mergeCell ref="G57:J57"/>
    <mergeCell ref="K57:M57"/>
    <mergeCell ref="P57:S57"/>
    <mergeCell ref="T57:U57"/>
    <mergeCell ref="V57:W57"/>
    <mergeCell ref="E61:F61"/>
    <mergeCell ref="G61:J61"/>
    <mergeCell ref="K61:M61"/>
    <mergeCell ref="E62:F62"/>
    <mergeCell ref="G62:J62"/>
    <mergeCell ref="K62:M62"/>
    <mergeCell ref="E59:F59"/>
    <mergeCell ref="G59:J59"/>
    <mergeCell ref="K59:M59"/>
    <mergeCell ref="E60:F60"/>
    <mergeCell ref="G60:J60"/>
    <mergeCell ref="K60:M60"/>
    <mergeCell ref="E65:F65"/>
    <mergeCell ref="G65:J65"/>
    <mergeCell ref="K65:M65"/>
    <mergeCell ref="E66:F66"/>
    <mergeCell ref="G66:J66"/>
    <mergeCell ref="K66:M66"/>
    <mergeCell ref="E63:F63"/>
    <mergeCell ref="G63:J63"/>
    <mergeCell ref="K63:M63"/>
    <mergeCell ref="E64:F64"/>
    <mergeCell ref="G64:J64"/>
    <mergeCell ref="K64:M64"/>
    <mergeCell ref="E69:F69"/>
    <mergeCell ref="G69:J69"/>
    <mergeCell ref="K69:M69"/>
    <mergeCell ref="E70:F70"/>
    <mergeCell ref="G70:J70"/>
    <mergeCell ref="K70:M70"/>
    <mergeCell ref="E67:F67"/>
    <mergeCell ref="G67:J67"/>
    <mergeCell ref="K67:M67"/>
    <mergeCell ref="E68:F68"/>
    <mergeCell ref="G68:J68"/>
    <mergeCell ref="K68:M68"/>
    <mergeCell ref="E73:F73"/>
    <mergeCell ref="G73:J73"/>
    <mergeCell ref="K73:M73"/>
    <mergeCell ref="E74:F74"/>
    <mergeCell ref="G74:J74"/>
    <mergeCell ref="K74:M74"/>
    <mergeCell ref="E71:F71"/>
    <mergeCell ref="G71:J71"/>
    <mergeCell ref="K71:M71"/>
    <mergeCell ref="E72:F72"/>
    <mergeCell ref="G72:J72"/>
    <mergeCell ref="K72:M72"/>
    <mergeCell ref="E77:F77"/>
    <mergeCell ref="G77:J77"/>
    <mergeCell ref="K77:M77"/>
    <mergeCell ref="E78:F78"/>
    <mergeCell ref="G78:J78"/>
    <mergeCell ref="K78:M78"/>
    <mergeCell ref="E75:F75"/>
    <mergeCell ref="G75:J75"/>
    <mergeCell ref="K75:M75"/>
    <mergeCell ref="E76:F76"/>
    <mergeCell ref="G76:J76"/>
    <mergeCell ref="K76:M76"/>
    <mergeCell ref="E81:F81"/>
    <mergeCell ref="G81:J81"/>
    <mergeCell ref="K81:M81"/>
    <mergeCell ref="E82:F82"/>
    <mergeCell ref="G82:J82"/>
    <mergeCell ref="K82:M82"/>
    <mergeCell ref="E79:F79"/>
    <mergeCell ref="G79:J79"/>
    <mergeCell ref="K79:M79"/>
    <mergeCell ref="E80:F80"/>
    <mergeCell ref="G80:J80"/>
    <mergeCell ref="K80:M80"/>
    <mergeCell ref="AE90:AE91"/>
    <mergeCell ref="E91:F91"/>
    <mergeCell ref="G91:H91"/>
    <mergeCell ref="I91:J91"/>
    <mergeCell ref="L91:R91"/>
    <mergeCell ref="S91:Y91"/>
    <mergeCell ref="E83:M83"/>
    <mergeCell ref="E86:M87"/>
    <mergeCell ref="E89:Y89"/>
    <mergeCell ref="AA89:AE89"/>
    <mergeCell ref="E90:F90"/>
    <mergeCell ref="G90:H90"/>
    <mergeCell ref="I90:J90"/>
    <mergeCell ref="L90:R90"/>
    <mergeCell ref="S90:Y90"/>
    <mergeCell ref="AA90:AD91"/>
    <mergeCell ref="E93:F93"/>
    <mergeCell ref="G93:H93"/>
    <mergeCell ref="I93:J93"/>
    <mergeCell ref="L93:R93"/>
    <mergeCell ref="S93:Y93"/>
    <mergeCell ref="AA93:AD93"/>
    <mergeCell ref="E92:F92"/>
    <mergeCell ref="G92:H92"/>
    <mergeCell ref="I92:J92"/>
    <mergeCell ref="L92:R92"/>
    <mergeCell ref="S92:Y92"/>
    <mergeCell ref="AA92:AD92"/>
    <mergeCell ref="E95:F95"/>
    <mergeCell ref="G95:H95"/>
    <mergeCell ref="I95:J95"/>
    <mergeCell ref="L95:R95"/>
    <mergeCell ref="S95:Y95"/>
    <mergeCell ref="AA95:AD95"/>
    <mergeCell ref="E94:F94"/>
    <mergeCell ref="G94:H94"/>
    <mergeCell ref="I94:J94"/>
    <mergeCell ref="L94:R94"/>
    <mergeCell ref="S94:Y94"/>
    <mergeCell ref="AA94:AD94"/>
    <mergeCell ref="E97:F97"/>
    <mergeCell ref="G97:H97"/>
    <mergeCell ref="I97:J97"/>
    <mergeCell ref="L97:R97"/>
    <mergeCell ref="S97:Y97"/>
    <mergeCell ref="AA97:AD97"/>
    <mergeCell ref="E96:F96"/>
    <mergeCell ref="G96:H96"/>
    <mergeCell ref="I96:J96"/>
    <mergeCell ref="L96:R96"/>
    <mergeCell ref="S96:Y96"/>
    <mergeCell ref="AA96:AD96"/>
    <mergeCell ref="E99:F99"/>
    <mergeCell ref="G99:H99"/>
    <mergeCell ref="I99:J99"/>
    <mergeCell ref="L99:R99"/>
    <mergeCell ref="S99:Y99"/>
    <mergeCell ref="AA99:AD99"/>
    <mergeCell ref="E98:F98"/>
    <mergeCell ref="G98:H98"/>
    <mergeCell ref="I98:J98"/>
    <mergeCell ref="L98:R98"/>
    <mergeCell ref="S98:Y98"/>
    <mergeCell ref="AA98:AD98"/>
    <mergeCell ref="E101:F101"/>
    <mergeCell ref="G101:H101"/>
    <mergeCell ref="I101:J101"/>
    <mergeCell ref="L101:R101"/>
    <mergeCell ref="S101:Y101"/>
    <mergeCell ref="AA101:AD101"/>
    <mergeCell ref="E100:F100"/>
    <mergeCell ref="G100:H100"/>
    <mergeCell ref="I100:J100"/>
    <mergeCell ref="L100:R100"/>
    <mergeCell ref="S100:Y100"/>
    <mergeCell ref="AA100:AD100"/>
    <mergeCell ref="E103:F103"/>
    <mergeCell ref="G103:H103"/>
    <mergeCell ref="I103:J103"/>
    <mergeCell ref="L103:R103"/>
    <mergeCell ref="S103:Y103"/>
    <mergeCell ref="AA103:AD103"/>
    <mergeCell ref="E102:F102"/>
    <mergeCell ref="G102:H102"/>
    <mergeCell ref="I102:J102"/>
    <mergeCell ref="L102:R102"/>
    <mergeCell ref="S102:Y102"/>
    <mergeCell ref="AA102:AD102"/>
    <mergeCell ref="E106:J106"/>
    <mergeCell ref="K106:R106"/>
    <mergeCell ref="E105:F105"/>
    <mergeCell ref="G105:H105"/>
    <mergeCell ref="I105:J105"/>
    <mergeCell ref="L105:R105"/>
    <mergeCell ref="S105:Y105"/>
    <mergeCell ref="AA105:AD105"/>
    <mergeCell ref="E104:F104"/>
    <mergeCell ref="G104:H104"/>
    <mergeCell ref="I104:J104"/>
    <mergeCell ref="L104:R104"/>
    <mergeCell ref="S104:Y104"/>
    <mergeCell ref="AA104:AD104"/>
  </mergeCells>
  <conditionalFormatting sqref="X27:Y36">
    <cfRule type="cellIs" dxfId="16" priority="2" operator="lessThan">
      <formula>0</formula>
    </cfRule>
  </conditionalFormatting>
  <conditionalFormatting sqref="X42:Y56">
    <cfRule type="cellIs" dxfId="15" priority="3" operator="lessThan">
      <formula>0</formula>
    </cfRule>
  </conditionalFormatting>
  <conditionalFormatting sqref="AE92:AE101">
    <cfRule type="dataBar" priority="1">
      <dataBar>
        <cfvo type="min"/>
        <cfvo type="max"/>
        <color theme="6" tint="0.39997558519241921"/>
      </dataBar>
      <extLst>
        <ext xmlns:x14="http://schemas.microsoft.com/office/spreadsheetml/2009/9/main" uri="{B025F937-C7B1-47D3-B67F-A62EFF666E3E}">
          <x14:id>{3F0FBCAF-BA27-4BE6-B6AC-A3203D4553C3}</x14:id>
        </ext>
      </extLst>
    </cfRule>
  </conditionalFormatting>
  <dataValidations count="1">
    <dataValidation allowBlank="1" showInputMessage="1" showErrorMessage="1" prompt="Nhập dữ liệu" sqref="E60:F82 E95:F105 K60:M82 I91:Y105 K27:N36 N42:N82" xr:uid="{00000000-0002-0000-0A00-000000000000}"/>
  </dataValidations>
  <hyperlinks>
    <hyperlink ref="F4" location="'T5'!E7" display="Phần 1" xr:uid="{00000000-0004-0000-0A00-000000000000}"/>
    <hyperlink ref="G4" location="'T5'!E87" display="Phần 2" xr:uid="{00000000-0004-0000-0A00-000001000000}"/>
    <hyperlink ref="H4" location="'T5'!E109" display="Phần 3" xr:uid="{00000000-0004-0000-0A00-000002000000}"/>
  </hyperlinks>
  <pageMargins left="0.7" right="0.7" top="0.75" bottom="0.75" header="0.3" footer="0.3"/>
  <pageSetup scale="31" orientation="portrait" r:id="rId1"/>
  <drawing r:id="rId2"/>
  <extLst>
    <ext xmlns:x14="http://schemas.microsoft.com/office/spreadsheetml/2009/9/main" uri="{78C0D931-6437-407d-A8EE-F0AAD7539E65}">
      <x14:conditionalFormattings>
        <x14:conditionalFormatting xmlns:xm="http://schemas.microsoft.com/office/excel/2006/main">
          <x14:cfRule type="dataBar" id="{3F0FBCAF-BA27-4BE6-B6AC-A3203D4553C3}">
            <x14:dataBar minLength="0" maxLength="100" gradient="0">
              <x14:cfvo type="autoMin"/>
              <x14:cfvo type="autoMax"/>
              <x14:negativeFillColor rgb="FFFF0000"/>
              <x14:axisColor rgb="FF000000"/>
            </x14:dataBar>
          </x14:cfRule>
          <xm:sqref>AE92:AE101</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prompt="Chọn dữ liệu" xr:uid="{00000000-0002-0000-0A00-000001000000}">
          <x14:formula1>
            <xm:f>'Từ khóa'!$M$12:$M$19</xm:f>
          </x14:formula1>
          <xm:sqref>G27:J36</xm:sqref>
        </x14:dataValidation>
        <x14:dataValidation type="list" allowBlank="1" showInputMessage="1" showErrorMessage="1" prompt="Chọn dữ liệu" xr:uid="{00000000-0002-0000-0A00-000002000000}">
          <x14:formula1>
            <xm:f>'Từ khóa'!$F$12:$F$26</xm:f>
          </x14:formula1>
          <xm:sqref>G42:J82</xm:sqref>
        </x14:dataValidation>
        <x14:dataValidation type="list" allowBlank="1" showInputMessage="1" showErrorMessage="1" prompt="Chọn dữ liệu" xr:uid="{00000000-0002-0000-0A00-000003000000}">
          <x14:formula1>
            <xm:f>'Từ khóa'!$S$12:$S$21</xm:f>
          </x14:formula1>
          <xm:sqref>G91:H105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106"/>
  <sheetViews>
    <sheetView showGridLines="0" zoomScale="80" zoomScaleNormal="80" workbookViewId="0">
      <pane xSplit="4" ySplit="4" topLeftCell="E71" activePane="bottomRight" state="frozen"/>
      <selection pane="topRight" activeCell="E1" sqref="E1"/>
      <selection pane="bottomLeft" activeCell="A5" sqref="A5"/>
      <selection pane="bottomRight" activeCell="S91" sqref="S91:Y95"/>
    </sheetView>
  </sheetViews>
  <sheetFormatPr defaultColWidth="9.19921875" defaultRowHeight="14.25" x14ac:dyDescent="0.45"/>
  <cols>
    <col min="1" max="3" width="9.19921875" style="1"/>
    <col min="4" max="5" width="9.19921875" style="4"/>
    <col min="6" max="9" width="13.19921875" style="4" customWidth="1"/>
    <col min="10" max="14" width="9.19921875" style="4"/>
    <col min="15" max="15" width="13.19921875" style="4" customWidth="1"/>
    <col min="16" max="16384" width="9.19921875" style="4"/>
  </cols>
  <sheetData>
    <row r="1" spans="1:27" s="2" customFormat="1" ht="15" customHeight="1" x14ac:dyDescent="0.45">
      <c r="A1" s="1"/>
      <c r="B1" s="1"/>
      <c r="C1" s="1"/>
      <c r="E1" s="353" t="s">
        <v>331</v>
      </c>
      <c r="F1" s="353"/>
      <c r="G1" s="353"/>
      <c r="H1" s="353"/>
      <c r="I1" s="353"/>
      <c r="J1" s="353"/>
      <c r="K1" s="353"/>
    </row>
    <row r="2" spans="1:27" s="2" customFormat="1" ht="15" customHeight="1" x14ac:dyDescent="0.45">
      <c r="A2" s="1"/>
      <c r="B2" s="1"/>
      <c r="C2" s="1"/>
      <c r="E2" s="353"/>
      <c r="F2" s="353"/>
      <c r="G2" s="353"/>
      <c r="H2" s="353"/>
      <c r="I2" s="353"/>
      <c r="J2" s="353"/>
      <c r="K2" s="353"/>
    </row>
    <row r="3" spans="1:27" s="2" customFormat="1" ht="14.65" thickBot="1" x14ac:dyDescent="0.5">
      <c r="A3" s="1"/>
      <c r="B3" s="1"/>
      <c r="C3" s="1"/>
      <c r="E3" s="353"/>
      <c r="F3" s="353"/>
      <c r="G3" s="353"/>
      <c r="H3" s="353"/>
      <c r="I3" s="353"/>
      <c r="J3" s="353"/>
      <c r="K3" s="353"/>
      <c r="L3" s="3" t="s">
        <v>45</v>
      </c>
    </row>
    <row r="4" spans="1:27" ht="14.65" thickBot="1" x14ac:dyDescent="0.5">
      <c r="F4" s="154" t="s">
        <v>132</v>
      </c>
      <c r="G4" s="154" t="s">
        <v>133</v>
      </c>
      <c r="H4" s="154" t="s">
        <v>134</v>
      </c>
    </row>
    <row r="5" spans="1:27" ht="15" customHeight="1" x14ac:dyDescent="0.45">
      <c r="F5" s="6"/>
      <c r="G5" s="6"/>
      <c r="H5" s="6"/>
      <c r="I5" s="6"/>
      <c r="J5" s="6"/>
      <c r="K5" s="6"/>
      <c r="L5" s="6"/>
      <c r="M5" s="6"/>
      <c r="N5" s="6"/>
      <c r="O5" s="6"/>
      <c r="P5" s="6"/>
      <c r="Q5" s="6"/>
      <c r="R5" s="6"/>
      <c r="S5" s="6"/>
      <c r="T5" s="6"/>
      <c r="U5" s="6"/>
      <c r="V5" s="6"/>
      <c r="W5" s="6"/>
      <c r="X5" s="6"/>
      <c r="Y5" s="6"/>
      <c r="Z5" s="6"/>
      <c r="AA5" s="6"/>
    </row>
    <row r="6" spans="1:27" ht="15" customHeight="1" x14ac:dyDescent="0.45">
      <c r="E6" s="532" t="s">
        <v>135</v>
      </c>
      <c r="F6" s="532"/>
      <c r="G6" s="532"/>
      <c r="H6" s="532"/>
      <c r="I6" s="532"/>
      <c r="J6" s="532"/>
      <c r="K6" s="532"/>
      <c r="L6" s="532"/>
      <c r="M6" s="532"/>
      <c r="N6" s="5"/>
      <c r="O6" s="5"/>
      <c r="P6" s="5"/>
      <c r="Q6" s="5"/>
      <c r="R6" s="5"/>
      <c r="S6" s="6"/>
      <c r="T6" s="6"/>
      <c r="U6" s="6"/>
      <c r="V6" s="6"/>
      <c r="W6" s="6"/>
      <c r="X6" s="6"/>
      <c r="Y6" s="6"/>
      <c r="Z6" s="6"/>
      <c r="AA6" s="6"/>
    </row>
    <row r="7" spans="1:27" s="8" customFormat="1" ht="15" customHeight="1" thickBot="1" x14ac:dyDescent="0.5">
      <c r="A7" s="7"/>
      <c r="B7" s="7"/>
      <c r="C7" s="7"/>
      <c r="E7" s="533"/>
      <c r="F7" s="533"/>
      <c r="G7" s="533"/>
      <c r="H7" s="533"/>
      <c r="I7" s="533"/>
      <c r="J7" s="533"/>
      <c r="K7" s="533"/>
      <c r="L7" s="533"/>
      <c r="M7" s="533"/>
      <c r="N7" s="9"/>
      <c r="O7" s="9"/>
      <c r="P7" s="9"/>
      <c r="Q7" s="9"/>
      <c r="R7" s="9"/>
      <c r="S7" s="10"/>
      <c r="T7" s="10"/>
      <c r="U7" s="10"/>
      <c r="V7" s="10"/>
      <c r="W7" s="10"/>
      <c r="X7" s="10"/>
      <c r="Y7" s="10"/>
      <c r="Z7" s="10"/>
      <c r="AA7" s="10"/>
    </row>
    <row r="8" spans="1:27" ht="15" customHeight="1" x14ac:dyDescent="0.45">
      <c r="E8" s="6"/>
      <c r="F8" s="6"/>
      <c r="G8" s="6"/>
      <c r="H8" s="6"/>
      <c r="I8" s="6"/>
      <c r="J8" s="6"/>
      <c r="K8" s="6"/>
      <c r="L8" s="6"/>
      <c r="M8" s="6"/>
      <c r="N8" s="6"/>
      <c r="O8" s="6"/>
      <c r="P8" s="6"/>
      <c r="Q8" s="6"/>
      <c r="R8" s="6"/>
      <c r="S8" s="6"/>
      <c r="T8" s="6"/>
      <c r="U8" s="6"/>
      <c r="V8" s="6"/>
      <c r="W8" s="6"/>
      <c r="X8" s="6"/>
      <c r="Y8" s="6"/>
      <c r="Z8" s="6"/>
      <c r="AA8" s="6"/>
    </row>
    <row r="9" spans="1:27" ht="15" customHeight="1" x14ac:dyDescent="0.45">
      <c r="E9" s="632" t="s">
        <v>124</v>
      </c>
      <c r="F9" s="632"/>
      <c r="G9" s="632"/>
      <c r="H9" s="632"/>
      <c r="I9" s="637">
        <f>N37</f>
        <v>27.5</v>
      </c>
    </row>
    <row r="10" spans="1:27" ht="15" customHeight="1" x14ac:dyDescent="0.45">
      <c r="E10" s="632"/>
      <c r="F10" s="632"/>
      <c r="G10" s="632"/>
      <c r="H10" s="632"/>
      <c r="I10" s="637"/>
    </row>
    <row r="11" spans="1:27" ht="15" customHeight="1" x14ac:dyDescent="0.45">
      <c r="E11" s="632"/>
      <c r="F11" s="632"/>
      <c r="G11" s="632"/>
      <c r="H11" s="632"/>
      <c r="I11" s="637"/>
    </row>
    <row r="12" spans="1:27" ht="15" customHeight="1" x14ac:dyDescent="0.45">
      <c r="E12" s="632"/>
      <c r="F12" s="632"/>
      <c r="G12" s="632"/>
      <c r="H12" s="632"/>
      <c r="I12" s="637"/>
    </row>
    <row r="13" spans="1:27" x14ac:dyDescent="0.45">
      <c r="E13" s="89"/>
      <c r="F13" s="89"/>
      <c r="G13" s="89"/>
      <c r="I13" s="89"/>
    </row>
    <row r="14" spans="1:27" ht="15" customHeight="1" x14ac:dyDescent="0.45">
      <c r="E14" s="633" t="s">
        <v>136</v>
      </c>
      <c r="F14" s="633"/>
      <c r="G14" s="633"/>
      <c r="H14" s="633"/>
      <c r="I14" s="637">
        <f>N83</f>
        <v>14.95</v>
      </c>
    </row>
    <row r="15" spans="1:27" ht="15" customHeight="1" x14ac:dyDescent="0.45">
      <c r="E15" s="633"/>
      <c r="F15" s="633"/>
      <c r="G15" s="633"/>
      <c r="H15" s="633"/>
      <c r="I15" s="637"/>
    </row>
    <row r="16" spans="1:27" ht="15" customHeight="1" x14ac:dyDescent="0.45">
      <c r="E16" s="633"/>
      <c r="F16" s="633"/>
      <c r="G16" s="633"/>
      <c r="H16" s="633"/>
      <c r="I16" s="637"/>
    </row>
    <row r="17" spans="5:37" ht="15" customHeight="1" x14ac:dyDescent="0.45">
      <c r="E17" s="633"/>
      <c r="F17" s="633"/>
      <c r="G17" s="633"/>
      <c r="H17" s="633"/>
      <c r="I17" s="637"/>
    </row>
    <row r="18" spans="5:37" x14ac:dyDescent="0.45">
      <c r="E18" s="89"/>
      <c r="F18" s="89"/>
      <c r="G18" s="89"/>
      <c r="I18" s="89"/>
    </row>
    <row r="19" spans="5:37" ht="15" customHeight="1" x14ac:dyDescent="0.45">
      <c r="E19" s="634" t="s">
        <v>96</v>
      </c>
      <c r="F19" s="634"/>
      <c r="G19" s="634"/>
      <c r="H19" s="634"/>
      <c r="I19" s="637">
        <f>I9-I14</f>
        <v>12.55</v>
      </c>
    </row>
    <row r="20" spans="5:37" ht="15" customHeight="1" x14ac:dyDescent="0.45">
      <c r="E20" s="634"/>
      <c r="F20" s="634"/>
      <c r="G20" s="634"/>
      <c r="H20" s="634"/>
      <c r="I20" s="637"/>
    </row>
    <row r="21" spans="5:37" ht="15" customHeight="1" x14ac:dyDescent="0.45">
      <c r="E21" s="634"/>
      <c r="F21" s="634"/>
      <c r="G21" s="634"/>
      <c r="H21" s="634"/>
      <c r="I21" s="637"/>
    </row>
    <row r="22" spans="5:37" ht="15" customHeight="1" x14ac:dyDescent="0.45">
      <c r="E22" s="634"/>
      <c r="F22" s="634"/>
      <c r="G22" s="634"/>
      <c r="H22" s="634"/>
      <c r="I22" s="637"/>
    </row>
    <row r="24" spans="5:37" ht="14.65" thickBot="1" x14ac:dyDescent="0.5">
      <c r="E24" s="6"/>
      <c r="F24" s="6"/>
      <c r="G24" s="6"/>
      <c r="H24" s="6"/>
    </row>
    <row r="25" spans="5:37" ht="15.75" customHeight="1" thickBot="1" x14ac:dyDescent="0.6">
      <c r="E25" s="626" t="s">
        <v>143</v>
      </c>
      <c r="F25" s="627"/>
      <c r="G25" s="627"/>
      <c r="H25" s="627"/>
      <c r="I25" s="627"/>
      <c r="J25" s="627"/>
      <c r="K25" s="627"/>
      <c r="L25" s="627"/>
      <c r="M25" s="627"/>
      <c r="N25" s="628"/>
      <c r="P25" s="626" t="s">
        <v>144</v>
      </c>
      <c r="Q25" s="627"/>
      <c r="R25" s="627"/>
      <c r="S25" s="627"/>
      <c r="T25" s="627"/>
      <c r="U25" s="627"/>
      <c r="V25" s="627"/>
      <c r="W25" s="627"/>
      <c r="X25" s="627"/>
      <c r="Y25" s="627"/>
      <c r="Z25" s="627"/>
      <c r="AA25" s="627"/>
      <c r="AB25" s="627"/>
      <c r="AC25" s="627"/>
      <c r="AD25" s="627"/>
      <c r="AE25" s="627"/>
      <c r="AF25" s="627"/>
      <c r="AG25" s="627"/>
      <c r="AH25" s="627"/>
      <c r="AI25" s="627"/>
      <c r="AJ25" s="627"/>
      <c r="AK25" s="628"/>
    </row>
    <row r="26" spans="5:37" ht="15" customHeight="1" x14ac:dyDescent="0.45">
      <c r="E26" s="644" t="s">
        <v>146</v>
      </c>
      <c r="F26" s="645"/>
      <c r="G26" s="647" t="s">
        <v>346</v>
      </c>
      <c r="H26" s="647"/>
      <c r="I26" s="647"/>
      <c r="J26" s="647"/>
      <c r="K26" s="647" t="s">
        <v>345</v>
      </c>
      <c r="L26" s="647"/>
      <c r="M26" s="647"/>
      <c r="N26" s="134" t="s">
        <v>148</v>
      </c>
      <c r="P26" s="651" t="s">
        <v>147</v>
      </c>
      <c r="Q26" s="652"/>
      <c r="R26" s="652"/>
      <c r="S26" s="652"/>
      <c r="T26" s="652" t="s">
        <v>149</v>
      </c>
      <c r="U26" s="652"/>
      <c r="V26" s="652" t="s">
        <v>150</v>
      </c>
      <c r="W26" s="652"/>
      <c r="X26" s="652" t="s">
        <v>151</v>
      </c>
      <c r="Y26" s="652"/>
      <c r="Z26" s="652" t="s">
        <v>152</v>
      </c>
      <c r="AA26" s="652"/>
      <c r="AB26" s="652"/>
      <c r="AC26" s="652"/>
      <c r="AD26" s="652"/>
      <c r="AE26" s="652"/>
      <c r="AF26" s="652" t="s">
        <v>153</v>
      </c>
      <c r="AG26" s="652"/>
      <c r="AH26" s="652"/>
      <c r="AI26" s="652"/>
      <c r="AJ26" s="652"/>
      <c r="AK26" s="659"/>
    </row>
    <row r="27" spans="5:37" ht="15" x14ac:dyDescent="0.45">
      <c r="E27" s="687">
        <v>44727</v>
      </c>
      <c r="F27" s="688"/>
      <c r="G27" s="643" t="s">
        <v>21</v>
      </c>
      <c r="H27" s="643"/>
      <c r="I27" s="643"/>
      <c r="J27" s="643"/>
      <c r="K27" s="646"/>
      <c r="L27" s="646"/>
      <c r="M27" s="646"/>
      <c r="N27" s="135">
        <v>18</v>
      </c>
      <c r="P27" s="653" t="str">
        <f>'Từ khóa'!M12</f>
        <v>Lương từ công ty</v>
      </c>
      <c r="Q27" s="654"/>
      <c r="R27" s="654"/>
      <c r="S27" s="654"/>
      <c r="T27" s="655">
        <f>'Kế hoạch thu nhập và chi tiêu'!L11</f>
        <v>20</v>
      </c>
      <c r="U27" s="655"/>
      <c r="V27" s="263"/>
      <c r="W27" s="264">
        <f t="shared" ref="W27:W34" ca="1" si="0">SUMIF($G$27:$J$36,P27,$N$27:$N$36)</f>
        <v>18</v>
      </c>
      <c r="X27" s="655">
        <f t="shared" ref="X27:X34" ca="1" si="1">W27-T27</f>
        <v>-2</v>
      </c>
      <c r="Y27" s="655"/>
      <c r="Z27" s="646"/>
      <c r="AA27" s="646"/>
      <c r="AB27" s="646"/>
      <c r="AC27" s="646"/>
      <c r="AD27" s="646"/>
      <c r="AE27" s="646"/>
      <c r="AF27" s="646"/>
      <c r="AG27" s="646"/>
      <c r="AH27" s="646"/>
      <c r="AI27" s="646"/>
      <c r="AJ27" s="646"/>
      <c r="AK27" s="658"/>
    </row>
    <row r="28" spans="5:37" ht="15" x14ac:dyDescent="0.45">
      <c r="E28" s="687">
        <v>44732</v>
      </c>
      <c r="F28" s="688">
        <v>44612</v>
      </c>
      <c r="G28" s="643" t="s">
        <v>372</v>
      </c>
      <c r="H28" s="643"/>
      <c r="I28" s="643"/>
      <c r="J28" s="643"/>
      <c r="K28" s="646"/>
      <c r="L28" s="646"/>
      <c r="M28" s="646"/>
      <c r="N28" s="135">
        <v>6</v>
      </c>
      <c r="P28" s="653" t="str">
        <f>'Từ khóa'!M13</f>
        <v>Thu nhập khác</v>
      </c>
      <c r="Q28" s="654"/>
      <c r="R28" s="654"/>
      <c r="S28" s="654"/>
      <c r="T28" s="655">
        <f>'Kế hoạch thu nhập và chi tiêu'!L12</f>
        <v>10</v>
      </c>
      <c r="U28" s="655"/>
      <c r="V28" s="263"/>
      <c r="W28" s="264">
        <f t="shared" ca="1" si="0"/>
        <v>9.5</v>
      </c>
      <c r="X28" s="655">
        <f t="shared" ca="1" si="1"/>
        <v>-0.5</v>
      </c>
      <c r="Y28" s="655"/>
      <c r="Z28" s="646"/>
      <c r="AA28" s="646"/>
      <c r="AB28" s="646"/>
      <c r="AC28" s="646"/>
      <c r="AD28" s="646"/>
      <c r="AE28" s="646"/>
      <c r="AF28" s="646"/>
      <c r="AG28" s="646"/>
      <c r="AH28" s="646"/>
      <c r="AI28" s="646"/>
      <c r="AJ28" s="646"/>
      <c r="AK28" s="658"/>
    </row>
    <row r="29" spans="5:37" ht="15" x14ac:dyDescent="0.45">
      <c r="E29" s="687">
        <v>44740</v>
      </c>
      <c r="F29" s="688">
        <v>44620</v>
      </c>
      <c r="G29" s="643" t="s">
        <v>372</v>
      </c>
      <c r="H29" s="643"/>
      <c r="I29" s="643"/>
      <c r="J29" s="643"/>
      <c r="K29" s="646"/>
      <c r="L29" s="646"/>
      <c r="M29" s="646"/>
      <c r="N29" s="135">
        <v>3</v>
      </c>
      <c r="P29" s="653">
        <f>'Từ khóa'!M14</f>
        <v>0</v>
      </c>
      <c r="Q29" s="654"/>
      <c r="R29" s="654"/>
      <c r="S29" s="654"/>
      <c r="T29" s="655">
        <f>'Kế hoạch thu nhập và chi tiêu'!L13</f>
        <v>0</v>
      </c>
      <c r="U29" s="655"/>
      <c r="V29" s="263"/>
      <c r="W29" s="264">
        <f t="shared" ca="1" si="0"/>
        <v>0</v>
      </c>
      <c r="X29" s="655">
        <f t="shared" ca="1" si="1"/>
        <v>0</v>
      </c>
      <c r="Y29" s="655"/>
      <c r="Z29" s="646"/>
      <c r="AA29" s="646"/>
      <c r="AB29" s="646"/>
      <c r="AC29" s="646"/>
      <c r="AD29" s="646"/>
      <c r="AE29" s="646"/>
      <c r="AF29" s="646"/>
      <c r="AG29" s="646"/>
      <c r="AH29" s="646"/>
      <c r="AI29" s="646"/>
      <c r="AJ29" s="646"/>
      <c r="AK29" s="658"/>
    </row>
    <row r="30" spans="5:37" ht="15" x14ac:dyDescent="0.45">
      <c r="E30" s="687">
        <v>44740</v>
      </c>
      <c r="F30" s="688">
        <v>44620</v>
      </c>
      <c r="G30" s="643" t="s">
        <v>372</v>
      </c>
      <c r="H30" s="643"/>
      <c r="I30" s="643"/>
      <c r="J30" s="643"/>
      <c r="K30" s="646"/>
      <c r="L30" s="646"/>
      <c r="M30" s="646"/>
      <c r="N30" s="135">
        <v>0.5</v>
      </c>
      <c r="P30" s="653">
        <f>'Từ khóa'!M15</f>
        <v>0</v>
      </c>
      <c r="Q30" s="654"/>
      <c r="R30" s="654"/>
      <c r="S30" s="654"/>
      <c r="T30" s="655">
        <f>'Kế hoạch thu nhập và chi tiêu'!L14</f>
        <v>0</v>
      </c>
      <c r="U30" s="655"/>
      <c r="V30" s="263"/>
      <c r="W30" s="264">
        <f t="shared" ca="1" si="0"/>
        <v>0</v>
      </c>
      <c r="X30" s="655">
        <f t="shared" ca="1" si="1"/>
        <v>0</v>
      </c>
      <c r="Y30" s="655"/>
      <c r="Z30" s="646"/>
      <c r="AA30" s="646"/>
      <c r="AB30" s="646"/>
      <c r="AC30" s="646"/>
      <c r="AD30" s="646"/>
      <c r="AE30" s="646"/>
      <c r="AF30" s="646"/>
      <c r="AG30" s="646"/>
      <c r="AH30" s="646"/>
      <c r="AI30" s="646"/>
      <c r="AJ30" s="646"/>
      <c r="AK30" s="658"/>
    </row>
    <row r="31" spans="5:37" ht="15" x14ac:dyDescent="0.45">
      <c r="E31" s="687"/>
      <c r="F31" s="688"/>
      <c r="G31" s="643"/>
      <c r="H31" s="643"/>
      <c r="I31" s="643"/>
      <c r="J31" s="643"/>
      <c r="K31" s="646"/>
      <c r="L31" s="646"/>
      <c r="M31" s="646"/>
      <c r="N31" s="135"/>
      <c r="P31" s="653">
        <f>'Từ khóa'!M16</f>
        <v>0</v>
      </c>
      <c r="Q31" s="654"/>
      <c r="R31" s="654"/>
      <c r="S31" s="654"/>
      <c r="T31" s="655">
        <f>'Kế hoạch thu nhập và chi tiêu'!L15</f>
        <v>0</v>
      </c>
      <c r="U31" s="655"/>
      <c r="V31" s="263"/>
      <c r="W31" s="264">
        <f t="shared" ca="1" si="0"/>
        <v>0</v>
      </c>
      <c r="X31" s="655">
        <f t="shared" ca="1" si="1"/>
        <v>0</v>
      </c>
      <c r="Y31" s="655"/>
      <c r="Z31" s="646"/>
      <c r="AA31" s="646"/>
      <c r="AB31" s="646"/>
      <c r="AC31" s="646"/>
      <c r="AD31" s="646"/>
      <c r="AE31" s="646"/>
      <c r="AF31" s="646"/>
      <c r="AG31" s="646"/>
      <c r="AH31" s="646"/>
      <c r="AI31" s="646"/>
      <c r="AJ31" s="646"/>
      <c r="AK31" s="658"/>
    </row>
    <row r="32" spans="5:37" ht="15" x14ac:dyDescent="0.45">
      <c r="E32" s="687"/>
      <c r="F32" s="688"/>
      <c r="G32" s="643"/>
      <c r="H32" s="643"/>
      <c r="I32" s="643"/>
      <c r="J32" s="643"/>
      <c r="K32" s="646"/>
      <c r="L32" s="646"/>
      <c r="M32" s="646"/>
      <c r="N32" s="135"/>
      <c r="P32" s="653">
        <f>'Từ khóa'!M17</f>
        <v>0</v>
      </c>
      <c r="Q32" s="654"/>
      <c r="R32" s="654"/>
      <c r="S32" s="654"/>
      <c r="T32" s="655">
        <f>'Kế hoạch thu nhập và chi tiêu'!L16</f>
        <v>0</v>
      </c>
      <c r="U32" s="655"/>
      <c r="V32" s="263"/>
      <c r="W32" s="264">
        <f t="shared" ca="1" si="0"/>
        <v>0</v>
      </c>
      <c r="X32" s="655">
        <f t="shared" ca="1" si="1"/>
        <v>0</v>
      </c>
      <c r="Y32" s="655"/>
      <c r="Z32" s="646"/>
      <c r="AA32" s="646"/>
      <c r="AB32" s="646"/>
      <c r="AC32" s="646"/>
      <c r="AD32" s="646"/>
      <c r="AE32" s="646"/>
      <c r="AF32" s="646"/>
      <c r="AG32" s="646"/>
      <c r="AH32" s="646"/>
      <c r="AI32" s="646"/>
      <c r="AJ32" s="646"/>
      <c r="AK32" s="658"/>
    </row>
    <row r="33" spans="5:37" ht="15" x14ac:dyDescent="0.45">
      <c r="E33" s="687"/>
      <c r="F33" s="688"/>
      <c r="G33" s="643"/>
      <c r="H33" s="643"/>
      <c r="I33" s="643"/>
      <c r="J33" s="643"/>
      <c r="K33" s="646"/>
      <c r="L33" s="646"/>
      <c r="M33" s="646"/>
      <c r="N33" s="135"/>
      <c r="P33" s="653">
        <f>'Từ khóa'!M18</f>
        <v>0</v>
      </c>
      <c r="Q33" s="654"/>
      <c r="R33" s="654"/>
      <c r="S33" s="654"/>
      <c r="T33" s="655">
        <f>'Kế hoạch thu nhập và chi tiêu'!L17</f>
        <v>0</v>
      </c>
      <c r="U33" s="655"/>
      <c r="V33" s="263"/>
      <c r="W33" s="264">
        <f t="shared" ca="1" si="0"/>
        <v>0</v>
      </c>
      <c r="X33" s="655">
        <f t="shared" ca="1" si="1"/>
        <v>0</v>
      </c>
      <c r="Y33" s="655"/>
      <c r="Z33" s="646"/>
      <c r="AA33" s="646"/>
      <c r="AB33" s="646"/>
      <c r="AC33" s="646"/>
      <c r="AD33" s="646"/>
      <c r="AE33" s="646"/>
      <c r="AF33" s="646"/>
      <c r="AG33" s="646"/>
      <c r="AH33" s="646"/>
      <c r="AI33" s="646"/>
      <c r="AJ33" s="646"/>
      <c r="AK33" s="658"/>
    </row>
    <row r="34" spans="5:37" ht="15" x14ac:dyDescent="0.45">
      <c r="E34" s="687"/>
      <c r="F34" s="688"/>
      <c r="G34" s="643"/>
      <c r="H34" s="643"/>
      <c r="I34" s="643"/>
      <c r="J34" s="643"/>
      <c r="K34" s="646"/>
      <c r="L34" s="646"/>
      <c r="M34" s="646"/>
      <c r="N34" s="135"/>
      <c r="P34" s="653">
        <f>'Từ khóa'!M19</f>
        <v>0</v>
      </c>
      <c r="Q34" s="654"/>
      <c r="R34" s="654"/>
      <c r="S34" s="654"/>
      <c r="T34" s="655">
        <f>'Kế hoạch thu nhập và chi tiêu'!L18</f>
        <v>0</v>
      </c>
      <c r="U34" s="655"/>
      <c r="V34" s="263"/>
      <c r="W34" s="264">
        <f t="shared" ca="1" si="0"/>
        <v>0</v>
      </c>
      <c r="X34" s="655">
        <f t="shared" ca="1" si="1"/>
        <v>0</v>
      </c>
      <c r="Y34" s="655"/>
      <c r="Z34" s="646"/>
      <c r="AA34" s="646"/>
      <c r="AB34" s="646"/>
      <c r="AC34" s="646"/>
      <c r="AD34" s="646"/>
      <c r="AE34" s="646"/>
      <c r="AF34" s="646"/>
      <c r="AG34" s="646"/>
      <c r="AH34" s="646"/>
      <c r="AI34" s="646"/>
      <c r="AJ34" s="646"/>
      <c r="AK34" s="658"/>
    </row>
    <row r="35" spans="5:37" ht="15" x14ac:dyDescent="0.45">
      <c r="E35" s="687"/>
      <c r="F35" s="688"/>
      <c r="G35" s="643"/>
      <c r="H35" s="643"/>
      <c r="I35" s="643"/>
      <c r="J35" s="643"/>
      <c r="K35" s="646"/>
      <c r="L35" s="646"/>
      <c r="M35" s="646"/>
      <c r="N35" s="135"/>
      <c r="P35" s="653"/>
      <c r="Q35" s="654"/>
      <c r="R35" s="654"/>
      <c r="S35" s="654"/>
      <c r="T35" s="656"/>
      <c r="U35" s="657"/>
      <c r="V35" s="263"/>
      <c r="W35" s="264"/>
      <c r="X35" s="655"/>
      <c r="Y35" s="655"/>
      <c r="Z35" s="646"/>
      <c r="AA35" s="646"/>
      <c r="AB35" s="646"/>
      <c r="AC35" s="646"/>
      <c r="AD35" s="646"/>
      <c r="AE35" s="646"/>
      <c r="AF35" s="646"/>
      <c r="AG35" s="646"/>
      <c r="AH35" s="646"/>
      <c r="AI35" s="646"/>
      <c r="AJ35" s="646"/>
      <c r="AK35" s="658"/>
    </row>
    <row r="36" spans="5:37" ht="15" x14ac:dyDescent="0.45">
      <c r="E36" s="687"/>
      <c r="F36" s="688"/>
      <c r="G36" s="643"/>
      <c r="H36" s="643"/>
      <c r="I36" s="643"/>
      <c r="J36" s="643"/>
      <c r="K36" s="646"/>
      <c r="L36" s="646"/>
      <c r="M36" s="646"/>
      <c r="N36" s="135"/>
      <c r="P36" s="653"/>
      <c r="Q36" s="654"/>
      <c r="R36" s="654"/>
      <c r="S36" s="654"/>
      <c r="T36" s="656"/>
      <c r="U36" s="657"/>
      <c r="V36" s="263"/>
      <c r="W36" s="264"/>
      <c r="X36" s="655"/>
      <c r="Y36" s="655"/>
      <c r="Z36" s="646"/>
      <c r="AA36" s="646"/>
      <c r="AB36" s="646"/>
      <c r="AC36" s="646"/>
      <c r="AD36" s="646"/>
      <c r="AE36" s="646"/>
      <c r="AF36" s="646"/>
      <c r="AG36" s="646"/>
      <c r="AH36" s="646"/>
      <c r="AI36" s="646"/>
      <c r="AJ36" s="646"/>
      <c r="AK36" s="658"/>
    </row>
    <row r="37" spans="5:37" ht="16.5" customHeight="1" thickBot="1" x14ac:dyDescent="0.6">
      <c r="E37" s="648" t="s">
        <v>124</v>
      </c>
      <c r="F37" s="649"/>
      <c r="G37" s="649"/>
      <c r="H37" s="649"/>
      <c r="I37" s="649"/>
      <c r="J37" s="649"/>
      <c r="K37" s="649"/>
      <c r="L37" s="649"/>
      <c r="M37" s="650"/>
      <c r="N37" s="144">
        <f>SUBTOTAL(109,'T6'!$N$27:$N$36)</f>
        <v>27.5</v>
      </c>
      <c r="P37" s="648" t="s">
        <v>124</v>
      </c>
      <c r="Q37" s="649"/>
      <c r="R37" s="649"/>
      <c r="S37" s="650"/>
      <c r="T37" s="662">
        <f>SUM(T27:U36)</f>
        <v>30</v>
      </c>
      <c r="U37" s="663"/>
      <c r="V37" s="662">
        <f ca="1">SUM(W27:W36)</f>
        <v>27.5</v>
      </c>
      <c r="W37" s="663"/>
      <c r="X37" s="662">
        <f t="shared" ref="X37" ca="1" si="2">SUM(X27:Y36)</f>
        <v>-2.5</v>
      </c>
      <c r="Y37" s="663"/>
      <c r="Z37" s="660"/>
      <c r="AA37" s="660"/>
      <c r="AB37" s="660"/>
      <c r="AC37" s="660"/>
      <c r="AD37" s="660"/>
      <c r="AE37" s="660"/>
      <c r="AF37" s="660"/>
      <c r="AG37" s="660"/>
      <c r="AH37" s="660"/>
      <c r="AI37" s="660"/>
      <c r="AJ37" s="660"/>
      <c r="AK37" s="661"/>
    </row>
    <row r="39" spans="5:37" ht="14.65" thickBot="1" x14ac:dyDescent="0.5"/>
    <row r="40" spans="5:37" ht="15.75" customHeight="1" x14ac:dyDescent="0.55000000000000004">
      <c r="E40" s="623" t="s">
        <v>320</v>
      </c>
      <c r="F40" s="624"/>
      <c r="G40" s="624"/>
      <c r="H40" s="624"/>
      <c r="I40" s="624"/>
      <c r="J40" s="624"/>
      <c r="K40" s="624"/>
      <c r="L40" s="624"/>
      <c r="M40" s="624"/>
      <c r="N40" s="625"/>
      <c r="P40" s="623" t="s">
        <v>321</v>
      </c>
      <c r="Q40" s="624"/>
      <c r="R40" s="624"/>
      <c r="S40" s="624"/>
      <c r="T40" s="624"/>
      <c r="U40" s="624"/>
      <c r="V40" s="624"/>
      <c r="W40" s="624"/>
      <c r="X40" s="624"/>
      <c r="Y40" s="624"/>
      <c r="Z40" s="624"/>
      <c r="AA40" s="624"/>
      <c r="AB40" s="624"/>
      <c r="AC40" s="624"/>
      <c r="AD40" s="624"/>
      <c r="AE40" s="624"/>
      <c r="AF40" s="624"/>
      <c r="AG40" s="624"/>
      <c r="AH40" s="624"/>
      <c r="AI40" s="624"/>
      <c r="AJ40" s="624"/>
      <c r="AK40" s="625"/>
    </row>
    <row r="41" spans="5:37" ht="15" x14ac:dyDescent="0.45">
      <c r="E41" s="664" t="s">
        <v>146</v>
      </c>
      <c r="F41" s="665"/>
      <c r="G41" s="666" t="s">
        <v>347</v>
      </c>
      <c r="H41" s="666"/>
      <c r="I41" s="666"/>
      <c r="J41" s="666"/>
      <c r="K41" s="666" t="s">
        <v>345</v>
      </c>
      <c r="L41" s="666"/>
      <c r="M41" s="666"/>
      <c r="N41" s="136" t="s">
        <v>148</v>
      </c>
      <c r="P41" s="668" t="s">
        <v>147</v>
      </c>
      <c r="Q41" s="666"/>
      <c r="R41" s="666"/>
      <c r="S41" s="666"/>
      <c r="T41" s="666" t="s">
        <v>149</v>
      </c>
      <c r="U41" s="666"/>
      <c r="V41" s="666" t="s">
        <v>150</v>
      </c>
      <c r="W41" s="666"/>
      <c r="X41" s="666" t="s">
        <v>151</v>
      </c>
      <c r="Y41" s="666"/>
      <c r="Z41" s="666" t="s">
        <v>152</v>
      </c>
      <c r="AA41" s="666"/>
      <c r="AB41" s="666"/>
      <c r="AC41" s="666"/>
      <c r="AD41" s="666"/>
      <c r="AE41" s="666"/>
      <c r="AF41" s="666" t="s">
        <v>153</v>
      </c>
      <c r="AG41" s="666"/>
      <c r="AH41" s="666"/>
      <c r="AI41" s="666"/>
      <c r="AJ41" s="666"/>
      <c r="AK41" s="667"/>
    </row>
    <row r="42" spans="5:37" ht="15" customHeight="1" x14ac:dyDescent="0.55000000000000004">
      <c r="E42" s="687">
        <v>44713</v>
      </c>
      <c r="F42" s="688">
        <v>44593</v>
      </c>
      <c r="G42" s="640" t="s">
        <v>5</v>
      </c>
      <c r="H42" s="641"/>
      <c r="I42" s="641"/>
      <c r="J42" s="642"/>
      <c r="K42" s="640"/>
      <c r="L42" s="641"/>
      <c r="M42" s="642"/>
      <c r="N42" s="137">
        <v>3</v>
      </c>
      <c r="P42" s="653" t="str">
        <f>'Từ khóa'!F12</f>
        <v>Mua thực phẩm</v>
      </c>
      <c r="Q42" s="654"/>
      <c r="R42" s="654"/>
      <c r="S42" s="654"/>
      <c r="T42" s="655">
        <f>'Kế hoạch thu nhập và chi tiêu'!L26</f>
        <v>5</v>
      </c>
      <c r="U42" s="655"/>
      <c r="V42" s="263"/>
      <c r="W42" s="264">
        <f t="shared" ref="W42:W56" ca="1" si="3">SUMIF($G$42:$J$82,P42,$N$42:$N$82)</f>
        <v>4.3</v>
      </c>
      <c r="X42" s="656">
        <f t="shared" ref="X42:X56" ca="1" si="4">T42-W42</f>
        <v>0.70000000000000018</v>
      </c>
      <c r="Y42" s="657"/>
      <c r="Z42" s="646"/>
      <c r="AA42" s="646"/>
      <c r="AB42" s="646"/>
      <c r="AC42" s="646"/>
      <c r="AD42" s="646"/>
      <c r="AE42" s="646"/>
      <c r="AF42" s="646"/>
      <c r="AG42" s="646"/>
      <c r="AH42" s="646"/>
      <c r="AI42" s="646"/>
      <c r="AJ42" s="646"/>
      <c r="AK42" s="658"/>
    </row>
    <row r="43" spans="5:37" ht="15" customHeight="1" x14ac:dyDescent="0.55000000000000004">
      <c r="E43" s="687">
        <v>44713</v>
      </c>
      <c r="F43" s="688">
        <v>44593</v>
      </c>
      <c r="G43" s="640" t="s">
        <v>6</v>
      </c>
      <c r="H43" s="641" t="s">
        <v>6</v>
      </c>
      <c r="I43" s="641" t="s">
        <v>6</v>
      </c>
      <c r="J43" s="642" t="s">
        <v>6</v>
      </c>
      <c r="K43" s="640"/>
      <c r="L43" s="641"/>
      <c r="M43" s="642"/>
      <c r="N43" s="138">
        <v>0.1</v>
      </c>
      <c r="P43" s="653" t="str">
        <f>'Từ khóa'!F13</f>
        <v>Mua đồ dùng trong nhà</v>
      </c>
      <c r="Q43" s="654"/>
      <c r="R43" s="654"/>
      <c r="S43" s="654"/>
      <c r="T43" s="655">
        <f>'Kế hoạch thu nhập và chi tiêu'!L27</f>
        <v>0.5</v>
      </c>
      <c r="U43" s="655"/>
      <c r="V43" s="263"/>
      <c r="W43" s="264">
        <f t="shared" ca="1" si="3"/>
        <v>0.30000000000000004</v>
      </c>
      <c r="X43" s="656">
        <f t="shared" ca="1" si="4"/>
        <v>0.19999999999999996</v>
      </c>
      <c r="Y43" s="657"/>
      <c r="Z43" s="646" t="s">
        <v>388</v>
      </c>
      <c r="AA43" s="646"/>
      <c r="AB43" s="646"/>
      <c r="AC43" s="646"/>
      <c r="AD43" s="646"/>
      <c r="AE43" s="646"/>
      <c r="AF43" s="646"/>
      <c r="AG43" s="646"/>
      <c r="AH43" s="646"/>
      <c r="AI43" s="646"/>
      <c r="AJ43" s="646"/>
      <c r="AK43" s="658"/>
    </row>
    <row r="44" spans="5:37" ht="15" customHeight="1" x14ac:dyDescent="0.55000000000000004">
      <c r="E44" s="687">
        <v>44714</v>
      </c>
      <c r="F44" s="688">
        <v>44594</v>
      </c>
      <c r="G44" s="640" t="s">
        <v>10</v>
      </c>
      <c r="H44" s="641" t="s">
        <v>10</v>
      </c>
      <c r="I44" s="641" t="s">
        <v>10</v>
      </c>
      <c r="J44" s="642" t="s">
        <v>10</v>
      </c>
      <c r="K44" s="640" t="s">
        <v>159</v>
      </c>
      <c r="L44" s="641" t="s">
        <v>159</v>
      </c>
      <c r="M44" s="642" t="s">
        <v>159</v>
      </c>
      <c r="N44" s="138">
        <v>0.6</v>
      </c>
      <c r="P44" s="653" t="str">
        <f>'Từ khóa'!F14</f>
        <v>Đi ăn ở ngoài</v>
      </c>
      <c r="Q44" s="654"/>
      <c r="R44" s="654"/>
      <c r="S44" s="654"/>
      <c r="T44" s="655">
        <f>'Kế hoạch thu nhập và chi tiêu'!L28</f>
        <v>2</v>
      </c>
      <c r="U44" s="655"/>
      <c r="V44" s="263"/>
      <c r="W44" s="264">
        <f t="shared" ca="1" si="3"/>
        <v>1</v>
      </c>
      <c r="X44" s="656">
        <f t="shared" ca="1" si="4"/>
        <v>1</v>
      </c>
      <c r="Y44" s="657"/>
      <c r="Z44" s="646" t="s">
        <v>160</v>
      </c>
      <c r="AA44" s="646"/>
      <c r="AB44" s="646"/>
      <c r="AC44" s="646"/>
      <c r="AD44" s="646"/>
      <c r="AE44" s="646"/>
      <c r="AF44" s="646" t="s">
        <v>322</v>
      </c>
      <c r="AG44" s="646"/>
      <c r="AH44" s="646"/>
      <c r="AI44" s="646"/>
      <c r="AJ44" s="646"/>
      <c r="AK44" s="658"/>
    </row>
    <row r="45" spans="5:37" ht="15" customHeight="1" x14ac:dyDescent="0.55000000000000004">
      <c r="E45" s="687">
        <v>44715</v>
      </c>
      <c r="F45" s="688">
        <v>44595</v>
      </c>
      <c r="G45" s="640" t="s">
        <v>10</v>
      </c>
      <c r="H45" s="641" t="s">
        <v>10</v>
      </c>
      <c r="I45" s="641" t="s">
        <v>10</v>
      </c>
      <c r="J45" s="642" t="s">
        <v>10</v>
      </c>
      <c r="K45" s="640" t="s">
        <v>161</v>
      </c>
      <c r="L45" s="641" t="s">
        <v>161</v>
      </c>
      <c r="M45" s="642" t="s">
        <v>161</v>
      </c>
      <c r="N45" s="138">
        <v>0.5</v>
      </c>
      <c r="P45" s="653" t="str">
        <f>'Từ khóa'!F15</f>
        <v>Chi tiền phát triển bản thân</v>
      </c>
      <c r="Q45" s="654"/>
      <c r="R45" s="654"/>
      <c r="S45" s="654"/>
      <c r="T45" s="655">
        <f>'Kế hoạch thu nhập và chi tiêu'!L29</f>
        <v>1.5</v>
      </c>
      <c r="U45" s="655"/>
      <c r="V45" s="263"/>
      <c r="W45" s="264">
        <f t="shared" ca="1" si="3"/>
        <v>1.0999999999999999</v>
      </c>
      <c r="X45" s="656">
        <f t="shared" ca="1" si="4"/>
        <v>0.40000000000000013</v>
      </c>
      <c r="Y45" s="657"/>
      <c r="Z45" s="646" t="s">
        <v>375</v>
      </c>
      <c r="AA45" s="646"/>
      <c r="AB45" s="646"/>
      <c r="AC45" s="646"/>
      <c r="AD45" s="646"/>
      <c r="AE45" s="646"/>
      <c r="AF45" s="646"/>
      <c r="AG45" s="646"/>
      <c r="AH45" s="646"/>
      <c r="AI45" s="646"/>
      <c r="AJ45" s="646"/>
      <c r="AK45" s="658"/>
    </row>
    <row r="46" spans="5:37" ht="15" customHeight="1" x14ac:dyDescent="0.55000000000000004">
      <c r="E46" s="687">
        <v>44716</v>
      </c>
      <c r="F46" s="688">
        <v>44596</v>
      </c>
      <c r="G46" s="640" t="s">
        <v>10</v>
      </c>
      <c r="H46" s="641" t="s">
        <v>10</v>
      </c>
      <c r="I46" s="641" t="s">
        <v>10</v>
      </c>
      <c r="J46" s="642" t="s">
        <v>10</v>
      </c>
      <c r="K46" s="640" t="s">
        <v>162</v>
      </c>
      <c r="L46" s="641" t="s">
        <v>162</v>
      </c>
      <c r="M46" s="642" t="s">
        <v>162</v>
      </c>
      <c r="N46" s="138">
        <v>0.3</v>
      </c>
      <c r="P46" s="653" t="str">
        <f>'Từ khóa'!F16</f>
        <v>Chi tiền bảo hiểm</v>
      </c>
      <c r="Q46" s="654"/>
      <c r="R46" s="654"/>
      <c r="S46" s="654"/>
      <c r="T46" s="655">
        <f>'Kế hoạch thu nhập và chi tiêu'!L30</f>
        <v>0</v>
      </c>
      <c r="U46" s="655"/>
      <c r="V46" s="263"/>
      <c r="W46" s="264">
        <f t="shared" ca="1" si="3"/>
        <v>0</v>
      </c>
      <c r="X46" s="656">
        <f t="shared" ca="1" si="4"/>
        <v>0</v>
      </c>
      <c r="Y46" s="657"/>
      <c r="Z46" s="646"/>
      <c r="AA46" s="646"/>
      <c r="AB46" s="646"/>
      <c r="AC46" s="646"/>
      <c r="AD46" s="646"/>
      <c r="AE46" s="646"/>
      <c r="AF46" s="646"/>
      <c r="AG46" s="646"/>
      <c r="AH46" s="646"/>
      <c r="AI46" s="646"/>
      <c r="AJ46" s="646"/>
      <c r="AK46" s="658"/>
    </row>
    <row r="47" spans="5:37" ht="15" customHeight="1" x14ac:dyDescent="0.55000000000000004">
      <c r="E47" s="687">
        <v>44717</v>
      </c>
      <c r="F47" s="688">
        <v>44597</v>
      </c>
      <c r="G47" s="640" t="s">
        <v>10</v>
      </c>
      <c r="H47" s="641" t="s">
        <v>10</v>
      </c>
      <c r="I47" s="641" t="s">
        <v>10</v>
      </c>
      <c r="J47" s="642" t="s">
        <v>10</v>
      </c>
      <c r="K47" s="640" t="s">
        <v>163</v>
      </c>
      <c r="L47" s="641" t="s">
        <v>163</v>
      </c>
      <c r="M47" s="642" t="s">
        <v>163</v>
      </c>
      <c r="N47" s="138">
        <v>0.2</v>
      </c>
      <c r="P47" s="653" t="str">
        <f>'Từ khóa'!F17</f>
        <v>Chi tiền điện, nước, internet, điện thoại, xăng xe</v>
      </c>
      <c r="Q47" s="654"/>
      <c r="R47" s="654"/>
      <c r="S47" s="654"/>
      <c r="T47" s="655">
        <f>'Kế hoạch thu nhập và chi tiêu'!L31</f>
        <v>2</v>
      </c>
      <c r="U47" s="655"/>
      <c r="V47" s="263"/>
      <c r="W47" s="264">
        <f t="shared" ca="1" si="3"/>
        <v>1.7500000000000002</v>
      </c>
      <c r="X47" s="656">
        <f t="shared" ca="1" si="4"/>
        <v>0.24999999999999978</v>
      </c>
      <c r="Y47" s="657"/>
      <c r="Z47" s="646" t="s">
        <v>376</v>
      </c>
      <c r="AA47" s="646"/>
      <c r="AB47" s="646"/>
      <c r="AC47" s="646"/>
      <c r="AD47" s="646"/>
      <c r="AE47" s="646"/>
      <c r="AF47" s="646" t="s">
        <v>322</v>
      </c>
      <c r="AG47" s="646"/>
      <c r="AH47" s="646"/>
      <c r="AI47" s="646"/>
      <c r="AJ47" s="646"/>
      <c r="AK47" s="658"/>
    </row>
    <row r="48" spans="5:37" ht="15" customHeight="1" x14ac:dyDescent="0.55000000000000004">
      <c r="E48" s="687">
        <v>44719</v>
      </c>
      <c r="F48" s="688">
        <v>44599</v>
      </c>
      <c r="G48" s="640" t="s">
        <v>10</v>
      </c>
      <c r="H48" s="641" t="s">
        <v>10</v>
      </c>
      <c r="I48" s="641" t="s">
        <v>10</v>
      </c>
      <c r="J48" s="642" t="s">
        <v>10</v>
      </c>
      <c r="K48" s="640" t="s">
        <v>164</v>
      </c>
      <c r="L48" s="641" t="s">
        <v>164</v>
      </c>
      <c r="M48" s="642" t="s">
        <v>164</v>
      </c>
      <c r="N48" s="138">
        <v>0.05</v>
      </c>
      <c r="P48" s="653" t="str">
        <f>'Từ khóa'!F18</f>
        <v>Chi tiền giải trí, quà tặng</v>
      </c>
      <c r="Q48" s="654"/>
      <c r="R48" s="654"/>
      <c r="S48" s="654"/>
      <c r="T48" s="655">
        <f>'Kế hoạch thu nhập và chi tiêu'!L32</f>
        <v>0</v>
      </c>
      <c r="U48" s="655"/>
      <c r="V48" s="263"/>
      <c r="W48" s="264">
        <f t="shared" ca="1" si="3"/>
        <v>0</v>
      </c>
      <c r="X48" s="656">
        <f t="shared" ca="1" si="4"/>
        <v>0</v>
      </c>
      <c r="Y48" s="657"/>
      <c r="Z48" s="646"/>
      <c r="AA48" s="646"/>
      <c r="AB48" s="646"/>
      <c r="AC48" s="646"/>
      <c r="AD48" s="646"/>
      <c r="AE48" s="646"/>
      <c r="AF48" s="646"/>
      <c r="AG48" s="646"/>
      <c r="AH48" s="646"/>
      <c r="AI48" s="646"/>
      <c r="AJ48" s="646"/>
      <c r="AK48" s="658"/>
    </row>
    <row r="49" spans="5:37" ht="15" customHeight="1" x14ac:dyDescent="0.55000000000000004">
      <c r="E49" s="687">
        <v>44721</v>
      </c>
      <c r="F49" s="688">
        <v>44601</v>
      </c>
      <c r="G49" s="640" t="s">
        <v>7</v>
      </c>
      <c r="H49" s="641" t="s">
        <v>7</v>
      </c>
      <c r="I49" s="641" t="s">
        <v>7</v>
      </c>
      <c r="J49" s="642" t="s">
        <v>7</v>
      </c>
      <c r="K49" s="640"/>
      <c r="L49" s="641"/>
      <c r="M49" s="642"/>
      <c r="N49" s="138">
        <v>0.2</v>
      </c>
      <c r="P49" s="653" t="str">
        <f>'Từ khóa'!F19</f>
        <v>Chi tiền cho con</v>
      </c>
      <c r="Q49" s="654"/>
      <c r="R49" s="654"/>
      <c r="S49" s="654"/>
      <c r="T49" s="655">
        <f>'Kế hoạch thu nhập và chi tiêu'!L33</f>
        <v>0</v>
      </c>
      <c r="U49" s="655"/>
      <c r="V49" s="263"/>
      <c r="W49" s="264">
        <f t="shared" ca="1" si="3"/>
        <v>0</v>
      </c>
      <c r="X49" s="656">
        <f t="shared" ca="1" si="4"/>
        <v>0</v>
      </c>
      <c r="Y49" s="657"/>
      <c r="Z49" s="646"/>
      <c r="AA49" s="646"/>
      <c r="AB49" s="646"/>
      <c r="AC49" s="646"/>
      <c r="AD49" s="646"/>
      <c r="AE49" s="646"/>
      <c r="AF49" s="646"/>
      <c r="AG49" s="646"/>
      <c r="AH49" s="646"/>
      <c r="AI49" s="646"/>
      <c r="AJ49" s="646"/>
      <c r="AK49" s="658"/>
    </row>
    <row r="50" spans="5:37" ht="15" customHeight="1" x14ac:dyDescent="0.55000000000000004">
      <c r="E50" s="687">
        <v>44723</v>
      </c>
      <c r="F50" s="688">
        <v>44603</v>
      </c>
      <c r="G50" s="640" t="s">
        <v>8</v>
      </c>
      <c r="H50" s="641" t="s">
        <v>8</v>
      </c>
      <c r="I50" s="641" t="s">
        <v>8</v>
      </c>
      <c r="J50" s="642" t="s">
        <v>8</v>
      </c>
      <c r="K50" s="640" t="s">
        <v>23</v>
      </c>
      <c r="L50" s="641" t="s">
        <v>23</v>
      </c>
      <c r="M50" s="642" t="s">
        <v>23</v>
      </c>
      <c r="N50" s="138">
        <v>0.1</v>
      </c>
      <c r="P50" s="653" t="str">
        <f>'Từ khóa'!F20</f>
        <v>Chi tiền trả nợ</v>
      </c>
      <c r="Q50" s="654"/>
      <c r="R50" s="654"/>
      <c r="S50" s="654"/>
      <c r="T50" s="655">
        <f>'Kế hoạch thu nhập và chi tiêu'!L34</f>
        <v>6.5</v>
      </c>
      <c r="U50" s="655"/>
      <c r="V50" s="263"/>
      <c r="W50" s="264">
        <f t="shared" ca="1" si="3"/>
        <v>6.5</v>
      </c>
      <c r="X50" s="656">
        <f t="shared" ca="1" si="4"/>
        <v>0</v>
      </c>
      <c r="Y50" s="657"/>
      <c r="Z50" s="646"/>
      <c r="AA50" s="646"/>
      <c r="AB50" s="646"/>
      <c r="AC50" s="646"/>
      <c r="AD50" s="646"/>
      <c r="AE50" s="646"/>
      <c r="AF50" s="646"/>
      <c r="AG50" s="646"/>
      <c r="AH50" s="646"/>
      <c r="AI50" s="646"/>
      <c r="AJ50" s="646"/>
      <c r="AK50" s="658"/>
    </row>
    <row r="51" spans="5:37" ht="15" customHeight="1" x14ac:dyDescent="0.55000000000000004">
      <c r="E51" s="687">
        <v>44724</v>
      </c>
      <c r="F51" s="688">
        <v>44604</v>
      </c>
      <c r="G51" s="640" t="s">
        <v>8</v>
      </c>
      <c r="H51" s="641" t="s">
        <v>8</v>
      </c>
      <c r="I51" s="641" t="s">
        <v>8</v>
      </c>
      <c r="J51" s="642" t="s">
        <v>8</v>
      </c>
      <c r="K51" s="640" t="s">
        <v>165</v>
      </c>
      <c r="L51" s="641" t="s">
        <v>165</v>
      </c>
      <c r="M51" s="642" t="s">
        <v>165</v>
      </c>
      <c r="N51" s="138">
        <v>0.1</v>
      </c>
      <c r="P51" s="653" t="str">
        <f>'Từ khóa'!F21</f>
        <v>Chi tiền cho tặng gia đình</v>
      </c>
      <c r="Q51" s="654"/>
      <c r="R51" s="654"/>
      <c r="S51" s="654"/>
      <c r="T51" s="655">
        <f>'Kế hoạch thu nhập và chi tiêu'!L35</f>
        <v>1</v>
      </c>
      <c r="U51" s="655"/>
      <c r="V51" s="263"/>
      <c r="W51" s="264">
        <f t="shared" ca="1" si="3"/>
        <v>0</v>
      </c>
      <c r="X51" s="656">
        <f t="shared" ca="1" si="4"/>
        <v>1</v>
      </c>
      <c r="Y51" s="657"/>
      <c r="Z51" s="646"/>
      <c r="AA51" s="646"/>
      <c r="AB51" s="646"/>
      <c r="AC51" s="646"/>
      <c r="AD51" s="646"/>
      <c r="AE51" s="646"/>
      <c r="AF51" s="646"/>
      <c r="AG51" s="646"/>
      <c r="AH51" s="646"/>
      <c r="AI51" s="646"/>
      <c r="AJ51" s="646"/>
      <c r="AK51" s="658"/>
    </row>
    <row r="52" spans="5:37" ht="15" customHeight="1" x14ac:dyDescent="0.55000000000000004">
      <c r="E52" s="687">
        <v>44732</v>
      </c>
      <c r="F52" s="688">
        <v>44612</v>
      </c>
      <c r="G52" s="640" t="s">
        <v>8</v>
      </c>
      <c r="H52" s="641"/>
      <c r="I52" s="641"/>
      <c r="J52" s="642"/>
      <c r="K52" s="640" t="s">
        <v>165</v>
      </c>
      <c r="L52" s="641"/>
      <c r="M52" s="642"/>
      <c r="N52" s="138">
        <v>0.7</v>
      </c>
      <c r="P52" s="653" t="str">
        <f>'Từ khóa'!F22</f>
        <v>Chi tiêu 1</v>
      </c>
      <c r="Q52" s="654"/>
      <c r="R52" s="654"/>
      <c r="S52" s="654"/>
      <c r="T52" s="655">
        <f>'Kế hoạch thu nhập và chi tiêu'!L36</f>
        <v>0</v>
      </c>
      <c r="U52" s="655"/>
      <c r="V52" s="263"/>
      <c r="W52" s="264">
        <f t="shared" ca="1" si="3"/>
        <v>0</v>
      </c>
      <c r="X52" s="656">
        <f t="shared" ca="1" si="4"/>
        <v>0</v>
      </c>
      <c r="Y52" s="657"/>
      <c r="Z52" s="646"/>
      <c r="AA52" s="646"/>
      <c r="AB52" s="646"/>
      <c r="AC52" s="646"/>
      <c r="AD52" s="646"/>
      <c r="AE52" s="646"/>
      <c r="AF52" s="646"/>
      <c r="AG52" s="646"/>
      <c r="AH52" s="646"/>
      <c r="AI52" s="646"/>
      <c r="AJ52" s="646"/>
      <c r="AK52" s="658"/>
    </row>
    <row r="53" spans="5:37" ht="15" customHeight="1" x14ac:dyDescent="0.55000000000000004">
      <c r="E53" s="687">
        <v>44734</v>
      </c>
      <c r="F53" s="688" t="s">
        <v>174</v>
      </c>
      <c r="G53" s="640" t="s">
        <v>5</v>
      </c>
      <c r="H53" s="641"/>
      <c r="I53" s="641"/>
      <c r="J53" s="642"/>
      <c r="K53" s="640"/>
      <c r="L53" s="641"/>
      <c r="M53" s="642"/>
      <c r="N53" s="138">
        <v>1.3</v>
      </c>
      <c r="P53" s="653" t="str">
        <f>'Từ khóa'!F23</f>
        <v>Chi tiêu 2</v>
      </c>
      <c r="Q53" s="654"/>
      <c r="R53" s="654"/>
      <c r="S53" s="654"/>
      <c r="T53" s="655">
        <f>'Kế hoạch thu nhập và chi tiêu'!L37</f>
        <v>0</v>
      </c>
      <c r="U53" s="655"/>
      <c r="V53" s="263"/>
      <c r="W53" s="264">
        <f t="shared" ca="1" si="3"/>
        <v>0</v>
      </c>
      <c r="X53" s="656">
        <f t="shared" ca="1" si="4"/>
        <v>0</v>
      </c>
      <c r="Y53" s="657"/>
      <c r="Z53" s="646"/>
      <c r="AA53" s="646"/>
      <c r="AB53" s="646"/>
      <c r="AC53" s="646"/>
      <c r="AD53" s="646"/>
      <c r="AE53" s="646"/>
      <c r="AF53" s="646"/>
      <c r="AG53" s="646"/>
      <c r="AH53" s="646"/>
      <c r="AI53" s="646"/>
      <c r="AJ53" s="646"/>
      <c r="AK53" s="658"/>
    </row>
    <row r="54" spans="5:37" ht="15" customHeight="1" x14ac:dyDescent="0.55000000000000004">
      <c r="E54" s="687">
        <v>44735</v>
      </c>
      <c r="F54" s="688">
        <v>44615</v>
      </c>
      <c r="G54" s="640" t="s">
        <v>7</v>
      </c>
      <c r="H54" s="641"/>
      <c r="I54" s="641"/>
      <c r="J54" s="642"/>
      <c r="K54" s="640"/>
      <c r="L54" s="641"/>
      <c r="M54" s="642"/>
      <c r="N54" s="138">
        <v>0.3</v>
      </c>
      <c r="P54" s="653" t="str">
        <f>'Từ khóa'!F24</f>
        <v>Chi tiêu 3</v>
      </c>
      <c r="Q54" s="654"/>
      <c r="R54" s="654"/>
      <c r="S54" s="654"/>
      <c r="T54" s="655">
        <f>'Kế hoạch thu nhập và chi tiêu'!L38</f>
        <v>0</v>
      </c>
      <c r="U54" s="655"/>
      <c r="V54" s="263"/>
      <c r="W54" s="264">
        <f t="shared" ca="1" si="3"/>
        <v>0</v>
      </c>
      <c r="X54" s="656">
        <f t="shared" ca="1" si="4"/>
        <v>0</v>
      </c>
      <c r="Y54" s="657"/>
      <c r="Z54" s="646"/>
      <c r="AA54" s="646"/>
      <c r="AB54" s="646"/>
      <c r="AC54" s="646"/>
      <c r="AD54" s="646"/>
      <c r="AE54" s="646"/>
      <c r="AF54" s="646"/>
      <c r="AG54" s="646"/>
      <c r="AH54" s="646"/>
      <c r="AI54" s="646"/>
      <c r="AJ54" s="646"/>
      <c r="AK54" s="658"/>
    </row>
    <row r="55" spans="5:37" ht="15" customHeight="1" x14ac:dyDescent="0.55000000000000004">
      <c r="E55" s="687">
        <v>44736</v>
      </c>
      <c r="F55" s="688">
        <v>44616</v>
      </c>
      <c r="G55" s="640" t="s">
        <v>10</v>
      </c>
      <c r="H55" s="641"/>
      <c r="I55" s="641"/>
      <c r="J55" s="642"/>
      <c r="K55" s="640" t="s">
        <v>163</v>
      </c>
      <c r="L55" s="641"/>
      <c r="M55" s="642"/>
      <c r="N55" s="138">
        <v>0.1</v>
      </c>
      <c r="P55" s="653" t="str">
        <f>'Từ khóa'!F25</f>
        <v>Chi tiêu 4</v>
      </c>
      <c r="Q55" s="654"/>
      <c r="R55" s="654"/>
      <c r="S55" s="654"/>
      <c r="T55" s="655">
        <f>'Kế hoạch thu nhập và chi tiêu'!L39</f>
        <v>0</v>
      </c>
      <c r="U55" s="655"/>
      <c r="V55" s="263"/>
      <c r="W55" s="264">
        <f t="shared" ca="1" si="3"/>
        <v>0</v>
      </c>
      <c r="X55" s="656">
        <f t="shared" ca="1" si="4"/>
        <v>0</v>
      </c>
      <c r="Y55" s="657"/>
      <c r="Z55" s="646"/>
      <c r="AA55" s="646"/>
      <c r="AB55" s="646"/>
      <c r="AC55" s="646"/>
      <c r="AD55" s="646"/>
      <c r="AE55" s="646"/>
      <c r="AF55" s="646"/>
      <c r="AG55" s="646"/>
      <c r="AH55" s="646"/>
      <c r="AI55" s="646"/>
      <c r="AJ55" s="646"/>
      <c r="AK55" s="658"/>
    </row>
    <row r="56" spans="5:37" ht="15" customHeight="1" x14ac:dyDescent="0.55000000000000004">
      <c r="E56" s="687">
        <v>44737</v>
      </c>
      <c r="F56" s="688">
        <v>44617</v>
      </c>
      <c r="G56" s="640" t="s">
        <v>6</v>
      </c>
      <c r="H56" s="641"/>
      <c r="I56" s="641"/>
      <c r="J56" s="642"/>
      <c r="K56" s="640"/>
      <c r="L56" s="641"/>
      <c r="M56" s="642"/>
      <c r="N56" s="138">
        <v>0.2</v>
      </c>
      <c r="P56" s="653" t="str">
        <f>'Từ khóa'!F26</f>
        <v>Chi tiêu 5</v>
      </c>
      <c r="Q56" s="654"/>
      <c r="R56" s="654"/>
      <c r="S56" s="654"/>
      <c r="T56" s="655">
        <f>'Kế hoạch thu nhập và chi tiêu'!L40</f>
        <v>0</v>
      </c>
      <c r="U56" s="655"/>
      <c r="V56" s="263"/>
      <c r="W56" s="264">
        <f t="shared" ca="1" si="3"/>
        <v>0</v>
      </c>
      <c r="X56" s="656">
        <f t="shared" ca="1" si="4"/>
        <v>0</v>
      </c>
      <c r="Y56" s="657"/>
      <c r="Z56" s="646"/>
      <c r="AA56" s="646"/>
      <c r="AB56" s="646"/>
      <c r="AC56" s="646"/>
      <c r="AD56" s="646"/>
      <c r="AE56" s="646"/>
      <c r="AF56" s="646"/>
      <c r="AG56" s="646"/>
      <c r="AH56" s="646"/>
      <c r="AI56" s="646"/>
      <c r="AJ56" s="646"/>
      <c r="AK56" s="658"/>
    </row>
    <row r="57" spans="5:37" ht="15.75" customHeight="1" thickBot="1" x14ac:dyDescent="0.6">
      <c r="E57" s="687">
        <v>44738</v>
      </c>
      <c r="F57" s="688">
        <v>44618</v>
      </c>
      <c r="G57" s="640" t="s">
        <v>7</v>
      </c>
      <c r="H57" s="641"/>
      <c r="I57" s="641"/>
      <c r="J57" s="642"/>
      <c r="K57" s="640"/>
      <c r="L57" s="641"/>
      <c r="M57" s="642"/>
      <c r="N57" s="138">
        <v>0.5</v>
      </c>
      <c r="P57" s="671" t="s">
        <v>317</v>
      </c>
      <c r="Q57" s="672"/>
      <c r="R57" s="672"/>
      <c r="S57" s="673"/>
      <c r="T57" s="674">
        <f>SUM(T42:U56)</f>
        <v>18.5</v>
      </c>
      <c r="U57" s="675"/>
      <c r="V57" s="674">
        <f ca="1">SUM(W42:W56)</f>
        <v>14.95</v>
      </c>
      <c r="W57" s="675"/>
      <c r="X57" s="674">
        <f t="shared" ref="X57" ca="1" si="5">SUM(X42:Y56)</f>
        <v>3.55</v>
      </c>
      <c r="Y57" s="675"/>
      <c r="Z57" s="669"/>
      <c r="AA57" s="669"/>
      <c r="AB57" s="669"/>
      <c r="AC57" s="669"/>
      <c r="AD57" s="669"/>
      <c r="AE57" s="669"/>
      <c r="AF57" s="669"/>
      <c r="AG57" s="669"/>
      <c r="AH57" s="669"/>
      <c r="AI57" s="669"/>
      <c r="AJ57" s="669"/>
      <c r="AK57" s="670"/>
    </row>
    <row r="58" spans="5:37" ht="15.75" customHeight="1" x14ac:dyDescent="0.55000000000000004">
      <c r="E58" s="687">
        <v>44739</v>
      </c>
      <c r="F58" s="688">
        <v>44619</v>
      </c>
      <c r="G58" s="640" t="s">
        <v>13</v>
      </c>
      <c r="H58" s="641"/>
      <c r="I58" s="641"/>
      <c r="J58" s="642"/>
      <c r="K58" s="640"/>
      <c r="L58" s="641"/>
      <c r="M58" s="642"/>
      <c r="N58" s="138">
        <v>6.5</v>
      </c>
      <c r="Q58" s="6"/>
      <c r="R58" s="6"/>
      <c r="S58" s="6"/>
      <c r="T58" s="6"/>
    </row>
    <row r="59" spans="5:37" ht="15.75" customHeight="1" x14ac:dyDescent="0.55000000000000004">
      <c r="E59" s="687">
        <v>44740</v>
      </c>
      <c r="F59" s="688" t="s">
        <v>174</v>
      </c>
      <c r="G59" s="640" t="s">
        <v>8</v>
      </c>
      <c r="H59" s="641"/>
      <c r="I59" s="641"/>
      <c r="J59" s="642"/>
      <c r="K59" s="640" t="s">
        <v>165</v>
      </c>
      <c r="L59" s="641"/>
      <c r="M59" s="642"/>
      <c r="N59" s="140">
        <v>0.2</v>
      </c>
      <c r="Q59" s="6"/>
      <c r="R59" s="6"/>
      <c r="S59" s="6"/>
      <c r="T59" s="6"/>
    </row>
    <row r="60" spans="5:37" ht="15" x14ac:dyDescent="0.55000000000000004">
      <c r="E60" s="638"/>
      <c r="F60" s="639"/>
      <c r="G60" s="640"/>
      <c r="H60" s="641"/>
      <c r="I60" s="641"/>
      <c r="J60" s="642"/>
      <c r="K60" s="640"/>
      <c r="L60" s="641"/>
      <c r="M60" s="642"/>
      <c r="N60" s="140"/>
    </row>
    <row r="61" spans="5:37" ht="15" x14ac:dyDescent="0.55000000000000004">
      <c r="E61" s="638"/>
      <c r="F61" s="639"/>
      <c r="G61" s="640"/>
      <c r="H61" s="641"/>
      <c r="I61" s="641"/>
      <c r="J61" s="642"/>
      <c r="K61" s="640"/>
      <c r="L61" s="641"/>
      <c r="M61" s="642"/>
      <c r="N61" s="140"/>
    </row>
    <row r="62" spans="5:37" ht="15" x14ac:dyDescent="0.55000000000000004">
      <c r="E62" s="638"/>
      <c r="F62" s="639"/>
      <c r="G62" s="640"/>
      <c r="H62" s="641"/>
      <c r="I62" s="641"/>
      <c r="J62" s="642"/>
      <c r="K62" s="640"/>
      <c r="L62" s="641"/>
      <c r="M62" s="642"/>
      <c r="N62" s="140"/>
    </row>
    <row r="63" spans="5:37" ht="15" x14ac:dyDescent="0.55000000000000004">
      <c r="E63" s="638"/>
      <c r="F63" s="639"/>
      <c r="G63" s="640"/>
      <c r="H63" s="641"/>
      <c r="I63" s="641"/>
      <c r="J63" s="642"/>
      <c r="K63" s="640"/>
      <c r="L63" s="641"/>
      <c r="M63" s="642"/>
      <c r="N63" s="140"/>
    </row>
    <row r="64" spans="5:37" ht="15" x14ac:dyDescent="0.55000000000000004">
      <c r="E64" s="638"/>
      <c r="F64" s="639"/>
      <c r="G64" s="640"/>
      <c r="H64" s="641"/>
      <c r="I64" s="641"/>
      <c r="J64" s="642"/>
      <c r="K64" s="640"/>
      <c r="L64" s="641"/>
      <c r="M64" s="642"/>
      <c r="N64" s="140"/>
    </row>
    <row r="65" spans="5:14" ht="15" x14ac:dyDescent="0.55000000000000004">
      <c r="E65" s="638"/>
      <c r="F65" s="639"/>
      <c r="G65" s="640"/>
      <c r="H65" s="641"/>
      <c r="I65" s="641"/>
      <c r="J65" s="642"/>
      <c r="K65" s="640"/>
      <c r="L65" s="641"/>
      <c r="M65" s="642"/>
      <c r="N65" s="140"/>
    </row>
    <row r="66" spans="5:14" ht="15" x14ac:dyDescent="0.55000000000000004">
      <c r="E66" s="638"/>
      <c r="F66" s="639"/>
      <c r="G66" s="640"/>
      <c r="H66" s="641"/>
      <c r="I66" s="641"/>
      <c r="J66" s="642"/>
      <c r="K66" s="640"/>
      <c r="L66" s="641"/>
      <c r="M66" s="642"/>
      <c r="N66" s="140"/>
    </row>
    <row r="67" spans="5:14" ht="15" x14ac:dyDescent="0.55000000000000004">
      <c r="E67" s="638"/>
      <c r="F67" s="639"/>
      <c r="G67" s="640"/>
      <c r="H67" s="641"/>
      <c r="I67" s="641"/>
      <c r="J67" s="642"/>
      <c r="K67" s="640"/>
      <c r="L67" s="641"/>
      <c r="M67" s="642"/>
      <c r="N67" s="140"/>
    </row>
    <row r="68" spans="5:14" ht="15" x14ac:dyDescent="0.55000000000000004">
      <c r="E68" s="638"/>
      <c r="F68" s="639"/>
      <c r="G68" s="640"/>
      <c r="H68" s="641"/>
      <c r="I68" s="641"/>
      <c r="J68" s="642"/>
      <c r="K68" s="640"/>
      <c r="L68" s="641"/>
      <c r="M68" s="642"/>
      <c r="N68" s="140"/>
    </row>
    <row r="69" spans="5:14" ht="15" x14ac:dyDescent="0.55000000000000004">
      <c r="E69" s="638"/>
      <c r="F69" s="639"/>
      <c r="G69" s="640"/>
      <c r="H69" s="641"/>
      <c r="I69" s="641"/>
      <c r="J69" s="642"/>
      <c r="K69" s="640"/>
      <c r="L69" s="641"/>
      <c r="M69" s="642"/>
      <c r="N69" s="140"/>
    </row>
    <row r="70" spans="5:14" ht="15" x14ac:dyDescent="0.55000000000000004">
      <c r="E70" s="638"/>
      <c r="F70" s="639"/>
      <c r="G70" s="640"/>
      <c r="H70" s="641"/>
      <c r="I70" s="641"/>
      <c r="J70" s="642"/>
      <c r="K70" s="640"/>
      <c r="L70" s="641"/>
      <c r="M70" s="642"/>
      <c r="N70" s="140"/>
    </row>
    <row r="71" spans="5:14" ht="15" x14ac:dyDescent="0.55000000000000004">
      <c r="E71" s="638"/>
      <c r="F71" s="639"/>
      <c r="G71" s="640"/>
      <c r="H71" s="641"/>
      <c r="I71" s="641"/>
      <c r="J71" s="642"/>
      <c r="K71" s="640"/>
      <c r="L71" s="641"/>
      <c r="M71" s="642"/>
      <c r="N71" s="140"/>
    </row>
    <row r="72" spans="5:14" ht="15" x14ac:dyDescent="0.55000000000000004">
      <c r="E72" s="638"/>
      <c r="F72" s="639"/>
      <c r="G72" s="640"/>
      <c r="H72" s="641"/>
      <c r="I72" s="641"/>
      <c r="J72" s="642"/>
      <c r="K72" s="640"/>
      <c r="L72" s="641"/>
      <c r="M72" s="642"/>
      <c r="N72" s="140"/>
    </row>
    <row r="73" spans="5:14" ht="15" x14ac:dyDescent="0.55000000000000004">
      <c r="E73" s="638"/>
      <c r="F73" s="639"/>
      <c r="G73" s="640"/>
      <c r="H73" s="641"/>
      <c r="I73" s="641"/>
      <c r="J73" s="642"/>
      <c r="K73" s="640"/>
      <c r="L73" s="641"/>
      <c r="M73" s="642"/>
      <c r="N73" s="140"/>
    </row>
    <row r="74" spans="5:14" ht="15" x14ac:dyDescent="0.55000000000000004">
      <c r="E74" s="638"/>
      <c r="F74" s="639"/>
      <c r="G74" s="640"/>
      <c r="H74" s="641"/>
      <c r="I74" s="641"/>
      <c r="J74" s="642"/>
      <c r="K74" s="640"/>
      <c r="L74" s="641"/>
      <c r="M74" s="642"/>
      <c r="N74" s="140"/>
    </row>
    <row r="75" spans="5:14" ht="15" x14ac:dyDescent="0.55000000000000004">
      <c r="E75" s="638"/>
      <c r="F75" s="639"/>
      <c r="G75" s="640"/>
      <c r="H75" s="641"/>
      <c r="I75" s="641"/>
      <c r="J75" s="642"/>
      <c r="K75" s="640"/>
      <c r="L75" s="641"/>
      <c r="M75" s="642"/>
      <c r="N75" s="140"/>
    </row>
    <row r="76" spans="5:14" ht="15" x14ac:dyDescent="0.55000000000000004">
      <c r="E76" s="638"/>
      <c r="F76" s="639"/>
      <c r="G76" s="640"/>
      <c r="H76" s="641"/>
      <c r="I76" s="641"/>
      <c r="J76" s="642"/>
      <c r="K76" s="640"/>
      <c r="L76" s="641"/>
      <c r="M76" s="642"/>
      <c r="N76" s="140"/>
    </row>
    <row r="77" spans="5:14" ht="15" x14ac:dyDescent="0.55000000000000004">
      <c r="E77" s="638"/>
      <c r="F77" s="639"/>
      <c r="G77" s="640"/>
      <c r="H77" s="641"/>
      <c r="I77" s="641"/>
      <c r="J77" s="642"/>
      <c r="K77" s="640"/>
      <c r="L77" s="641"/>
      <c r="M77" s="642"/>
      <c r="N77" s="140"/>
    </row>
    <row r="78" spans="5:14" ht="15" x14ac:dyDescent="0.55000000000000004">
      <c r="E78" s="638"/>
      <c r="F78" s="639"/>
      <c r="G78" s="640"/>
      <c r="H78" s="641"/>
      <c r="I78" s="641"/>
      <c r="J78" s="642"/>
      <c r="K78" s="640"/>
      <c r="L78" s="641"/>
      <c r="M78" s="642"/>
      <c r="N78" s="140"/>
    </row>
    <row r="79" spans="5:14" ht="15" x14ac:dyDescent="0.55000000000000004">
      <c r="E79" s="638"/>
      <c r="F79" s="639"/>
      <c r="G79" s="640"/>
      <c r="H79" s="641"/>
      <c r="I79" s="641"/>
      <c r="J79" s="642"/>
      <c r="K79" s="640"/>
      <c r="L79" s="641"/>
      <c r="M79" s="642"/>
      <c r="N79" s="140"/>
    </row>
    <row r="80" spans="5:14" ht="15" x14ac:dyDescent="0.55000000000000004">
      <c r="E80" s="638"/>
      <c r="F80" s="639"/>
      <c r="G80" s="640"/>
      <c r="H80" s="641"/>
      <c r="I80" s="641"/>
      <c r="J80" s="642"/>
      <c r="K80" s="640"/>
      <c r="L80" s="641"/>
      <c r="M80" s="642"/>
      <c r="N80" s="140"/>
    </row>
    <row r="81" spans="1:31" ht="15" x14ac:dyDescent="0.55000000000000004">
      <c r="E81" s="638"/>
      <c r="F81" s="639"/>
      <c r="G81" s="640"/>
      <c r="H81" s="641"/>
      <c r="I81" s="641"/>
      <c r="J81" s="642"/>
      <c r="K81" s="640"/>
      <c r="L81" s="641"/>
      <c r="M81" s="642"/>
      <c r="N81" s="140"/>
    </row>
    <row r="82" spans="1:31" ht="15" x14ac:dyDescent="0.55000000000000004">
      <c r="E82" s="638"/>
      <c r="F82" s="639"/>
      <c r="G82" s="640"/>
      <c r="H82" s="641"/>
      <c r="I82" s="641"/>
      <c r="J82" s="642"/>
      <c r="K82" s="640"/>
      <c r="L82" s="641"/>
      <c r="M82" s="642"/>
      <c r="N82" s="140"/>
    </row>
    <row r="83" spans="1:31" ht="15.4" thickBot="1" x14ac:dyDescent="0.6">
      <c r="E83" s="671" t="s">
        <v>317</v>
      </c>
      <c r="F83" s="672"/>
      <c r="G83" s="672"/>
      <c r="H83" s="672"/>
      <c r="I83" s="672"/>
      <c r="J83" s="672"/>
      <c r="K83" s="672"/>
      <c r="L83" s="672"/>
      <c r="M83" s="673"/>
      <c r="N83" s="143">
        <f>SUM(N42:N82)</f>
        <v>14.95</v>
      </c>
    </row>
    <row r="86" spans="1:31" ht="15" customHeight="1" x14ac:dyDescent="0.45">
      <c r="E86" s="532" t="s">
        <v>348</v>
      </c>
      <c r="F86" s="532"/>
      <c r="G86" s="532"/>
      <c r="H86" s="532"/>
      <c r="I86" s="532"/>
      <c r="J86" s="532"/>
      <c r="K86" s="532"/>
      <c r="L86" s="532"/>
      <c r="M86" s="532"/>
      <c r="N86" s="5"/>
      <c r="O86" s="5"/>
      <c r="P86" s="5"/>
      <c r="Q86" s="5"/>
      <c r="R86" s="5"/>
      <c r="S86" s="6"/>
      <c r="T86" s="6"/>
      <c r="U86" s="6"/>
      <c r="V86" s="6"/>
      <c r="W86" s="6"/>
      <c r="X86" s="6"/>
      <c r="Y86" s="6"/>
      <c r="Z86" s="6"/>
      <c r="AA86" s="6"/>
    </row>
    <row r="87" spans="1:31" s="8" customFormat="1" ht="15" customHeight="1" thickBot="1" x14ac:dyDescent="0.5">
      <c r="A87" s="7"/>
      <c r="B87" s="7"/>
      <c r="C87" s="7"/>
      <c r="E87" s="533"/>
      <c r="F87" s="533"/>
      <c r="G87" s="533"/>
      <c r="H87" s="533"/>
      <c r="I87" s="533"/>
      <c r="J87" s="533"/>
      <c r="K87" s="533"/>
      <c r="L87" s="533"/>
      <c r="M87" s="533"/>
      <c r="N87" s="9"/>
      <c r="O87" s="9"/>
      <c r="P87" s="9"/>
      <c r="Q87" s="9"/>
      <c r="R87" s="9"/>
      <c r="S87" s="10"/>
      <c r="T87" s="10"/>
      <c r="U87" s="10"/>
      <c r="V87" s="10"/>
      <c r="W87" s="10"/>
      <c r="X87" s="10"/>
      <c r="Y87" s="10"/>
      <c r="Z87" s="10"/>
      <c r="AA87" s="10"/>
    </row>
    <row r="88" spans="1:31" ht="14.65" thickBot="1" x14ac:dyDescent="0.5"/>
    <row r="89" spans="1:31" ht="14.65" thickBot="1" x14ac:dyDescent="0.5">
      <c r="E89" s="620" t="s">
        <v>350</v>
      </c>
      <c r="F89" s="621"/>
      <c r="G89" s="621"/>
      <c r="H89" s="621"/>
      <c r="I89" s="621"/>
      <c r="J89" s="621"/>
      <c r="K89" s="621"/>
      <c r="L89" s="621"/>
      <c r="M89" s="621"/>
      <c r="N89" s="621"/>
      <c r="O89" s="621"/>
      <c r="P89" s="621"/>
      <c r="Q89" s="621"/>
      <c r="R89" s="621"/>
      <c r="S89" s="621"/>
      <c r="T89" s="621"/>
      <c r="U89" s="621"/>
      <c r="V89" s="621"/>
      <c r="W89" s="621"/>
      <c r="X89" s="621"/>
      <c r="Y89" s="622"/>
      <c r="AA89" s="629" t="s">
        <v>353</v>
      </c>
      <c r="AB89" s="630"/>
      <c r="AC89" s="630"/>
      <c r="AD89" s="630"/>
      <c r="AE89" s="631"/>
    </row>
    <row r="90" spans="1:31" x14ac:dyDescent="0.45">
      <c r="E90" s="615" t="s">
        <v>146</v>
      </c>
      <c r="F90" s="350"/>
      <c r="G90" s="350" t="s">
        <v>349</v>
      </c>
      <c r="H90" s="350"/>
      <c r="I90" s="350" t="s">
        <v>345</v>
      </c>
      <c r="J90" s="350"/>
      <c r="K90" s="133" t="s">
        <v>148</v>
      </c>
      <c r="L90" s="350" t="s">
        <v>166</v>
      </c>
      <c r="M90" s="350"/>
      <c r="N90" s="350"/>
      <c r="O90" s="350"/>
      <c r="P90" s="350"/>
      <c r="Q90" s="350"/>
      <c r="R90" s="350"/>
      <c r="S90" s="350" t="s">
        <v>352</v>
      </c>
      <c r="T90" s="350"/>
      <c r="U90" s="350"/>
      <c r="V90" s="350"/>
      <c r="W90" s="350"/>
      <c r="X90" s="350"/>
      <c r="Y90" s="614"/>
      <c r="AA90" s="615" t="s">
        <v>147</v>
      </c>
      <c r="AB90" s="350"/>
      <c r="AC90" s="350"/>
      <c r="AD90" s="350"/>
      <c r="AE90" s="616" t="s">
        <v>324</v>
      </c>
    </row>
    <row r="91" spans="1:31" ht="15" x14ac:dyDescent="0.45">
      <c r="E91" s="680">
        <v>44723</v>
      </c>
      <c r="F91" s="681"/>
      <c r="G91" s="555" t="s">
        <v>23</v>
      </c>
      <c r="H91" s="555"/>
      <c r="I91" s="555" t="s">
        <v>167</v>
      </c>
      <c r="J91" s="555"/>
      <c r="K91" s="149">
        <v>0.1</v>
      </c>
      <c r="L91" s="619" t="s">
        <v>168</v>
      </c>
      <c r="M91" s="619"/>
      <c r="N91" s="619"/>
      <c r="O91" s="619"/>
      <c r="P91" s="619"/>
      <c r="Q91" s="619"/>
      <c r="R91" s="619"/>
      <c r="S91" s="555"/>
      <c r="T91" s="555"/>
      <c r="U91" s="555"/>
      <c r="V91" s="555"/>
      <c r="W91" s="555"/>
      <c r="X91" s="555"/>
      <c r="Y91" s="556"/>
      <c r="AA91" s="615"/>
      <c r="AB91" s="350"/>
      <c r="AC91" s="350"/>
      <c r="AD91" s="350"/>
      <c r="AE91" s="616"/>
    </row>
    <row r="92" spans="1:31" ht="15" x14ac:dyDescent="0.45">
      <c r="E92" s="680">
        <v>44724</v>
      </c>
      <c r="F92" s="681"/>
      <c r="G92" s="557" t="s">
        <v>24</v>
      </c>
      <c r="H92" s="557"/>
      <c r="I92" s="557" t="s">
        <v>329</v>
      </c>
      <c r="J92" s="557"/>
      <c r="K92" s="150">
        <v>0.1</v>
      </c>
      <c r="L92" s="606" t="s">
        <v>168</v>
      </c>
      <c r="M92" s="606"/>
      <c r="N92" s="606"/>
      <c r="O92" s="606"/>
      <c r="P92" s="606"/>
      <c r="Q92" s="606"/>
      <c r="R92" s="606"/>
      <c r="S92" s="557"/>
      <c r="T92" s="557"/>
      <c r="U92" s="557"/>
      <c r="V92" s="557"/>
      <c r="W92" s="557"/>
      <c r="X92" s="557"/>
      <c r="Y92" s="558"/>
      <c r="AA92" s="610" t="str">
        <f>'Từ khóa'!S12:S12</f>
        <v>Mua sách</v>
      </c>
      <c r="AB92" s="611"/>
      <c r="AC92" s="611"/>
      <c r="AD92" s="611"/>
      <c r="AE92" s="265">
        <f ca="1">SUMIF($G$91:$H$105,AA92,$K$91:$K$105)</f>
        <v>0.1</v>
      </c>
    </row>
    <row r="93" spans="1:31" ht="15" x14ac:dyDescent="0.45">
      <c r="E93" s="680">
        <v>44732</v>
      </c>
      <c r="F93" s="681"/>
      <c r="G93" s="557" t="s">
        <v>24</v>
      </c>
      <c r="H93" s="557"/>
      <c r="I93" s="557" t="s">
        <v>380</v>
      </c>
      <c r="J93" s="557"/>
      <c r="K93" s="150">
        <v>0.7</v>
      </c>
      <c r="L93" s="606" t="s">
        <v>381</v>
      </c>
      <c r="M93" s="606"/>
      <c r="N93" s="606"/>
      <c r="O93" s="606"/>
      <c r="P93" s="606"/>
      <c r="Q93" s="606"/>
      <c r="R93" s="606"/>
      <c r="S93" s="557"/>
      <c r="T93" s="557"/>
      <c r="U93" s="557"/>
      <c r="V93" s="557"/>
      <c r="W93" s="557"/>
      <c r="X93" s="557"/>
      <c r="Y93" s="558"/>
      <c r="AA93" s="612" t="str">
        <f>'Từ khóa'!S13:S13</f>
        <v>Khóa học ngắn hạn</v>
      </c>
      <c r="AB93" s="613"/>
      <c r="AC93" s="613"/>
      <c r="AD93" s="613"/>
      <c r="AE93" s="266">
        <f t="shared" ref="AE93:AE101" ca="1" si="6">SUMIF($G$91:$H$105,AA93,$K$91:$K$105)</f>
        <v>1</v>
      </c>
    </row>
    <row r="94" spans="1:31" ht="15" x14ac:dyDescent="0.45">
      <c r="E94" s="680">
        <v>44740</v>
      </c>
      <c r="F94" s="681"/>
      <c r="G94" s="557" t="s">
        <v>24</v>
      </c>
      <c r="H94" s="557"/>
      <c r="I94" s="720" t="s">
        <v>392</v>
      </c>
      <c r="J94" s="720"/>
      <c r="K94" s="150">
        <v>0.2</v>
      </c>
      <c r="L94" s="721" t="s">
        <v>393</v>
      </c>
      <c r="M94" s="721"/>
      <c r="N94" s="721"/>
      <c r="O94" s="721"/>
      <c r="P94" s="721"/>
      <c r="Q94" s="721"/>
      <c r="R94" s="721"/>
      <c r="S94" s="557"/>
      <c r="T94" s="557"/>
      <c r="U94" s="557"/>
      <c r="V94" s="557"/>
      <c r="W94" s="557"/>
      <c r="X94" s="557"/>
      <c r="Y94" s="558"/>
      <c r="AA94" s="612" t="str">
        <f>'Từ khóa'!S14:S14</f>
        <v>Khóa học dài hạn</v>
      </c>
      <c r="AB94" s="613"/>
      <c r="AC94" s="613"/>
      <c r="AD94" s="613"/>
      <c r="AE94" s="266">
        <f t="shared" ca="1" si="6"/>
        <v>0</v>
      </c>
    </row>
    <row r="95" spans="1:31" x14ac:dyDescent="0.45">
      <c r="E95" s="604"/>
      <c r="F95" s="605"/>
      <c r="G95" s="557"/>
      <c r="H95" s="557"/>
      <c r="I95" s="557"/>
      <c r="J95" s="557"/>
      <c r="K95" s="150"/>
      <c r="L95" s="606"/>
      <c r="M95" s="606"/>
      <c r="N95" s="606"/>
      <c r="O95" s="606"/>
      <c r="P95" s="606"/>
      <c r="Q95" s="606"/>
      <c r="R95" s="606"/>
      <c r="S95" s="557"/>
      <c r="T95" s="557"/>
      <c r="U95" s="557"/>
      <c r="V95" s="557"/>
      <c r="W95" s="557"/>
      <c r="X95" s="557"/>
      <c r="Y95" s="558"/>
      <c r="AA95" s="612" t="e">
        <f>'Từ khóa'!#REF!</f>
        <v>#REF!</v>
      </c>
      <c r="AB95" s="613"/>
      <c r="AC95" s="613"/>
      <c r="AD95" s="613"/>
      <c r="AE95" s="266">
        <f t="shared" ca="1" si="6"/>
        <v>0</v>
      </c>
    </row>
    <row r="96" spans="1:31" x14ac:dyDescent="0.45">
      <c r="E96" s="604"/>
      <c r="F96" s="605"/>
      <c r="G96" s="557"/>
      <c r="H96" s="557"/>
      <c r="I96" s="557"/>
      <c r="J96" s="557"/>
      <c r="K96" s="150"/>
      <c r="L96" s="606"/>
      <c r="M96" s="606"/>
      <c r="N96" s="606"/>
      <c r="O96" s="606"/>
      <c r="P96" s="606"/>
      <c r="Q96" s="606"/>
      <c r="R96" s="606"/>
      <c r="S96" s="557"/>
      <c r="T96" s="557"/>
      <c r="U96" s="557"/>
      <c r="V96" s="557"/>
      <c r="W96" s="557"/>
      <c r="X96" s="557"/>
      <c r="Y96" s="558"/>
      <c r="AA96" s="612" t="str">
        <f>'Từ khóa'!S15:S15</f>
        <v>Tham gia các buổi diễn thuyết</v>
      </c>
      <c r="AB96" s="613"/>
      <c r="AC96" s="613"/>
      <c r="AD96" s="613"/>
      <c r="AE96" s="266">
        <f t="shared" ca="1" si="6"/>
        <v>0</v>
      </c>
    </row>
    <row r="97" spans="5:31" x14ac:dyDescent="0.45">
      <c r="E97" s="604"/>
      <c r="F97" s="605"/>
      <c r="G97" s="557"/>
      <c r="H97" s="557"/>
      <c r="I97" s="557"/>
      <c r="J97" s="557"/>
      <c r="K97" s="150"/>
      <c r="L97" s="606"/>
      <c r="M97" s="606"/>
      <c r="N97" s="606"/>
      <c r="O97" s="606"/>
      <c r="P97" s="606"/>
      <c r="Q97" s="606"/>
      <c r="R97" s="606"/>
      <c r="S97" s="557"/>
      <c r="T97" s="557"/>
      <c r="U97" s="557"/>
      <c r="V97" s="557"/>
      <c r="W97" s="557"/>
      <c r="X97" s="557"/>
      <c r="Y97" s="558"/>
      <c r="AA97" s="612" t="str">
        <f>'Từ khóa'!S16:S16</f>
        <v>Chi phát triển bản thân khác</v>
      </c>
      <c r="AB97" s="613"/>
      <c r="AC97" s="613"/>
      <c r="AD97" s="613"/>
      <c r="AE97" s="266">
        <f t="shared" ca="1" si="6"/>
        <v>0</v>
      </c>
    </row>
    <row r="98" spans="5:31" x14ac:dyDescent="0.45">
      <c r="E98" s="604"/>
      <c r="F98" s="605"/>
      <c r="G98" s="557"/>
      <c r="H98" s="557"/>
      <c r="I98" s="557"/>
      <c r="J98" s="557"/>
      <c r="K98" s="150"/>
      <c r="L98" s="606"/>
      <c r="M98" s="606"/>
      <c r="N98" s="606"/>
      <c r="O98" s="606"/>
      <c r="P98" s="606"/>
      <c r="Q98" s="606"/>
      <c r="R98" s="606"/>
      <c r="S98" s="557"/>
      <c r="T98" s="557"/>
      <c r="U98" s="557"/>
      <c r="V98" s="557"/>
      <c r="W98" s="557"/>
      <c r="X98" s="557"/>
      <c r="Y98" s="558"/>
      <c r="AA98" s="612">
        <f>'Từ khóa'!S18:S18</f>
        <v>0</v>
      </c>
      <c r="AB98" s="613"/>
      <c r="AC98" s="613"/>
      <c r="AD98" s="613"/>
      <c r="AE98" s="266">
        <f t="shared" ca="1" si="6"/>
        <v>0</v>
      </c>
    </row>
    <row r="99" spans="5:31" x14ac:dyDescent="0.45">
      <c r="E99" s="604"/>
      <c r="F99" s="605"/>
      <c r="G99" s="557"/>
      <c r="H99" s="557"/>
      <c r="I99" s="557"/>
      <c r="J99" s="557"/>
      <c r="K99" s="150"/>
      <c r="L99" s="606"/>
      <c r="M99" s="606"/>
      <c r="N99" s="606"/>
      <c r="O99" s="606"/>
      <c r="P99" s="606"/>
      <c r="Q99" s="606"/>
      <c r="R99" s="606"/>
      <c r="S99" s="557"/>
      <c r="T99" s="557"/>
      <c r="U99" s="557"/>
      <c r="V99" s="557"/>
      <c r="W99" s="557"/>
      <c r="X99" s="557"/>
      <c r="Y99" s="558"/>
      <c r="AA99" s="612">
        <f>'Từ khóa'!S19:S19</f>
        <v>0</v>
      </c>
      <c r="AB99" s="613"/>
      <c r="AC99" s="613"/>
      <c r="AD99" s="613"/>
      <c r="AE99" s="266">
        <f t="shared" ca="1" si="6"/>
        <v>0</v>
      </c>
    </row>
    <row r="100" spans="5:31" x14ac:dyDescent="0.45">
      <c r="E100" s="604"/>
      <c r="F100" s="605"/>
      <c r="G100" s="557"/>
      <c r="H100" s="557"/>
      <c r="I100" s="557"/>
      <c r="J100" s="557"/>
      <c r="K100" s="150"/>
      <c r="L100" s="606"/>
      <c r="M100" s="606"/>
      <c r="N100" s="606"/>
      <c r="O100" s="606"/>
      <c r="P100" s="606"/>
      <c r="Q100" s="606"/>
      <c r="R100" s="606"/>
      <c r="S100" s="557"/>
      <c r="T100" s="557"/>
      <c r="U100" s="557"/>
      <c r="V100" s="557"/>
      <c r="W100" s="557"/>
      <c r="X100" s="557"/>
      <c r="Y100" s="558"/>
      <c r="AA100" s="612">
        <f>'Từ khóa'!S20:S20</f>
        <v>0</v>
      </c>
      <c r="AB100" s="613"/>
      <c r="AC100" s="613"/>
      <c r="AD100" s="613"/>
      <c r="AE100" s="266">
        <f t="shared" ca="1" si="6"/>
        <v>0</v>
      </c>
    </row>
    <row r="101" spans="5:31" ht="14.65" thickBot="1" x14ac:dyDescent="0.5">
      <c r="E101" s="604"/>
      <c r="F101" s="605"/>
      <c r="G101" s="557"/>
      <c r="H101" s="557"/>
      <c r="I101" s="557"/>
      <c r="J101" s="557"/>
      <c r="K101" s="150"/>
      <c r="L101" s="606"/>
      <c r="M101" s="606"/>
      <c r="N101" s="606"/>
      <c r="O101" s="606"/>
      <c r="P101" s="606"/>
      <c r="Q101" s="606"/>
      <c r="R101" s="606"/>
      <c r="S101" s="557"/>
      <c r="T101" s="557"/>
      <c r="U101" s="557"/>
      <c r="V101" s="557"/>
      <c r="W101" s="557"/>
      <c r="X101" s="557"/>
      <c r="Y101" s="558"/>
      <c r="AA101" s="596">
        <f>'Từ khóa'!S21:S21</f>
        <v>0</v>
      </c>
      <c r="AB101" s="597"/>
      <c r="AC101" s="597"/>
      <c r="AD101" s="597"/>
      <c r="AE101" s="267">
        <f t="shared" ca="1" si="6"/>
        <v>0</v>
      </c>
    </row>
    <row r="102" spans="5:31" ht="14.65" thickBot="1" x14ac:dyDescent="0.5">
      <c r="E102" s="604"/>
      <c r="F102" s="605"/>
      <c r="G102" s="557"/>
      <c r="H102" s="557"/>
      <c r="I102" s="557"/>
      <c r="J102" s="557"/>
      <c r="K102" s="150"/>
      <c r="L102" s="606"/>
      <c r="M102" s="606"/>
      <c r="N102" s="606"/>
      <c r="O102" s="606"/>
      <c r="P102" s="606"/>
      <c r="Q102" s="606"/>
      <c r="R102" s="606"/>
      <c r="S102" s="557"/>
      <c r="T102" s="557"/>
      <c r="U102" s="557"/>
      <c r="V102" s="557"/>
      <c r="W102" s="557"/>
      <c r="X102" s="557"/>
      <c r="Y102" s="558"/>
      <c r="AA102" s="598" t="s">
        <v>351</v>
      </c>
      <c r="AB102" s="599"/>
      <c r="AC102" s="599"/>
      <c r="AD102" s="599"/>
      <c r="AE102" s="148">
        <f ca="1">SUM(AE92:AE101)</f>
        <v>1.1000000000000001</v>
      </c>
    </row>
    <row r="103" spans="5:31" x14ac:dyDescent="0.45">
      <c r="E103" s="604"/>
      <c r="F103" s="605"/>
      <c r="G103" s="557"/>
      <c r="H103" s="557"/>
      <c r="I103" s="557"/>
      <c r="J103" s="557"/>
      <c r="K103" s="150"/>
      <c r="L103" s="606"/>
      <c r="M103" s="606"/>
      <c r="N103" s="606"/>
      <c r="O103" s="606"/>
      <c r="P103" s="606"/>
      <c r="Q103" s="606"/>
      <c r="R103" s="606"/>
      <c r="S103" s="557"/>
      <c r="T103" s="557"/>
      <c r="U103" s="557"/>
      <c r="V103" s="557"/>
      <c r="W103" s="557"/>
      <c r="X103" s="557"/>
      <c r="Y103" s="558"/>
      <c r="AA103" s="600"/>
      <c r="AB103" s="600"/>
      <c r="AC103" s="600"/>
      <c r="AD103" s="600"/>
    </row>
    <row r="104" spans="5:31" x14ac:dyDescent="0.45">
      <c r="E104" s="604"/>
      <c r="F104" s="605"/>
      <c r="G104" s="557"/>
      <c r="H104" s="557"/>
      <c r="I104" s="557"/>
      <c r="J104" s="557"/>
      <c r="K104" s="150"/>
      <c r="L104" s="606"/>
      <c r="M104" s="606"/>
      <c r="N104" s="606"/>
      <c r="O104" s="606"/>
      <c r="P104" s="606"/>
      <c r="Q104" s="606"/>
      <c r="R104" s="606"/>
      <c r="S104" s="557"/>
      <c r="T104" s="557"/>
      <c r="U104" s="557"/>
      <c r="V104" s="557"/>
      <c r="W104" s="557"/>
      <c r="X104" s="557"/>
      <c r="Y104" s="558"/>
      <c r="AA104" s="600"/>
      <c r="AB104" s="600"/>
      <c r="AC104" s="600"/>
      <c r="AD104" s="600"/>
    </row>
    <row r="105" spans="5:31" ht="14.65" thickBot="1" x14ac:dyDescent="0.5">
      <c r="E105" s="607"/>
      <c r="F105" s="608"/>
      <c r="G105" s="546"/>
      <c r="H105" s="546"/>
      <c r="I105" s="546"/>
      <c r="J105" s="546"/>
      <c r="K105" s="151"/>
      <c r="L105" s="609"/>
      <c r="M105" s="609"/>
      <c r="N105" s="609"/>
      <c r="O105" s="609"/>
      <c r="P105" s="609"/>
      <c r="Q105" s="609"/>
      <c r="R105" s="609"/>
      <c r="S105" s="546"/>
      <c r="T105" s="546"/>
      <c r="U105" s="546"/>
      <c r="V105" s="546"/>
      <c r="W105" s="546"/>
      <c r="X105" s="546"/>
      <c r="Y105" s="547"/>
      <c r="AA105" s="600"/>
      <c r="AB105" s="600"/>
      <c r="AC105" s="600"/>
      <c r="AD105" s="600"/>
    </row>
    <row r="106" spans="5:31" ht="14.65" thickBot="1" x14ac:dyDescent="0.5">
      <c r="E106" s="601" t="s">
        <v>351</v>
      </c>
      <c r="F106" s="602"/>
      <c r="G106" s="602"/>
      <c r="H106" s="602"/>
      <c r="I106" s="602"/>
      <c r="J106" s="602"/>
      <c r="K106" s="603">
        <f>SUM(K91:K105)</f>
        <v>1.0999999999999999</v>
      </c>
      <c r="L106" s="603"/>
      <c r="M106" s="603"/>
      <c r="N106" s="603"/>
      <c r="O106" s="603"/>
      <c r="P106" s="603"/>
      <c r="Q106" s="603"/>
      <c r="R106" s="603"/>
      <c r="S106" s="141"/>
      <c r="T106" s="141"/>
      <c r="U106" s="141"/>
      <c r="V106" s="141"/>
      <c r="W106" s="141"/>
      <c r="X106" s="141"/>
      <c r="Y106" s="142"/>
    </row>
  </sheetData>
  <sheetProtection algorithmName="SHA-512" hashValue="/TqR+B75c3yKDwCXdyqsDfr0mvXsJN4uUmoukhNSgJu1GYFiwASOKDSMwfs86toE+VxIdn38SNUAKhtnRCWQrQ==" saltValue="6lgycbI9o1+yiw1p+R5ifQ==" spinCount="100000" sheet="1" formatCells="0" formatColumns="0" formatRows="0" insertColumns="0" insertRows="0" insertHyperlinks="0" deleteColumns="0" deleteRows="0" sort="0" autoFilter="0" pivotTables="0"/>
  <mergeCells count="423">
    <mergeCell ref="E1:K3"/>
    <mergeCell ref="E6:M7"/>
    <mergeCell ref="E9:H12"/>
    <mergeCell ref="I9:I12"/>
    <mergeCell ref="E14:H17"/>
    <mergeCell ref="I14:I17"/>
    <mergeCell ref="E19:H22"/>
    <mergeCell ref="I19:I22"/>
    <mergeCell ref="E25:N25"/>
    <mergeCell ref="P25:AK25"/>
    <mergeCell ref="E26:F26"/>
    <mergeCell ref="G26:J26"/>
    <mergeCell ref="K26:M26"/>
    <mergeCell ref="P26:S26"/>
    <mergeCell ref="T26:U26"/>
    <mergeCell ref="V26:W26"/>
    <mergeCell ref="X26:Y26"/>
    <mergeCell ref="Z26:AE26"/>
    <mergeCell ref="AF26:AK26"/>
    <mergeCell ref="E27:F27"/>
    <mergeCell ref="G27:J27"/>
    <mergeCell ref="K27:M27"/>
    <mergeCell ref="P27:S27"/>
    <mergeCell ref="T27:U27"/>
    <mergeCell ref="X27:Y27"/>
    <mergeCell ref="Z27:AE27"/>
    <mergeCell ref="AF27:AK27"/>
    <mergeCell ref="E28:F28"/>
    <mergeCell ref="G28:J28"/>
    <mergeCell ref="K28:M28"/>
    <mergeCell ref="P28:S28"/>
    <mergeCell ref="T28:U28"/>
    <mergeCell ref="X28:Y28"/>
    <mergeCell ref="Z28:AE28"/>
    <mergeCell ref="AF28:AK28"/>
    <mergeCell ref="Z29:AE29"/>
    <mergeCell ref="AF29:AK29"/>
    <mergeCell ref="E30:F30"/>
    <mergeCell ref="G30:J30"/>
    <mergeCell ref="K30:M30"/>
    <mergeCell ref="P30:S30"/>
    <mergeCell ref="T30:U30"/>
    <mergeCell ref="X30:Y30"/>
    <mergeCell ref="Z30:AE30"/>
    <mergeCell ref="AF30:AK30"/>
    <mergeCell ref="E29:F29"/>
    <mergeCell ref="G29:J29"/>
    <mergeCell ref="K29:M29"/>
    <mergeCell ref="P29:S29"/>
    <mergeCell ref="T29:U29"/>
    <mergeCell ref="X29:Y29"/>
    <mergeCell ref="Z31:AE31"/>
    <mergeCell ref="AF31:AK31"/>
    <mergeCell ref="E32:F32"/>
    <mergeCell ref="G32:J32"/>
    <mergeCell ref="K32:M32"/>
    <mergeCell ref="P32:S32"/>
    <mergeCell ref="T32:U32"/>
    <mergeCell ref="X32:Y32"/>
    <mergeCell ref="Z32:AE32"/>
    <mergeCell ref="AF32:AK32"/>
    <mergeCell ref="E31:F31"/>
    <mergeCell ref="G31:J31"/>
    <mergeCell ref="K31:M31"/>
    <mergeCell ref="P31:S31"/>
    <mergeCell ref="T31:U31"/>
    <mergeCell ref="X31:Y31"/>
    <mergeCell ref="Z33:AE33"/>
    <mergeCell ref="AF33:AK33"/>
    <mergeCell ref="E34:F34"/>
    <mergeCell ref="G34:J34"/>
    <mergeCell ref="K34:M34"/>
    <mergeCell ref="P34:S34"/>
    <mergeCell ref="T34:U34"/>
    <mergeCell ref="X34:Y34"/>
    <mergeCell ref="Z34:AE34"/>
    <mergeCell ref="AF34:AK34"/>
    <mergeCell ref="E33:F33"/>
    <mergeCell ref="G33:J33"/>
    <mergeCell ref="K33:M33"/>
    <mergeCell ref="P33:S33"/>
    <mergeCell ref="T33:U33"/>
    <mergeCell ref="X33:Y33"/>
    <mergeCell ref="Z35:AE35"/>
    <mergeCell ref="AF35:AK35"/>
    <mergeCell ref="E36:F36"/>
    <mergeCell ref="G36:J36"/>
    <mergeCell ref="K36:M36"/>
    <mergeCell ref="P36:S36"/>
    <mergeCell ref="T36:U36"/>
    <mergeCell ref="X36:Y36"/>
    <mergeCell ref="Z36:AE36"/>
    <mergeCell ref="AF36:AK36"/>
    <mergeCell ref="E35:F35"/>
    <mergeCell ref="G35:J35"/>
    <mergeCell ref="K35:M35"/>
    <mergeCell ref="P35:S35"/>
    <mergeCell ref="T35:U35"/>
    <mergeCell ref="X35:Y35"/>
    <mergeCell ref="AF37:AK37"/>
    <mergeCell ref="E40:N40"/>
    <mergeCell ref="P40:AK40"/>
    <mergeCell ref="E41:F41"/>
    <mergeCell ref="G41:J41"/>
    <mergeCell ref="K41:M41"/>
    <mergeCell ref="P41:S41"/>
    <mergeCell ref="T41:U41"/>
    <mergeCell ref="V41:W41"/>
    <mergeCell ref="X41:Y41"/>
    <mergeCell ref="E37:M37"/>
    <mergeCell ref="P37:S37"/>
    <mergeCell ref="T37:U37"/>
    <mergeCell ref="V37:W37"/>
    <mergeCell ref="X37:Y37"/>
    <mergeCell ref="Z37:AE37"/>
    <mergeCell ref="Z41:AE41"/>
    <mergeCell ref="AF41:AK41"/>
    <mergeCell ref="E42:F42"/>
    <mergeCell ref="G42:J42"/>
    <mergeCell ref="K42:M42"/>
    <mergeCell ref="P42:S42"/>
    <mergeCell ref="T42:U42"/>
    <mergeCell ref="X42:Y42"/>
    <mergeCell ref="Z42:AE42"/>
    <mergeCell ref="AF42:AK42"/>
    <mergeCell ref="Z43:AE43"/>
    <mergeCell ref="AF43:AK43"/>
    <mergeCell ref="E44:F44"/>
    <mergeCell ref="G44:J44"/>
    <mergeCell ref="K44:M44"/>
    <mergeCell ref="P44:S44"/>
    <mergeCell ref="T44:U44"/>
    <mergeCell ref="X44:Y44"/>
    <mergeCell ref="Z44:AE44"/>
    <mergeCell ref="AF44:AK44"/>
    <mergeCell ref="E43:F43"/>
    <mergeCell ref="G43:J43"/>
    <mergeCell ref="K43:M43"/>
    <mergeCell ref="P43:S43"/>
    <mergeCell ref="T43:U43"/>
    <mergeCell ref="X43:Y43"/>
    <mergeCell ref="Z45:AE45"/>
    <mergeCell ref="AF45:AK45"/>
    <mergeCell ref="E46:F46"/>
    <mergeCell ref="G46:J46"/>
    <mergeCell ref="K46:M46"/>
    <mergeCell ref="P46:S46"/>
    <mergeCell ref="T46:U46"/>
    <mergeCell ref="X46:Y46"/>
    <mergeCell ref="Z46:AE46"/>
    <mergeCell ref="AF46:AK46"/>
    <mergeCell ref="E45:F45"/>
    <mergeCell ref="G45:J45"/>
    <mergeCell ref="K45:M45"/>
    <mergeCell ref="P45:S45"/>
    <mergeCell ref="T45:U45"/>
    <mergeCell ref="X45:Y45"/>
    <mergeCell ref="Z47:AE47"/>
    <mergeCell ref="AF47:AK47"/>
    <mergeCell ref="E48:F48"/>
    <mergeCell ref="G48:J48"/>
    <mergeCell ref="K48:M48"/>
    <mergeCell ref="P48:S48"/>
    <mergeCell ref="T48:U48"/>
    <mergeCell ref="X48:Y48"/>
    <mergeCell ref="Z48:AE48"/>
    <mergeCell ref="AF48:AK48"/>
    <mergeCell ref="E47:F47"/>
    <mergeCell ref="G47:J47"/>
    <mergeCell ref="K47:M47"/>
    <mergeCell ref="P47:S47"/>
    <mergeCell ref="T47:U47"/>
    <mergeCell ref="X47:Y47"/>
    <mergeCell ref="Z49:AE49"/>
    <mergeCell ref="AF49:AK49"/>
    <mergeCell ref="E50:F50"/>
    <mergeCell ref="G50:J50"/>
    <mergeCell ref="K50:M50"/>
    <mergeCell ref="P50:S50"/>
    <mergeCell ref="T50:U50"/>
    <mergeCell ref="X50:Y50"/>
    <mergeCell ref="Z50:AE50"/>
    <mergeCell ref="AF50:AK50"/>
    <mergeCell ref="E49:F49"/>
    <mergeCell ref="G49:J49"/>
    <mergeCell ref="K49:M49"/>
    <mergeCell ref="P49:S49"/>
    <mergeCell ref="T49:U49"/>
    <mergeCell ref="X49:Y49"/>
    <mergeCell ref="Z51:AE51"/>
    <mergeCell ref="AF51:AK51"/>
    <mergeCell ref="E52:F52"/>
    <mergeCell ref="G52:J52"/>
    <mergeCell ref="K52:M52"/>
    <mergeCell ref="P52:S52"/>
    <mergeCell ref="T52:U52"/>
    <mergeCell ref="X52:Y52"/>
    <mergeCell ref="Z52:AE52"/>
    <mergeCell ref="AF52:AK52"/>
    <mergeCell ref="E51:F51"/>
    <mergeCell ref="G51:J51"/>
    <mergeCell ref="K51:M51"/>
    <mergeCell ref="P51:S51"/>
    <mergeCell ref="T51:U51"/>
    <mergeCell ref="X51:Y51"/>
    <mergeCell ref="Z53:AE53"/>
    <mergeCell ref="AF53:AK53"/>
    <mergeCell ref="E54:F54"/>
    <mergeCell ref="G54:J54"/>
    <mergeCell ref="K54:M54"/>
    <mergeCell ref="P54:S54"/>
    <mergeCell ref="T54:U54"/>
    <mergeCell ref="X54:Y54"/>
    <mergeCell ref="Z54:AE54"/>
    <mergeCell ref="AF54:AK54"/>
    <mergeCell ref="E53:F53"/>
    <mergeCell ref="G53:J53"/>
    <mergeCell ref="K53:M53"/>
    <mergeCell ref="P53:S53"/>
    <mergeCell ref="T53:U53"/>
    <mergeCell ref="X53:Y53"/>
    <mergeCell ref="Z55:AE55"/>
    <mergeCell ref="AF55:AK55"/>
    <mergeCell ref="E56:F56"/>
    <mergeCell ref="G56:J56"/>
    <mergeCell ref="K56:M56"/>
    <mergeCell ref="P56:S56"/>
    <mergeCell ref="T56:U56"/>
    <mergeCell ref="X56:Y56"/>
    <mergeCell ref="Z56:AE56"/>
    <mergeCell ref="AF56:AK56"/>
    <mergeCell ref="E55:F55"/>
    <mergeCell ref="G55:J55"/>
    <mergeCell ref="K55:M55"/>
    <mergeCell ref="P55:S55"/>
    <mergeCell ref="T55:U55"/>
    <mergeCell ref="X55:Y55"/>
    <mergeCell ref="X57:Y57"/>
    <mergeCell ref="Z57:AE57"/>
    <mergeCell ref="AF57:AK57"/>
    <mergeCell ref="E58:F58"/>
    <mergeCell ref="G58:J58"/>
    <mergeCell ref="K58:M58"/>
    <mergeCell ref="E57:F57"/>
    <mergeCell ref="G57:J57"/>
    <mergeCell ref="K57:M57"/>
    <mergeCell ref="P57:S57"/>
    <mergeCell ref="T57:U57"/>
    <mergeCell ref="V57:W57"/>
    <mergeCell ref="E61:F61"/>
    <mergeCell ref="G61:J61"/>
    <mergeCell ref="K61:M61"/>
    <mergeCell ref="E62:F62"/>
    <mergeCell ref="G62:J62"/>
    <mergeCell ref="K62:M62"/>
    <mergeCell ref="E59:F59"/>
    <mergeCell ref="G59:J59"/>
    <mergeCell ref="K59:M59"/>
    <mergeCell ref="E60:F60"/>
    <mergeCell ref="G60:J60"/>
    <mergeCell ref="K60:M60"/>
    <mergeCell ref="E65:F65"/>
    <mergeCell ref="G65:J65"/>
    <mergeCell ref="K65:M65"/>
    <mergeCell ref="E66:F66"/>
    <mergeCell ref="G66:J66"/>
    <mergeCell ref="K66:M66"/>
    <mergeCell ref="E63:F63"/>
    <mergeCell ref="G63:J63"/>
    <mergeCell ref="K63:M63"/>
    <mergeCell ref="E64:F64"/>
    <mergeCell ref="G64:J64"/>
    <mergeCell ref="K64:M64"/>
    <mergeCell ref="E69:F69"/>
    <mergeCell ref="G69:J69"/>
    <mergeCell ref="K69:M69"/>
    <mergeCell ref="E70:F70"/>
    <mergeCell ref="G70:J70"/>
    <mergeCell ref="K70:M70"/>
    <mergeCell ref="E67:F67"/>
    <mergeCell ref="G67:J67"/>
    <mergeCell ref="K67:M67"/>
    <mergeCell ref="E68:F68"/>
    <mergeCell ref="G68:J68"/>
    <mergeCell ref="K68:M68"/>
    <mergeCell ref="E73:F73"/>
    <mergeCell ref="G73:J73"/>
    <mergeCell ref="K73:M73"/>
    <mergeCell ref="E74:F74"/>
    <mergeCell ref="G74:J74"/>
    <mergeCell ref="K74:M74"/>
    <mergeCell ref="E71:F71"/>
    <mergeCell ref="G71:J71"/>
    <mergeCell ref="K71:M71"/>
    <mergeCell ref="E72:F72"/>
    <mergeCell ref="G72:J72"/>
    <mergeCell ref="K72:M72"/>
    <mergeCell ref="E77:F77"/>
    <mergeCell ref="G77:J77"/>
    <mergeCell ref="K77:M77"/>
    <mergeCell ref="E78:F78"/>
    <mergeCell ref="G78:J78"/>
    <mergeCell ref="K78:M78"/>
    <mergeCell ref="E75:F75"/>
    <mergeCell ref="G75:J75"/>
    <mergeCell ref="K75:M75"/>
    <mergeCell ref="E76:F76"/>
    <mergeCell ref="G76:J76"/>
    <mergeCell ref="K76:M76"/>
    <mergeCell ref="E81:F81"/>
    <mergeCell ref="G81:J81"/>
    <mergeCell ref="K81:M81"/>
    <mergeCell ref="E82:F82"/>
    <mergeCell ref="G82:J82"/>
    <mergeCell ref="K82:M82"/>
    <mergeCell ref="E79:F79"/>
    <mergeCell ref="G79:J79"/>
    <mergeCell ref="K79:M79"/>
    <mergeCell ref="E80:F80"/>
    <mergeCell ref="G80:J80"/>
    <mergeCell ref="K80:M80"/>
    <mergeCell ref="AE90:AE91"/>
    <mergeCell ref="E91:F91"/>
    <mergeCell ref="G91:H91"/>
    <mergeCell ref="I91:J91"/>
    <mergeCell ref="L91:R91"/>
    <mergeCell ref="S91:Y91"/>
    <mergeCell ref="E83:M83"/>
    <mergeCell ref="E86:M87"/>
    <mergeCell ref="E89:Y89"/>
    <mergeCell ref="AA89:AE89"/>
    <mergeCell ref="E90:F90"/>
    <mergeCell ref="G90:H90"/>
    <mergeCell ref="I90:J90"/>
    <mergeCell ref="L90:R90"/>
    <mergeCell ref="S90:Y90"/>
    <mergeCell ref="AA90:AD91"/>
    <mergeCell ref="E93:F93"/>
    <mergeCell ref="G93:H93"/>
    <mergeCell ref="I93:J93"/>
    <mergeCell ref="L93:R93"/>
    <mergeCell ref="S93:Y93"/>
    <mergeCell ref="AA93:AD93"/>
    <mergeCell ref="E92:F92"/>
    <mergeCell ref="G92:H92"/>
    <mergeCell ref="I92:J92"/>
    <mergeCell ref="L92:R92"/>
    <mergeCell ref="S92:Y92"/>
    <mergeCell ref="AA92:AD92"/>
    <mergeCell ref="E95:F95"/>
    <mergeCell ref="G95:H95"/>
    <mergeCell ref="I95:J95"/>
    <mergeCell ref="L95:R95"/>
    <mergeCell ref="S95:Y95"/>
    <mergeCell ref="AA95:AD95"/>
    <mergeCell ref="E94:F94"/>
    <mergeCell ref="G94:H94"/>
    <mergeCell ref="I94:J94"/>
    <mergeCell ref="L94:R94"/>
    <mergeCell ref="S94:Y94"/>
    <mergeCell ref="AA94:AD94"/>
    <mergeCell ref="E97:F97"/>
    <mergeCell ref="G97:H97"/>
    <mergeCell ref="I97:J97"/>
    <mergeCell ref="L97:R97"/>
    <mergeCell ref="S97:Y97"/>
    <mergeCell ref="AA97:AD97"/>
    <mergeCell ref="E96:F96"/>
    <mergeCell ref="G96:H96"/>
    <mergeCell ref="I96:J96"/>
    <mergeCell ref="L96:R96"/>
    <mergeCell ref="S96:Y96"/>
    <mergeCell ref="AA96:AD96"/>
    <mergeCell ref="E99:F99"/>
    <mergeCell ref="G99:H99"/>
    <mergeCell ref="I99:J99"/>
    <mergeCell ref="L99:R99"/>
    <mergeCell ref="S99:Y99"/>
    <mergeCell ref="AA99:AD99"/>
    <mergeCell ref="E98:F98"/>
    <mergeCell ref="G98:H98"/>
    <mergeCell ref="I98:J98"/>
    <mergeCell ref="L98:R98"/>
    <mergeCell ref="S98:Y98"/>
    <mergeCell ref="AA98:AD98"/>
    <mergeCell ref="E101:F101"/>
    <mergeCell ref="G101:H101"/>
    <mergeCell ref="I101:J101"/>
    <mergeCell ref="L101:R101"/>
    <mergeCell ref="S101:Y101"/>
    <mergeCell ref="AA101:AD101"/>
    <mergeCell ref="E100:F100"/>
    <mergeCell ref="G100:H100"/>
    <mergeCell ref="I100:J100"/>
    <mergeCell ref="L100:R100"/>
    <mergeCell ref="S100:Y100"/>
    <mergeCell ref="AA100:AD100"/>
    <mergeCell ref="E103:F103"/>
    <mergeCell ref="G103:H103"/>
    <mergeCell ref="I103:J103"/>
    <mergeCell ref="L103:R103"/>
    <mergeCell ref="S103:Y103"/>
    <mergeCell ref="AA103:AD103"/>
    <mergeCell ref="E102:F102"/>
    <mergeCell ref="G102:H102"/>
    <mergeCell ref="I102:J102"/>
    <mergeCell ref="L102:R102"/>
    <mergeCell ref="S102:Y102"/>
    <mergeCell ref="AA102:AD102"/>
    <mergeCell ref="E106:J106"/>
    <mergeCell ref="K106:R106"/>
    <mergeCell ref="E105:F105"/>
    <mergeCell ref="G105:H105"/>
    <mergeCell ref="I105:J105"/>
    <mergeCell ref="L105:R105"/>
    <mergeCell ref="S105:Y105"/>
    <mergeCell ref="AA105:AD105"/>
    <mergeCell ref="E104:F104"/>
    <mergeCell ref="G104:H104"/>
    <mergeCell ref="I104:J104"/>
    <mergeCell ref="L104:R104"/>
    <mergeCell ref="S104:Y104"/>
    <mergeCell ref="AA104:AD104"/>
  </mergeCells>
  <conditionalFormatting sqref="X27:Y36">
    <cfRule type="cellIs" dxfId="14" priority="2" operator="lessThan">
      <formula>0</formula>
    </cfRule>
  </conditionalFormatting>
  <conditionalFormatting sqref="X42:Y56">
    <cfRule type="cellIs" dxfId="13" priority="3" operator="lessThan">
      <formula>0</formula>
    </cfRule>
  </conditionalFormatting>
  <conditionalFormatting sqref="AE92:AE101">
    <cfRule type="dataBar" priority="1">
      <dataBar>
        <cfvo type="min"/>
        <cfvo type="max"/>
        <color theme="6" tint="0.39997558519241921"/>
      </dataBar>
      <extLst>
        <ext xmlns:x14="http://schemas.microsoft.com/office/spreadsheetml/2009/9/main" uri="{B025F937-C7B1-47D3-B67F-A62EFF666E3E}">
          <x14:id>{F12E0D42-4C3F-4E36-AA24-D0D1E6EC1F5B}</x14:id>
        </ext>
      </extLst>
    </cfRule>
  </conditionalFormatting>
  <dataValidations count="1">
    <dataValidation allowBlank="1" showInputMessage="1" showErrorMessage="1" prompt="Nhập dữ liệu" sqref="E60:F82 E95:F105 K60:M82 N42:N82 K27:N36 I91:Y105" xr:uid="{00000000-0002-0000-0B00-000000000000}"/>
  </dataValidations>
  <hyperlinks>
    <hyperlink ref="F4" location="'T6'!E7" display="Phần 1" xr:uid="{00000000-0004-0000-0B00-000000000000}"/>
    <hyperlink ref="G4" location="'T6'!E87" display="Phần 2" xr:uid="{00000000-0004-0000-0B00-000001000000}"/>
    <hyperlink ref="H4" location="'T6'!E109" display="Phần 3" xr:uid="{00000000-0004-0000-0B00-000002000000}"/>
  </hyperlinks>
  <pageMargins left="0.7" right="0.7" top="0.75" bottom="0.75" header="0.3" footer="0.3"/>
  <pageSetup scale="31" orientation="portrait" r:id="rId1"/>
  <drawing r:id="rId2"/>
  <extLst>
    <ext xmlns:x14="http://schemas.microsoft.com/office/spreadsheetml/2009/9/main" uri="{78C0D931-6437-407d-A8EE-F0AAD7539E65}">
      <x14:conditionalFormattings>
        <x14:conditionalFormatting xmlns:xm="http://schemas.microsoft.com/office/excel/2006/main">
          <x14:cfRule type="dataBar" id="{F12E0D42-4C3F-4E36-AA24-D0D1E6EC1F5B}">
            <x14:dataBar minLength="0" maxLength="100" gradient="0">
              <x14:cfvo type="autoMin"/>
              <x14:cfvo type="autoMax"/>
              <x14:negativeFillColor rgb="FFFF0000"/>
              <x14:axisColor rgb="FF000000"/>
            </x14:dataBar>
          </x14:cfRule>
          <xm:sqref>AE92:AE101</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prompt="Chọn dữ liệu" xr:uid="{00000000-0002-0000-0B00-000001000000}">
          <x14:formula1>
            <xm:f>'Từ khóa'!$F$12:$F$26</xm:f>
          </x14:formula1>
          <xm:sqref>G42:J82</xm:sqref>
        </x14:dataValidation>
        <x14:dataValidation type="list" allowBlank="1" showInputMessage="1" showErrorMessage="1" prompt="Chọn dữ liệu" xr:uid="{00000000-0002-0000-0B00-000002000000}">
          <x14:formula1>
            <xm:f>'Từ khóa'!$M$12:$M$19</xm:f>
          </x14:formula1>
          <xm:sqref>G27:J36</xm:sqref>
        </x14:dataValidation>
        <x14:dataValidation type="list" allowBlank="1" showInputMessage="1" showErrorMessage="1" prompt="Chọn dữ liệu" xr:uid="{00000000-0002-0000-0B00-000003000000}">
          <x14:formula1>
            <xm:f>'Từ khóa'!$S$12:$S$21</xm:f>
          </x14:formula1>
          <xm:sqref>G91:H105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K106"/>
  <sheetViews>
    <sheetView showGridLines="0" zoomScale="80" zoomScaleNormal="80" workbookViewId="0">
      <pane xSplit="4" ySplit="4" topLeftCell="E86" activePane="bottomRight" state="frozen"/>
      <selection pane="topRight" activeCell="E1" sqref="E1"/>
      <selection pane="bottomLeft" activeCell="A5" sqref="A5"/>
      <selection pane="bottomRight" activeCell="I91" sqref="I91:J91"/>
    </sheetView>
  </sheetViews>
  <sheetFormatPr defaultColWidth="9.19921875" defaultRowHeight="14.25" x14ac:dyDescent="0.45"/>
  <cols>
    <col min="1" max="3" width="9.19921875" style="1"/>
    <col min="4" max="5" width="9.19921875" style="4"/>
    <col min="6" max="9" width="13.19921875" style="4" customWidth="1"/>
    <col min="10" max="14" width="9.19921875" style="4"/>
    <col min="15" max="15" width="13.19921875" style="4" customWidth="1"/>
    <col min="16" max="16384" width="9.19921875" style="4"/>
  </cols>
  <sheetData>
    <row r="1" spans="1:27" s="2" customFormat="1" ht="15" customHeight="1" x14ac:dyDescent="0.45">
      <c r="A1" s="1"/>
      <c r="B1" s="1"/>
      <c r="C1" s="1"/>
      <c r="E1" s="353" t="s">
        <v>333</v>
      </c>
      <c r="F1" s="353"/>
      <c r="G1" s="353"/>
      <c r="H1" s="353"/>
      <c r="I1" s="353"/>
      <c r="J1" s="353"/>
      <c r="K1" s="353"/>
    </row>
    <row r="2" spans="1:27" s="2" customFormat="1" ht="15" customHeight="1" x14ac:dyDescent="0.45">
      <c r="A2" s="1"/>
      <c r="B2" s="1"/>
      <c r="C2" s="1"/>
      <c r="E2" s="353"/>
      <c r="F2" s="353"/>
      <c r="G2" s="353"/>
      <c r="H2" s="353"/>
      <c r="I2" s="353"/>
      <c r="J2" s="353"/>
      <c r="K2" s="353"/>
    </row>
    <row r="3" spans="1:27" s="2" customFormat="1" ht="14.65" thickBot="1" x14ac:dyDescent="0.5">
      <c r="A3" s="1"/>
      <c r="B3" s="1"/>
      <c r="C3" s="1"/>
      <c r="E3" s="353"/>
      <c r="F3" s="353"/>
      <c r="G3" s="353"/>
      <c r="H3" s="353"/>
      <c r="I3" s="353"/>
      <c r="J3" s="353"/>
      <c r="K3" s="353"/>
      <c r="L3" s="3" t="s">
        <v>45</v>
      </c>
    </row>
    <row r="4" spans="1:27" ht="14.65" thickBot="1" x14ac:dyDescent="0.5">
      <c r="F4" s="154" t="s">
        <v>132</v>
      </c>
      <c r="G4" s="154" t="s">
        <v>133</v>
      </c>
      <c r="H4" s="154" t="s">
        <v>134</v>
      </c>
    </row>
    <row r="5" spans="1:27" ht="15" customHeight="1" x14ac:dyDescent="0.45">
      <c r="F5" s="6"/>
      <c r="G5" s="6"/>
      <c r="H5" s="6"/>
      <c r="I5" s="6"/>
      <c r="J5" s="6"/>
      <c r="K5" s="6"/>
      <c r="L5" s="6"/>
      <c r="M5" s="6"/>
      <c r="N5" s="6"/>
      <c r="O5" s="6"/>
      <c r="P5" s="6"/>
      <c r="Q5" s="6"/>
      <c r="R5" s="6"/>
      <c r="S5" s="6"/>
      <c r="T5" s="6"/>
      <c r="U5" s="6"/>
      <c r="V5" s="6"/>
      <c r="W5" s="6"/>
      <c r="X5" s="6"/>
      <c r="Y5" s="6"/>
      <c r="Z5" s="6"/>
      <c r="AA5" s="6"/>
    </row>
    <row r="6" spans="1:27" ht="15" customHeight="1" x14ac:dyDescent="0.45">
      <c r="E6" s="532" t="s">
        <v>135</v>
      </c>
      <c r="F6" s="532"/>
      <c r="G6" s="532"/>
      <c r="H6" s="532"/>
      <c r="I6" s="532"/>
      <c r="J6" s="532"/>
      <c r="K6" s="532"/>
      <c r="L6" s="532"/>
      <c r="M6" s="532"/>
      <c r="N6" s="5"/>
      <c r="O6" s="5"/>
      <c r="P6" s="5"/>
      <c r="Q6" s="5"/>
      <c r="R6" s="5"/>
      <c r="S6" s="6"/>
      <c r="T6" s="6"/>
      <c r="U6" s="6"/>
      <c r="V6" s="6"/>
      <c r="W6" s="6"/>
      <c r="X6" s="6"/>
      <c r="Y6" s="6"/>
      <c r="Z6" s="6"/>
      <c r="AA6" s="6"/>
    </row>
    <row r="7" spans="1:27" s="8" customFormat="1" ht="15" customHeight="1" thickBot="1" x14ac:dyDescent="0.5">
      <c r="A7" s="7"/>
      <c r="B7" s="7"/>
      <c r="C7" s="7"/>
      <c r="E7" s="533"/>
      <c r="F7" s="533"/>
      <c r="G7" s="533"/>
      <c r="H7" s="533"/>
      <c r="I7" s="533"/>
      <c r="J7" s="533"/>
      <c r="K7" s="533"/>
      <c r="L7" s="533"/>
      <c r="M7" s="533"/>
      <c r="N7" s="9"/>
      <c r="O7" s="9"/>
      <c r="P7" s="9"/>
      <c r="Q7" s="9"/>
      <c r="R7" s="9"/>
      <c r="S7" s="10"/>
      <c r="T7" s="10"/>
      <c r="U7" s="10"/>
      <c r="V7" s="10"/>
      <c r="W7" s="10"/>
      <c r="X7" s="10"/>
      <c r="Y7" s="10"/>
      <c r="Z7" s="10"/>
      <c r="AA7" s="10"/>
    </row>
    <row r="8" spans="1:27" ht="15" customHeight="1" x14ac:dyDescent="0.45">
      <c r="E8" s="6"/>
      <c r="F8" s="6"/>
      <c r="G8" s="6"/>
      <c r="H8" s="6"/>
      <c r="I8" s="6"/>
      <c r="J8" s="6"/>
      <c r="K8" s="6"/>
      <c r="L8" s="6"/>
      <c r="M8" s="6"/>
      <c r="N8" s="6"/>
      <c r="O8" s="6"/>
      <c r="P8" s="6"/>
      <c r="Q8" s="6"/>
      <c r="R8" s="6"/>
      <c r="S8" s="6"/>
      <c r="T8" s="6"/>
      <c r="U8" s="6"/>
      <c r="V8" s="6"/>
      <c r="W8" s="6"/>
      <c r="X8" s="6"/>
      <c r="Y8" s="6"/>
      <c r="Z8" s="6"/>
      <c r="AA8" s="6"/>
    </row>
    <row r="9" spans="1:27" ht="15" customHeight="1" x14ac:dyDescent="0.45">
      <c r="E9" s="632" t="s">
        <v>124</v>
      </c>
      <c r="F9" s="632"/>
      <c r="G9" s="632"/>
      <c r="H9" s="632"/>
      <c r="I9" s="708">
        <f>N37</f>
        <v>29</v>
      </c>
    </row>
    <row r="10" spans="1:27" ht="15" customHeight="1" x14ac:dyDescent="0.45">
      <c r="E10" s="632"/>
      <c r="F10" s="632"/>
      <c r="G10" s="632"/>
      <c r="H10" s="632"/>
      <c r="I10" s="708"/>
    </row>
    <row r="11" spans="1:27" ht="15" customHeight="1" x14ac:dyDescent="0.45">
      <c r="E11" s="632"/>
      <c r="F11" s="632"/>
      <c r="G11" s="632"/>
      <c r="H11" s="632"/>
      <c r="I11" s="708"/>
    </row>
    <row r="12" spans="1:27" ht="15" customHeight="1" x14ac:dyDescent="0.45">
      <c r="E12" s="632"/>
      <c r="F12" s="632"/>
      <c r="G12" s="632"/>
      <c r="H12" s="632"/>
      <c r="I12" s="708"/>
    </row>
    <row r="13" spans="1:27" x14ac:dyDescent="0.45">
      <c r="E13" s="89"/>
      <c r="F13" s="89"/>
      <c r="G13" s="89"/>
      <c r="I13" s="89"/>
    </row>
    <row r="14" spans="1:27" ht="15" customHeight="1" x14ac:dyDescent="0.45">
      <c r="E14" s="633" t="s">
        <v>136</v>
      </c>
      <c r="F14" s="633"/>
      <c r="G14" s="633"/>
      <c r="H14" s="633"/>
      <c r="I14" s="708">
        <f>N83</f>
        <v>18.25</v>
      </c>
    </row>
    <row r="15" spans="1:27" ht="15" customHeight="1" x14ac:dyDescent="0.45">
      <c r="E15" s="633"/>
      <c r="F15" s="633"/>
      <c r="G15" s="633"/>
      <c r="H15" s="633"/>
      <c r="I15" s="708"/>
    </row>
    <row r="16" spans="1:27" ht="15" customHeight="1" x14ac:dyDescent="0.45">
      <c r="E16" s="633"/>
      <c r="F16" s="633"/>
      <c r="G16" s="633"/>
      <c r="H16" s="633"/>
      <c r="I16" s="708"/>
    </row>
    <row r="17" spans="5:37" ht="15" customHeight="1" x14ac:dyDescent="0.45">
      <c r="E17" s="633"/>
      <c r="F17" s="633"/>
      <c r="G17" s="633"/>
      <c r="H17" s="633"/>
      <c r="I17" s="708"/>
    </row>
    <row r="18" spans="5:37" x14ac:dyDescent="0.45">
      <c r="E18" s="89"/>
      <c r="F18" s="89"/>
      <c r="G18" s="89"/>
      <c r="I18" s="89"/>
    </row>
    <row r="19" spans="5:37" ht="15" customHeight="1" x14ac:dyDescent="0.45">
      <c r="E19" s="634" t="s">
        <v>96</v>
      </c>
      <c r="F19" s="634"/>
      <c r="G19" s="634"/>
      <c r="H19" s="634"/>
      <c r="I19" s="708">
        <f>I9-I14</f>
        <v>10.75</v>
      </c>
    </row>
    <row r="20" spans="5:37" ht="15" customHeight="1" x14ac:dyDescent="0.45">
      <c r="E20" s="634"/>
      <c r="F20" s="634"/>
      <c r="G20" s="634"/>
      <c r="H20" s="634"/>
      <c r="I20" s="708"/>
    </row>
    <row r="21" spans="5:37" ht="15" customHeight="1" x14ac:dyDescent="0.45">
      <c r="E21" s="634"/>
      <c r="F21" s="634"/>
      <c r="G21" s="634"/>
      <c r="H21" s="634"/>
      <c r="I21" s="708"/>
    </row>
    <row r="22" spans="5:37" ht="15" customHeight="1" x14ac:dyDescent="0.45">
      <c r="E22" s="634"/>
      <c r="F22" s="634"/>
      <c r="G22" s="634"/>
      <c r="H22" s="634"/>
      <c r="I22" s="708"/>
    </row>
    <row r="24" spans="5:37" ht="14.65" thickBot="1" x14ac:dyDescent="0.5">
      <c r="E24" s="6"/>
      <c r="F24" s="6"/>
      <c r="G24" s="6"/>
      <c r="H24" s="6"/>
    </row>
    <row r="25" spans="5:37" ht="15.75" customHeight="1" thickBot="1" x14ac:dyDescent="0.6">
      <c r="E25" s="626" t="s">
        <v>143</v>
      </c>
      <c r="F25" s="627"/>
      <c r="G25" s="627"/>
      <c r="H25" s="627"/>
      <c r="I25" s="627"/>
      <c r="J25" s="627"/>
      <c r="K25" s="627"/>
      <c r="L25" s="627"/>
      <c r="M25" s="627"/>
      <c r="N25" s="628"/>
      <c r="P25" s="626" t="s">
        <v>144</v>
      </c>
      <c r="Q25" s="627"/>
      <c r="R25" s="627"/>
      <c r="S25" s="627"/>
      <c r="T25" s="627"/>
      <c r="U25" s="627"/>
      <c r="V25" s="627"/>
      <c r="W25" s="627"/>
      <c r="X25" s="627"/>
      <c r="Y25" s="627"/>
      <c r="Z25" s="627"/>
      <c r="AA25" s="627"/>
      <c r="AB25" s="627"/>
      <c r="AC25" s="627"/>
      <c r="AD25" s="627"/>
      <c r="AE25" s="627"/>
      <c r="AF25" s="627"/>
      <c r="AG25" s="627"/>
      <c r="AH25" s="627"/>
      <c r="AI25" s="627"/>
      <c r="AJ25" s="627"/>
      <c r="AK25" s="628"/>
    </row>
    <row r="26" spans="5:37" ht="15" customHeight="1" x14ac:dyDescent="0.45">
      <c r="E26" s="644" t="s">
        <v>146</v>
      </c>
      <c r="F26" s="645"/>
      <c r="G26" s="647" t="s">
        <v>346</v>
      </c>
      <c r="H26" s="647"/>
      <c r="I26" s="647"/>
      <c r="J26" s="647"/>
      <c r="K26" s="647" t="s">
        <v>345</v>
      </c>
      <c r="L26" s="647"/>
      <c r="M26" s="647"/>
      <c r="N26" s="134" t="s">
        <v>148</v>
      </c>
      <c r="P26" s="706" t="s">
        <v>147</v>
      </c>
      <c r="Q26" s="707"/>
      <c r="R26" s="707"/>
      <c r="S26" s="707"/>
      <c r="T26" s="707" t="s">
        <v>149</v>
      </c>
      <c r="U26" s="707"/>
      <c r="V26" s="707" t="s">
        <v>150</v>
      </c>
      <c r="W26" s="707"/>
      <c r="X26" s="707" t="s">
        <v>151</v>
      </c>
      <c r="Y26" s="707"/>
      <c r="Z26" s="652" t="s">
        <v>152</v>
      </c>
      <c r="AA26" s="652"/>
      <c r="AB26" s="652"/>
      <c r="AC26" s="652"/>
      <c r="AD26" s="652"/>
      <c r="AE26" s="652"/>
      <c r="AF26" s="652" t="s">
        <v>153</v>
      </c>
      <c r="AG26" s="652"/>
      <c r="AH26" s="652"/>
      <c r="AI26" s="652"/>
      <c r="AJ26" s="652"/>
      <c r="AK26" s="659"/>
    </row>
    <row r="27" spans="5:37" ht="15" x14ac:dyDescent="0.45">
      <c r="E27" s="687">
        <v>44757</v>
      </c>
      <c r="F27" s="688"/>
      <c r="G27" s="643" t="s">
        <v>21</v>
      </c>
      <c r="H27" s="643"/>
      <c r="I27" s="643"/>
      <c r="J27" s="643"/>
      <c r="K27" s="646"/>
      <c r="L27" s="646"/>
      <c r="M27" s="646"/>
      <c r="N27" s="135">
        <v>18</v>
      </c>
      <c r="P27" s="694" t="str">
        <f>'Từ khóa'!M12</f>
        <v>Lương từ công ty</v>
      </c>
      <c r="Q27" s="695"/>
      <c r="R27" s="695"/>
      <c r="S27" s="695"/>
      <c r="T27" s="696">
        <f>'Kế hoạch thu nhập và chi tiêu'!L11</f>
        <v>20</v>
      </c>
      <c r="U27" s="696"/>
      <c r="V27" s="152"/>
      <c r="W27" s="153">
        <f t="shared" ref="W27:W34" ca="1" si="0">SUMIF($G$27:$J$36,P27,$N$27:$N$36)</f>
        <v>18</v>
      </c>
      <c r="X27" s="696">
        <f t="shared" ref="X27:X34" ca="1" si="1">W27-T27</f>
        <v>-2</v>
      </c>
      <c r="Y27" s="696"/>
      <c r="Z27" s="646"/>
      <c r="AA27" s="646"/>
      <c r="AB27" s="646"/>
      <c r="AC27" s="646"/>
      <c r="AD27" s="646"/>
      <c r="AE27" s="646"/>
      <c r="AF27" s="646"/>
      <c r="AG27" s="646"/>
      <c r="AH27" s="646"/>
      <c r="AI27" s="646"/>
      <c r="AJ27" s="646"/>
      <c r="AK27" s="658"/>
    </row>
    <row r="28" spans="5:37" ht="15" x14ac:dyDescent="0.45">
      <c r="E28" s="687">
        <v>44762</v>
      </c>
      <c r="F28" s="688">
        <v>44612</v>
      </c>
      <c r="G28" s="643" t="s">
        <v>372</v>
      </c>
      <c r="H28" s="643"/>
      <c r="I28" s="643"/>
      <c r="J28" s="643"/>
      <c r="K28" s="646"/>
      <c r="L28" s="646"/>
      <c r="M28" s="646"/>
      <c r="N28" s="135">
        <v>4</v>
      </c>
      <c r="P28" s="694" t="str">
        <f>'Từ khóa'!M13</f>
        <v>Thu nhập khác</v>
      </c>
      <c r="Q28" s="695"/>
      <c r="R28" s="695"/>
      <c r="S28" s="695"/>
      <c r="T28" s="696">
        <f>'Kế hoạch thu nhập và chi tiêu'!L12</f>
        <v>10</v>
      </c>
      <c r="U28" s="696"/>
      <c r="V28" s="152"/>
      <c r="W28" s="153">
        <f t="shared" ca="1" si="0"/>
        <v>11</v>
      </c>
      <c r="X28" s="696">
        <f t="shared" ca="1" si="1"/>
        <v>1</v>
      </c>
      <c r="Y28" s="696"/>
      <c r="Z28" s="646"/>
      <c r="AA28" s="646"/>
      <c r="AB28" s="646"/>
      <c r="AC28" s="646"/>
      <c r="AD28" s="646"/>
      <c r="AE28" s="646"/>
      <c r="AF28" s="646"/>
      <c r="AG28" s="646"/>
      <c r="AH28" s="646"/>
      <c r="AI28" s="646"/>
      <c r="AJ28" s="646"/>
      <c r="AK28" s="658"/>
    </row>
    <row r="29" spans="5:37" ht="15" x14ac:dyDescent="0.45">
      <c r="E29" s="687">
        <v>44770</v>
      </c>
      <c r="F29" s="688">
        <v>44620</v>
      </c>
      <c r="G29" s="643" t="s">
        <v>372</v>
      </c>
      <c r="H29" s="643"/>
      <c r="I29" s="643"/>
      <c r="J29" s="643"/>
      <c r="K29" s="646"/>
      <c r="L29" s="646"/>
      <c r="M29" s="646"/>
      <c r="N29" s="135">
        <v>5</v>
      </c>
      <c r="P29" s="694">
        <f>'Từ khóa'!M14</f>
        <v>0</v>
      </c>
      <c r="Q29" s="695"/>
      <c r="R29" s="695"/>
      <c r="S29" s="695"/>
      <c r="T29" s="696">
        <f>'Kế hoạch thu nhập và chi tiêu'!L13</f>
        <v>0</v>
      </c>
      <c r="U29" s="696"/>
      <c r="V29" s="152"/>
      <c r="W29" s="153">
        <f t="shared" ca="1" si="0"/>
        <v>0</v>
      </c>
      <c r="X29" s="696">
        <f t="shared" ca="1" si="1"/>
        <v>0</v>
      </c>
      <c r="Y29" s="696"/>
      <c r="Z29" s="646"/>
      <c r="AA29" s="646"/>
      <c r="AB29" s="646"/>
      <c r="AC29" s="646"/>
      <c r="AD29" s="646"/>
      <c r="AE29" s="646"/>
      <c r="AF29" s="646"/>
      <c r="AG29" s="646"/>
      <c r="AH29" s="646"/>
      <c r="AI29" s="646"/>
      <c r="AJ29" s="646"/>
      <c r="AK29" s="658"/>
    </row>
    <row r="30" spans="5:37" ht="15" x14ac:dyDescent="0.45">
      <c r="E30" s="687">
        <v>44770</v>
      </c>
      <c r="F30" s="688">
        <v>44620</v>
      </c>
      <c r="G30" s="643" t="s">
        <v>372</v>
      </c>
      <c r="H30" s="643"/>
      <c r="I30" s="643"/>
      <c r="J30" s="643"/>
      <c r="K30" s="646"/>
      <c r="L30" s="646"/>
      <c r="M30" s="646"/>
      <c r="N30" s="135">
        <v>2</v>
      </c>
      <c r="P30" s="694">
        <f>'Từ khóa'!M15</f>
        <v>0</v>
      </c>
      <c r="Q30" s="695"/>
      <c r="R30" s="695"/>
      <c r="S30" s="695"/>
      <c r="T30" s="696">
        <f>'Kế hoạch thu nhập và chi tiêu'!L14</f>
        <v>0</v>
      </c>
      <c r="U30" s="696"/>
      <c r="V30" s="152"/>
      <c r="W30" s="153">
        <f t="shared" ca="1" si="0"/>
        <v>0</v>
      </c>
      <c r="X30" s="696">
        <f t="shared" ca="1" si="1"/>
        <v>0</v>
      </c>
      <c r="Y30" s="696"/>
      <c r="Z30" s="646"/>
      <c r="AA30" s="646"/>
      <c r="AB30" s="646"/>
      <c r="AC30" s="646"/>
      <c r="AD30" s="646"/>
      <c r="AE30" s="646"/>
      <c r="AF30" s="646"/>
      <c r="AG30" s="646"/>
      <c r="AH30" s="646"/>
      <c r="AI30" s="646"/>
      <c r="AJ30" s="646"/>
      <c r="AK30" s="658"/>
    </row>
    <row r="31" spans="5:37" ht="15" x14ac:dyDescent="0.45">
      <c r="E31" s="687"/>
      <c r="F31" s="688"/>
      <c r="G31" s="643"/>
      <c r="H31" s="643"/>
      <c r="I31" s="643"/>
      <c r="J31" s="643"/>
      <c r="K31" s="646"/>
      <c r="L31" s="646"/>
      <c r="M31" s="646"/>
      <c r="N31" s="135"/>
      <c r="P31" s="694">
        <f>'Từ khóa'!M16</f>
        <v>0</v>
      </c>
      <c r="Q31" s="695"/>
      <c r="R31" s="695"/>
      <c r="S31" s="695"/>
      <c r="T31" s="696">
        <f>'Kế hoạch thu nhập và chi tiêu'!L15</f>
        <v>0</v>
      </c>
      <c r="U31" s="696"/>
      <c r="V31" s="152"/>
      <c r="W31" s="153">
        <f t="shared" ca="1" si="0"/>
        <v>0</v>
      </c>
      <c r="X31" s="696">
        <f t="shared" ca="1" si="1"/>
        <v>0</v>
      </c>
      <c r="Y31" s="696"/>
      <c r="Z31" s="646"/>
      <c r="AA31" s="646"/>
      <c r="AB31" s="646"/>
      <c r="AC31" s="646"/>
      <c r="AD31" s="646"/>
      <c r="AE31" s="646"/>
      <c r="AF31" s="646"/>
      <c r="AG31" s="646"/>
      <c r="AH31" s="646"/>
      <c r="AI31" s="646"/>
      <c r="AJ31" s="646"/>
      <c r="AK31" s="658"/>
    </row>
    <row r="32" spans="5:37" ht="15" x14ac:dyDescent="0.45">
      <c r="E32" s="687"/>
      <c r="F32" s="688"/>
      <c r="G32" s="643"/>
      <c r="H32" s="643"/>
      <c r="I32" s="643"/>
      <c r="J32" s="643"/>
      <c r="K32" s="646"/>
      <c r="L32" s="646"/>
      <c r="M32" s="646"/>
      <c r="N32" s="135"/>
      <c r="P32" s="694">
        <f>'Từ khóa'!M17</f>
        <v>0</v>
      </c>
      <c r="Q32" s="695"/>
      <c r="R32" s="695"/>
      <c r="S32" s="695"/>
      <c r="T32" s="696">
        <f>'Kế hoạch thu nhập và chi tiêu'!L16</f>
        <v>0</v>
      </c>
      <c r="U32" s="696"/>
      <c r="V32" s="152"/>
      <c r="W32" s="153">
        <f t="shared" ca="1" si="0"/>
        <v>0</v>
      </c>
      <c r="X32" s="696">
        <f t="shared" ca="1" si="1"/>
        <v>0</v>
      </c>
      <c r="Y32" s="696"/>
      <c r="Z32" s="646"/>
      <c r="AA32" s="646"/>
      <c r="AB32" s="646"/>
      <c r="AC32" s="646"/>
      <c r="AD32" s="646"/>
      <c r="AE32" s="646"/>
      <c r="AF32" s="646"/>
      <c r="AG32" s="646"/>
      <c r="AH32" s="646"/>
      <c r="AI32" s="646"/>
      <c r="AJ32" s="646"/>
      <c r="AK32" s="658"/>
    </row>
    <row r="33" spans="5:37" ht="15" x14ac:dyDescent="0.45">
      <c r="E33" s="687"/>
      <c r="F33" s="688"/>
      <c r="G33" s="643"/>
      <c r="H33" s="643"/>
      <c r="I33" s="643"/>
      <c r="J33" s="643"/>
      <c r="K33" s="646"/>
      <c r="L33" s="646"/>
      <c r="M33" s="646"/>
      <c r="N33" s="135"/>
      <c r="P33" s="694">
        <f>'Từ khóa'!M18</f>
        <v>0</v>
      </c>
      <c r="Q33" s="695"/>
      <c r="R33" s="695"/>
      <c r="S33" s="695"/>
      <c r="T33" s="696">
        <f>'Kế hoạch thu nhập và chi tiêu'!L17</f>
        <v>0</v>
      </c>
      <c r="U33" s="696"/>
      <c r="V33" s="152"/>
      <c r="W33" s="153">
        <f t="shared" ca="1" si="0"/>
        <v>0</v>
      </c>
      <c r="X33" s="696">
        <f t="shared" ca="1" si="1"/>
        <v>0</v>
      </c>
      <c r="Y33" s="696"/>
      <c r="Z33" s="646"/>
      <c r="AA33" s="646"/>
      <c r="AB33" s="646"/>
      <c r="AC33" s="646"/>
      <c r="AD33" s="646"/>
      <c r="AE33" s="646"/>
      <c r="AF33" s="646"/>
      <c r="AG33" s="646"/>
      <c r="AH33" s="646"/>
      <c r="AI33" s="646"/>
      <c r="AJ33" s="646"/>
      <c r="AK33" s="658"/>
    </row>
    <row r="34" spans="5:37" ht="15" x14ac:dyDescent="0.45">
      <c r="E34" s="687"/>
      <c r="F34" s="688"/>
      <c r="G34" s="643"/>
      <c r="H34" s="643"/>
      <c r="I34" s="643"/>
      <c r="J34" s="643"/>
      <c r="K34" s="646"/>
      <c r="L34" s="646"/>
      <c r="M34" s="646"/>
      <c r="N34" s="135"/>
      <c r="P34" s="694">
        <f>'Từ khóa'!M19</f>
        <v>0</v>
      </c>
      <c r="Q34" s="695"/>
      <c r="R34" s="695"/>
      <c r="S34" s="695"/>
      <c r="T34" s="696">
        <f>'Kế hoạch thu nhập và chi tiêu'!L18</f>
        <v>0</v>
      </c>
      <c r="U34" s="696"/>
      <c r="V34" s="152"/>
      <c r="W34" s="153">
        <f t="shared" ca="1" si="0"/>
        <v>0</v>
      </c>
      <c r="X34" s="696">
        <f t="shared" ca="1" si="1"/>
        <v>0</v>
      </c>
      <c r="Y34" s="696"/>
      <c r="Z34" s="646"/>
      <c r="AA34" s="646"/>
      <c r="AB34" s="646"/>
      <c r="AC34" s="646"/>
      <c r="AD34" s="646"/>
      <c r="AE34" s="646"/>
      <c r="AF34" s="646"/>
      <c r="AG34" s="646"/>
      <c r="AH34" s="646"/>
      <c r="AI34" s="646"/>
      <c r="AJ34" s="646"/>
      <c r="AK34" s="658"/>
    </row>
    <row r="35" spans="5:37" ht="15" x14ac:dyDescent="0.45">
      <c r="E35" s="687"/>
      <c r="F35" s="688"/>
      <c r="G35" s="643"/>
      <c r="H35" s="643"/>
      <c r="I35" s="643"/>
      <c r="J35" s="643"/>
      <c r="K35" s="646"/>
      <c r="L35" s="646"/>
      <c r="M35" s="646"/>
      <c r="N35" s="135"/>
      <c r="P35" s="694"/>
      <c r="Q35" s="695"/>
      <c r="R35" s="695"/>
      <c r="S35" s="695"/>
      <c r="T35" s="697"/>
      <c r="U35" s="698"/>
      <c r="V35" s="152"/>
      <c r="W35" s="153"/>
      <c r="X35" s="696"/>
      <c r="Y35" s="696"/>
      <c r="Z35" s="646"/>
      <c r="AA35" s="646"/>
      <c r="AB35" s="646"/>
      <c r="AC35" s="646"/>
      <c r="AD35" s="646"/>
      <c r="AE35" s="646"/>
      <c r="AF35" s="646"/>
      <c r="AG35" s="646"/>
      <c r="AH35" s="646"/>
      <c r="AI35" s="646"/>
      <c r="AJ35" s="646"/>
      <c r="AK35" s="658"/>
    </row>
    <row r="36" spans="5:37" ht="15" x14ac:dyDescent="0.45">
      <c r="E36" s="687"/>
      <c r="F36" s="688"/>
      <c r="G36" s="643"/>
      <c r="H36" s="643"/>
      <c r="I36" s="643"/>
      <c r="J36" s="643"/>
      <c r="K36" s="646"/>
      <c r="L36" s="646"/>
      <c r="M36" s="646"/>
      <c r="N36" s="135"/>
      <c r="P36" s="694"/>
      <c r="Q36" s="695"/>
      <c r="R36" s="695"/>
      <c r="S36" s="695"/>
      <c r="T36" s="697"/>
      <c r="U36" s="698"/>
      <c r="V36" s="152"/>
      <c r="W36" s="153"/>
      <c r="X36" s="696"/>
      <c r="Y36" s="696"/>
      <c r="Z36" s="646"/>
      <c r="AA36" s="646"/>
      <c r="AB36" s="646"/>
      <c r="AC36" s="646"/>
      <c r="AD36" s="646"/>
      <c r="AE36" s="646"/>
      <c r="AF36" s="646"/>
      <c r="AG36" s="646"/>
      <c r="AH36" s="646"/>
      <c r="AI36" s="646"/>
      <c r="AJ36" s="646"/>
      <c r="AK36" s="658"/>
    </row>
    <row r="37" spans="5:37" ht="16.5" customHeight="1" thickBot="1" x14ac:dyDescent="0.6">
      <c r="E37" s="648" t="s">
        <v>124</v>
      </c>
      <c r="F37" s="649"/>
      <c r="G37" s="649"/>
      <c r="H37" s="649"/>
      <c r="I37" s="649"/>
      <c r="J37" s="649"/>
      <c r="K37" s="649"/>
      <c r="L37" s="649"/>
      <c r="M37" s="650"/>
      <c r="N37" s="144">
        <f>SUBTOTAL(109,'T7'!$N$27:$N$36)</f>
        <v>29</v>
      </c>
      <c r="P37" s="701" t="s">
        <v>124</v>
      </c>
      <c r="Q37" s="702"/>
      <c r="R37" s="702"/>
      <c r="S37" s="703"/>
      <c r="T37" s="704">
        <f>SUM(T27:U36)</f>
        <v>30</v>
      </c>
      <c r="U37" s="705"/>
      <c r="V37" s="704">
        <f ca="1">SUM(W27:W36)</f>
        <v>29</v>
      </c>
      <c r="W37" s="705"/>
      <c r="X37" s="704">
        <f t="shared" ref="X37" ca="1" si="2">SUM(X27:Y36)</f>
        <v>-1</v>
      </c>
      <c r="Y37" s="705"/>
      <c r="Z37" s="660"/>
      <c r="AA37" s="660"/>
      <c r="AB37" s="660"/>
      <c r="AC37" s="660"/>
      <c r="AD37" s="660"/>
      <c r="AE37" s="660"/>
      <c r="AF37" s="660"/>
      <c r="AG37" s="660"/>
      <c r="AH37" s="660"/>
      <c r="AI37" s="660"/>
      <c r="AJ37" s="660"/>
      <c r="AK37" s="661"/>
    </row>
    <row r="39" spans="5:37" ht="14.65" thickBot="1" x14ac:dyDescent="0.5"/>
    <row r="40" spans="5:37" ht="15.75" customHeight="1" x14ac:dyDescent="0.55000000000000004">
      <c r="E40" s="623" t="s">
        <v>320</v>
      </c>
      <c r="F40" s="624"/>
      <c r="G40" s="624"/>
      <c r="H40" s="624"/>
      <c r="I40" s="624"/>
      <c r="J40" s="624"/>
      <c r="K40" s="624"/>
      <c r="L40" s="624"/>
      <c r="M40" s="624"/>
      <c r="N40" s="625"/>
      <c r="P40" s="623" t="s">
        <v>321</v>
      </c>
      <c r="Q40" s="624"/>
      <c r="R40" s="624"/>
      <c r="S40" s="624"/>
      <c r="T40" s="624"/>
      <c r="U40" s="624"/>
      <c r="V40" s="624"/>
      <c r="W40" s="624"/>
      <c r="X40" s="624"/>
      <c r="Y40" s="624"/>
      <c r="Z40" s="624"/>
      <c r="AA40" s="624"/>
      <c r="AB40" s="624"/>
      <c r="AC40" s="624"/>
      <c r="AD40" s="624"/>
      <c r="AE40" s="624"/>
      <c r="AF40" s="624"/>
      <c r="AG40" s="624"/>
      <c r="AH40" s="624"/>
      <c r="AI40" s="624"/>
      <c r="AJ40" s="624"/>
      <c r="AK40" s="625"/>
    </row>
    <row r="41" spans="5:37" ht="15" x14ac:dyDescent="0.45">
      <c r="E41" s="664" t="s">
        <v>146</v>
      </c>
      <c r="F41" s="665"/>
      <c r="G41" s="666" t="s">
        <v>347</v>
      </c>
      <c r="H41" s="666"/>
      <c r="I41" s="666"/>
      <c r="J41" s="666"/>
      <c r="K41" s="666" t="s">
        <v>345</v>
      </c>
      <c r="L41" s="666"/>
      <c r="M41" s="666"/>
      <c r="N41" s="136" t="s">
        <v>148</v>
      </c>
      <c r="P41" s="699" t="s">
        <v>147</v>
      </c>
      <c r="Q41" s="700"/>
      <c r="R41" s="700"/>
      <c r="S41" s="700"/>
      <c r="T41" s="700" t="s">
        <v>149</v>
      </c>
      <c r="U41" s="700"/>
      <c r="V41" s="700" t="s">
        <v>150</v>
      </c>
      <c r="W41" s="700"/>
      <c r="X41" s="700" t="s">
        <v>151</v>
      </c>
      <c r="Y41" s="700"/>
      <c r="Z41" s="666" t="s">
        <v>152</v>
      </c>
      <c r="AA41" s="666"/>
      <c r="AB41" s="666"/>
      <c r="AC41" s="666"/>
      <c r="AD41" s="666"/>
      <c r="AE41" s="666"/>
      <c r="AF41" s="666" t="s">
        <v>153</v>
      </c>
      <c r="AG41" s="666"/>
      <c r="AH41" s="666"/>
      <c r="AI41" s="666"/>
      <c r="AJ41" s="666"/>
      <c r="AK41" s="667"/>
    </row>
    <row r="42" spans="5:37" ht="15" customHeight="1" x14ac:dyDescent="0.55000000000000004">
      <c r="E42" s="687">
        <v>44743</v>
      </c>
      <c r="F42" s="688">
        <v>44593</v>
      </c>
      <c r="G42" s="640" t="s">
        <v>5</v>
      </c>
      <c r="H42" s="641"/>
      <c r="I42" s="641"/>
      <c r="J42" s="642"/>
      <c r="K42" s="640"/>
      <c r="L42" s="641"/>
      <c r="M42" s="642"/>
      <c r="N42" s="137">
        <v>4</v>
      </c>
      <c r="P42" s="694" t="str">
        <f>'Từ khóa'!F12</f>
        <v>Mua thực phẩm</v>
      </c>
      <c r="Q42" s="695"/>
      <c r="R42" s="695"/>
      <c r="S42" s="695"/>
      <c r="T42" s="696">
        <f>'Kế hoạch thu nhập và chi tiêu'!L26</f>
        <v>5</v>
      </c>
      <c r="U42" s="696"/>
      <c r="V42" s="152"/>
      <c r="W42" s="153">
        <f t="shared" ref="W42:W56" ca="1" si="3">SUMIF($G$42:$J$82,P42,$N$42:$N$82)</f>
        <v>5.5</v>
      </c>
      <c r="X42" s="697">
        <f t="shared" ref="X42:X56" ca="1" si="4">T42-W42</f>
        <v>-0.5</v>
      </c>
      <c r="Y42" s="698"/>
      <c r="Z42" s="646"/>
      <c r="AA42" s="646"/>
      <c r="AB42" s="646"/>
      <c r="AC42" s="646"/>
      <c r="AD42" s="646"/>
      <c r="AE42" s="646"/>
      <c r="AF42" s="646"/>
      <c r="AG42" s="646"/>
      <c r="AH42" s="646"/>
      <c r="AI42" s="646"/>
      <c r="AJ42" s="646"/>
      <c r="AK42" s="658"/>
    </row>
    <row r="43" spans="5:37" ht="15" customHeight="1" x14ac:dyDescent="0.55000000000000004">
      <c r="E43" s="687">
        <v>44743</v>
      </c>
      <c r="F43" s="688">
        <v>44593</v>
      </c>
      <c r="G43" s="640" t="s">
        <v>6</v>
      </c>
      <c r="H43" s="641" t="s">
        <v>6</v>
      </c>
      <c r="I43" s="641" t="s">
        <v>6</v>
      </c>
      <c r="J43" s="642" t="s">
        <v>6</v>
      </c>
      <c r="K43" s="640"/>
      <c r="L43" s="641"/>
      <c r="M43" s="642"/>
      <c r="N43" s="138">
        <v>0</v>
      </c>
      <c r="P43" s="694" t="str">
        <f>'Từ khóa'!F13</f>
        <v>Mua đồ dùng trong nhà</v>
      </c>
      <c r="Q43" s="695"/>
      <c r="R43" s="695"/>
      <c r="S43" s="695"/>
      <c r="T43" s="696">
        <f>'Kế hoạch thu nhập và chi tiêu'!L27</f>
        <v>0.5</v>
      </c>
      <c r="U43" s="696"/>
      <c r="V43" s="152"/>
      <c r="W43" s="153">
        <f t="shared" ca="1" si="3"/>
        <v>2.5</v>
      </c>
      <c r="X43" s="697">
        <f t="shared" ca="1" si="4"/>
        <v>-2</v>
      </c>
      <c r="Y43" s="698"/>
      <c r="Z43" s="646" t="s">
        <v>398</v>
      </c>
      <c r="AA43" s="646"/>
      <c r="AB43" s="646"/>
      <c r="AC43" s="646"/>
      <c r="AD43" s="646"/>
      <c r="AE43" s="646"/>
      <c r="AF43" s="646" t="s">
        <v>399</v>
      </c>
      <c r="AG43" s="646"/>
      <c r="AH43" s="646"/>
      <c r="AI43" s="646"/>
      <c r="AJ43" s="646"/>
      <c r="AK43" s="658"/>
    </row>
    <row r="44" spans="5:37" ht="15" customHeight="1" x14ac:dyDescent="0.55000000000000004">
      <c r="E44" s="687">
        <v>44744</v>
      </c>
      <c r="F44" s="688">
        <v>44594</v>
      </c>
      <c r="G44" s="640" t="s">
        <v>10</v>
      </c>
      <c r="H44" s="641" t="s">
        <v>10</v>
      </c>
      <c r="I44" s="641" t="s">
        <v>10</v>
      </c>
      <c r="J44" s="642" t="s">
        <v>10</v>
      </c>
      <c r="K44" s="640" t="s">
        <v>159</v>
      </c>
      <c r="L44" s="641" t="s">
        <v>159</v>
      </c>
      <c r="M44" s="642" t="s">
        <v>159</v>
      </c>
      <c r="N44" s="138">
        <v>0.3</v>
      </c>
      <c r="P44" s="694" t="str">
        <f>'Từ khóa'!F14</f>
        <v>Đi ăn ở ngoài</v>
      </c>
      <c r="Q44" s="695"/>
      <c r="R44" s="695"/>
      <c r="S44" s="695"/>
      <c r="T44" s="696">
        <f>'Kế hoạch thu nhập và chi tiêu'!L28</f>
        <v>2</v>
      </c>
      <c r="U44" s="696"/>
      <c r="V44" s="152"/>
      <c r="W44" s="153">
        <f t="shared" ca="1" si="3"/>
        <v>0.5</v>
      </c>
      <c r="X44" s="697">
        <f t="shared" ca="1" si="4"/>
        <v>1.5</v>
      </c>
      <c r="Y44" s="698"/>
      <c r="Z44" s="646"/>
      <c r="AA44" s="646"/>
      <c r="AB44" s="646"/>
      <c r="AC44" s="646"/>
      <c r="AD44" s="646"/>
      <c r="AE44" s="646"/>
      <c r="AF44" s="646"/>
      <c r="AG44" s="646"/>
      <c r="AH44" s="646"/>
      <c r="AI44" s="646"/>
      <c r="AJ44" s="646"/>
      <c r="AK44" s="658"/>
    </row>
    <row r="45" spans="5:37" ht="15" customHeight="1" x14ac:dyDescent="0.55000000000000004">
      <c r="E45" s="687">
        <v>44745</v>
      </c>
      <c r="F45" s="688">
        <v>44595</v>
      </c>
      <c r="G45" s="640" t="s">
        <v>10</v>
      </c>
      <c r="H45" s="641" t="s">
        <v>10</v>
      </c>
      <c r="I45" s="641" t="s">
        <v>10</v>
      </c>
      <c r="J45" s="642" t="s">
        <v>10</v>
      </c>
      <c r="K45" s="640" t="s">
        <v>161</v>
      </c>
      <c r="L45" s="641" t="s">
        <v>161</v>
      </c>
      <c r="M45" s="642" t="s">
        <v>161</v>
      </c>
      <c r="N45" s="138">
        <v>0.1</v>
      </c>
      <c r="P45" s="694" t="str">
        <f>'Từ khóa'!F15</f>
        <v>Chi tiền phát triển bản thân</v>
      </c>
      <c r="Q45" s="695"/>
      <c r="R45" s="695"/>
      <c r="S45" s="695"/>
      <c r="T45" s="696">
        <f>'Kế hoạch thu nhập và chi tiêu'!L29</f>
        <v>1.5</v>
      </c>
      <c r="U45" s="696"/>
      <c r="V45" s="152"/>
      <c r="W45" s="153">
        <f t="shared" ca="1" si="3"/>
        <v>1.1000000000000001</v>
      </c>
      <c r="X45" s="697">
        <f t="shared" ca="1" si="4"/>
        <v>0.39999999999999991</v>
      </c>
      <c r="Y45" s="698"/>
      <c r="Z45" s="646" t="s">
        <v>400</v>
      </c>
      <c r="AA45" s="646"/>
      <c r="AB45" s="646"/>
      <c r="AC45" s="646"/>
      <c r="AD45" s="646"/>
      <c r="AE45" s="646"/>
      <c r="AF45" s="646" t="s">
        <v>401</v>
      </c>
      <c r="AG45" s="646"/>
      <c r="AH45" s="646"/>
      <c r="AI45" s="646"/>
      <c r="AJ45" s="646"/>
      <c r="AK45" s="658"/>
    </row>
    <row r="46" spans="5:37" ht="15" customHeight="1" x14ac:dyDescent="0.55000000000000004">
      <c r="E46" s="687">
        <v>44746</v>
      </c>
      <c r="F46" s="688">
        <v>44596</v>
      </c>
      <c r="G46" s="640" t="s">
        <v>10</v>
      </c>
      <c r="H46" s="641" t="s">
        <v>10</v>
      </c>
      <c r="I46" s="641" t="s">
        <v>10</v>
      </c>
      <c r="J46" s="642" t="s">
        <v>10</v>
      </c>
      <c r="K46" s="640" t="s">
        <v>162</v>
      </c>
      <c r="L46" s="641" t="s">
        <v>162</v>
      </c>
      <c r="M46" s="642" t="s">
        <v>162</v>
      </c>
      <c r="N46" s="138">
        <v>0.3</v>
      </c>
      <c r="P46" s="694" t="str">
        <f>'Từ khóa'!F16</f>
        <v>Chi tiền bảo hiểm</v>
      </c>
      <c r="Q46" s="695"/>
      <c r="R46" s="695"/>
      <c r="S46" s="695"/>
      <c r="T46" s="696">
        <f>'Kế hoạch thu nhập và chi tiêu'!L30</f>
        <v>0</v>
      </c>
      <c r="U46" s="696"/>
      <c r="V46" s="152"/>
      <c r="W46" s="153">
        <f t="shared" ca="1" si="3"/>
        <v>0</v>
      </c>
      <c r="X46" s="697">
        <f t="shared" ca="1" si="4"/>
        <v>0</v>
      </c>
      <c r="Y46" s="698"/>
      <c r="Z46" s="646"/>
      <c r="AA46" s="646"/>
      <c r="AB46" s="646"/>
      <c r="AC46" s="646"/>
      <c r="AD46" s="646"/>
      <c r="AE46" s="646"/>
      <c r="AF46" s="646"/>
      <c r="AG46" s="646"/>
      <c r="AH46" s="646"/>
      <c r="AI46" s="646"/>
      <c r="AJ46" s="646"/>
      <c r="AK46" s="658"/>
    </row>
    <row r="47" spans="5:37" ht="15" customHeight="1" x14ac:dyDescent="0.55000000000000004">
      <c r="E47" s="687">
        <v>44747</v>
      </c>
      <c r="F47" s="688">
        <v>44597</v>
      </c>
      <c r="G47" s="640" t="s">
        <v>10</v>
      </c>
      <c r="H47" s="641" t="s">
        <v>10</v>
      </c>
      <c r="I47" s="641" t="s">
        <v>10</v>
      </c>
      <c r="J47" s="642" t="s">
        <v>10</v>
      </c>
      <c r="K47" s="640" t="s">
        <v>163</v>
      </c>
      <c r="L47" s="641" t="s">
        <v>163</v>
      </c>
      <c r="M47" s="642" t="s">
        <v>163</v>
      </c>
      <c r="N47" s="138">
        <v>0.1</v>
      </c>
      <c r="P47" s="694" t="str">
        <f>'Từ khóa'!F17</f>
        <v>Chi tiền điện, nước, internet, điện thoại, xăng xe</v>
      </c>
      <c r="Q47" s="695"/>
      <c r="R47" s="695"/>
      <c r="S47" s="695"/>
      <c r="T47" s="696">
        <f>'Kế hoạch thu nhập và chi tiêu'!L31</f>
        <v>2</v>
      </c>
      <c r="U47" s="696"/>
      <c r="V47" s="152"/>
      <c r="W47" s="153">
        <f t="shared" ca="1" si="3"/>
        <v>1.05</v>
      </c>
      <c r="X47" s="697">
        <f t="shared" ca="1" si="4"/>
        <v>0.95</v>
      </c>
      <c r="Y47" s="698"/>
      <c r="Z47" s="646" t="s">
        <v>402</v>
      </c>
      <c r="AA47" s="646"/>
      <c r="AB47" s="646"/>
      <c r="AC47" s="646"/>
      <c r="AD47" s="646"/>
      <c r="AE47" s="646"/>
      <c r="AF47" s="646"/>
      <c r="AG47" s="646"/>
      <c r="AH47" s="646"/>
      <c r="AI47" s="646"/>
      <c r="AJ47" s="646"/>
      <c r="AK47" s="658"/>
    </row>
    <row r="48" spans="5:37" ht="15" customHeight="1" x14ac:dyDescent="0.55000000000000004">
      <c r="E48" s="687">
        <v>44749</v>
      </c>
      <c r="F48" s="688">
        <v>44599</v>
      </c>
      <c r="G48" s="640" t="s">
        <v>10</v>
      </c>
      <c r="H48" s="641" t="s">
        <v>10</v>
      </c>
      <c r="I48" s="641" t="s">
        <v>10</v>
      </c>
      <c r="J48" s="642" t="s">
        <v>10</v>
      </c>
      <c r="K48" s="640" t="s">
        <v>164</v>
      </c>
      <c r="L48" s="641" t="s">
        <v>164</v>
      </c>
      <c r="M48" s="642" t="s">
        <v>164</v>
      </c>
      <c r="N48" s="138">
        <v>0.05</v>
      </c>
      <c r="P48" s="694" t="str">
        <f>'Từ khóa'!F18</f>
        <v>Chi tiền giải trí, quà tặng</v>
      </c>
      <c r="Q48" s="695"/>
      <c r="R48" s="695"/>
      <c r="S48" s="695"/>
      <c r="T48" s="696">
        <f>'Kế hoạch thu nhập và chi tiêu'!L32</f>
        <v>0</v>
      </c>
      <c r="U48" s="696"/>
      <c r="V48" s="152"/>
      <c r="W48" s="153">
        <f t="shared" ca="1" si="3"/>
        <v>0</v>
      </c>
      <c r="X48" s="697">
        <f t="shared" ca="1" si="4"/>
        <v>0</v>
      </c>
      <c r="Y48" s="698"/>
      <c r="Z48" s="646"/>
      <c r="AA48" s="646"/>
      <c r="AB48" s="646"/>
      <c r="AC48" s="646"/>
      <c r="AD48" s="646"/>
      <c r="AE48" s="646"/>
      <c r="AF48" s="646"/>
      <c r="AG48" s="646"/>
      <c r="AH48" s="646"/>
      <c r="AI48" s="646"/>
      <c r="AJ48" s="646"/>
      <c r="AK48" s="658"/>
    </row>
    <row r="49" spans="5:37" ht="15" customHeight="1" x14ac:dyDescent="0.55000000000000004">
      <c r="E49" s="687">
        <v>44751</v>
      </c>
      <c r="F49" s="688">
        <v>44601</v>
      </c>
      <c r="G49" s="640" t="s">
        <v>7</v>
      </c>
      <c r="H49" s="641" t="s">
        <v>7</v>
      </c>
      <c r="I49" s="641" t="s">
        <v>7</v>
      </c>
      <c r="J49" s="642" t="s">
        <v>7</v>
      </c>
      <c r="K49" s="640"/>
      <c r="L49" s="641"/>
      <c r="M49" s="642"/>
      <c r="N49" s="138">
        <v>0.5</v>
      </c>
      <c r="P49" s="694" t="str">
        <f>'Từ khóa'!F19</f>
        <v>Chi tiền cho con</v>
      </c>
      <c r="Q49" s="695"/>
      <c r="R49" s="695"/>
      <c r="S49" s="695"/>
      <c r="T49" s="696">
        <f>'Kế hoạch thu nhập và chi tiêu'!L33</f>
        <v>0</v>
      </c>
      <c r="U49" s="696"/>
      <c r="V49" s="152"/>
      <c r="W49" s="153">
        <f t="shared" ca="1" si="3"/>
        <v>1</v>
      </c>
      <c r="X49" s="697">
        <f t="shared" ca="1" si="4"/>
        <v>-1</v>
      </c>
      <c r="Y49" s="698"/>
      <c r="Z49" s="646" t="s">
        <v>403</v>
      </c>
      <c r="AA49" s="646"/>
      <c r="AB49" s="646"/>
      <c r="AC49" s="646"/>
      <c r="AD49" s="646"/>
      <c r="AE49" s="646"/>
      <c r="AF49" s="646"/>
      <c r="AG49" s="646"/>
      <c r="AH49" s="646"/>
      <c r="AI49" s="646"/>
      <c r="AJ49" s="646"/>
      <c r="AK49" s="658"/>
    </row>
    <row r="50" spans="5:37" ht="15" customHeight="1" x14ac:dyDescent="0.55000000000000004">
      <c r="E50" s="687">
        <v>44753</v>
      </c>
      <c r="F50" s="688">
        <v>44603</v>
      </c>
      <c r="G50" s="640" t="s">
        <v>8</v>
      </c>
      <c r="H50" s="641" t="s">
        <v>8</v>
      </c>
      <c r="I50" s="641" t="s">
        <v>8</v>
      </c>
      <c r="J50" s="642" t="s">
        <v>8</v>
      </c>
      <c r="K50" s="640" t="s">
        <v>23</v>
      </c>
      <c r="L50" s="641" t="s">
        <v>23</v>
      </c>
      <c r="M50" s="642" t="s">
        <v>23</v>
      </c>
      <c r="N50" s="138">
        <v>0.5</v>
      </c>
      <c r="P50" s="694" t="str">
        <f>'Từ khóa'!F20</f>
        <v>Chi tiền trả nợ</v>
      </c>
      <c r="Q50" s="695"/>
      <c r="R50" s="695"/>
      <c r="S50" s="695"/>
      <c r="T50" s="696">
        <f>'Kế hoạch thu nhập và chi tiêu'!L34</f>
        <v>6.5</v>
      </c>
      <c r="U50" s="696"/>
      <c r="V50" s="152"/>
      <c r="W50" s="153">
        <f t="shared" ca="1" si="3"/>
        <v>6.5</v>
      </c>
      <c r="X50" s="697">
        <f t="shared" ca="1" si="4"/>
        <v>0</v>
      </c>
      <c r="Y50" s="698"/>
      <c r="Z50" s="646"/>
      <c r="AA50" s="646"/>
      <c r="AB50" s="646"/>
      <c r="AC50" s="646"/>
      <c r="AD50" s="646"/>
      <c r="AE50" s="646"/>
      <c r="AF50" s="646"/>
      <c r="AG50" s="646"/>
      <c r="AH50" s="646"/>
      <c r="AI50" s="646"/>
      <c r="AJ50" s="646"/>
      <c r="AK50" s="658"/>
    </row>
    <row r="51" spans="5:37" ht="15" customHeight="1" x14ac:dyDescent="0.55000000000000004">
      <c r="E51" s="687">
        <v>44754</v>
      </c>
      <c r="F51" s="688">
        <v>44604</v>
      </c>
      <c r="G51" s="640" t="s">
        <v>8</v>
      </c>
      <c r="H51" s="641" t="s">
        <v>8</v>
      </c>
      <c r="I51" s="641" t="s">
        <v>8</v>
      </c>
      <c r="J51" s="642" t="s">
        <v>8</v>
      </c>
      <c r="K51" s="640" t="s">
        <v>165</v>
      </c>
      <c r="L51" s="641" t="s">
        <v>165</v>
      </c>
      <c r="M51" s="642" t="s">
        <v>165</v>
      </c>
      <c r="N51" s="138">
        <v>0.6</v>
      </c>
      <c r="P51" s="694" t="str">
        <f>'Từ khóa'!F21</f>
        <v>Chi tiền cho tặng gia đình</v>
      </c>
      <c r="Q51" s="695"/>
      <c r="R51" s="695"/>
      <c r="S51" s="695"/>
      <c r="T51" s="696">
        <f>'Kế hoạch thu nhập và chi tiêu'!L35</f>
        <v>1</v>
      </c>
      <c r="U51" s="696"/>
      <c r="V51" s="152"/>
      <c r="W51" s="153">
        <f t="shared" ca="1" si="3"/>
        <v>0.1</v>
      </c>
      <c r="X51" s="697">
        <f t="shared" ca="1" si="4"/>
        <v>0.9</v>
      </c>
      <c r="Y51" s="698"/>
      <c r="Z51" s="646"/>
      <c r="AA51" s="646"/>
      <c r="AB51" s="646"/>
      <c r="AC51" s="646"/>
      <c r="AD51" s="646"/>
      <c r="AE51" s="646"/>
      <c r="AF51" s="646"/>
      <c r="AG51" s="646"/>
      <c r="AH51" s="646"/>
      <c r="AI51" s="646"/>
      <c r="AJ51" s="646"/>
      <c r="AK51" s="658"/>
    </row>
    <row r="52" spans="5:37" ht="15" customHeight="1" x14ac:dyDescent="0.55000000000000004">
      <c r="E52" s="687">
        <v>44762</v>
      </c>
      <c r="F52" s="688">
        <v>44612</v>
      </c>
      <c r="G52" s="640" t="s">
        <v>14</v>
      </c>
      <c r="H52" s="641"/>
      <c r="I52" s="641"/>
      <c r="J52" s="642"/>
      <c r="K52" s="640"/>
      <c r="L52" s="641"/>
      <c r="M52" s="642"/>
      <c r="N52" s="138">
        <v>0.1</v>
      </c>
      <c r="P52" s="694" t="str">
        <f>'Từ khóa'!F22</f>
        <v>Chi tiêu 1</v>
      </c>
      <c r="Q52" s="695"/>
      <c r="R52" s="695"/>
      <c r="S52" s="695"/>
      <c r="T52" s="696">
        <f>'Kế hoạch thu nhập và chi tiêu'!L36</f>
        <v>0</v>
      </c>
      <c r="U52" s="696"/>
      <c r="V52" s="152"/>
      <c r="W52" s="153">
        <f t="shared" ca="1" si="3"/>
        <v>0</v>
      </c>
      <c r="X52" s="697">
        <f t="shared" ca="1" si="4"/>
        <v>0</v>
      </c>
      <c r="Y52" s="698"/>
      <c r="Z52" s="646"/>
      <c r="AA52" s="646"/>
      <c r="AB52" s="646"/>
      <c r="AC52" s="646"/>
      <c r="AD52" s="646"/>
      <c r="AE52" s="646"/>
      <c r="AF52" s="646"/>
      <c r="AG52" s="646"/>
      <c r="AH52" s="646"/>
      <c r="AI52" s="646"/>
      <c r="AJ52" s="646"/>
      <c r="AK52" s="658"/>
    </row>
    <row r="53" spans="5:37" ht="15" customHeight="1" x14ac:dyDescent="0.55000000000000004">
      <c r="E53" s="687">
        <v>44764</v>
      </c>
      <c r="F53" s="688" t="s">
        <v>174</v>
      </c>
      <c r="G53" s="640" t="s">
        <v>10</v>
      </c>
      <c r="H53" s="641"/>
      <c r="I53" s="641"/>
      <c r="J53" s="642"/>
      <c r="K53" s="640" t="s">
        <v>395</v>
      </c>
      <c r="L53" s="641"/>
      <c r="M53" s="642"/>
      <c r="N53" s="138">
        <v>0.2</v>
      </c>
      <c r="P53" s="694" t="str">
        <f>'Từ khóa'!F23</f>
        <v>Chi tiêu 2</v>
      </c>
      <c r="Q53" s="695"/>
      <c r="R53" s="695"/>
      <c r="S53" s="695"/>
      <c r="T53" s="696">
        <f>'Kế hoạch thu nhập và chi tiêu'!L37</f>
        <v>0</v>
      </c>
      <c r="U53" s="696"/>
      <c r="V53" s="152"/>
      <c r="W53" s="153">
        <f t="shared" ca="1" si="3"/>
        <v>0</v>
      </c>
      <c r="X53" s="697">
        <f t="shared" ca="1" si="4"/>
        <v>0</v>
      </c>
      <c r="Y53" s="698"/>
      <c r="Z53" s="646"/>
      <c r="AA53" s="646"/>
      <c r="AB53" s="646"/>
      <c r="AC53" s="646"/>
      <c r="AD53" s="646"/>
      <c r="AE53" s="646"/>
      <c r="AF53" s="646"/>
      <c r="AG53" s="646"/>
      <c r="AH53" s="646"/>
      <c r="AI53" s="646"/>
      <c r="AJ53" s="646"/>
      <c r="AK53" s="658"/>
    </row>
    <row r="54" spans="5:37" ht="15" customHeight="1" x14ac:dyDescent="0.55000000000000004">
      <c r="E54" s="687">
        <v>44765</v>
      </c>
      <c r="F54" s="688">
        <v>44615</v>
      </c>
      <c r="G54" s="640" t="s">
        <v>6</v>
      </c>
      <c r="H54" s="641"/>
      <c r="I54" s="641"/>
      <c r="J54" s="642"/>
      <c r="K54" s="640"/>
      <c r="L54" s="641"/>
      <c r="M54" s="642"/>
      <c r="N54" s="138">
        <v>2</v>
      </c>
      <c r="P54" s="694" t="str">
        <f>'Từ khóa'!F24</f>
        <v>Chi tiêu 3</v>
      </c>
      <c r="Q54" s="695"/>
      <c r="R54" s="695"/>
      <c r="S54" s="695"/>
      <c r="T54" s="696">
        <f>'Kế hoạch thu nhập và chi tiêu'!L38</f>
        <v>0</v>
      </c>
      <c r="U54" s="696"/>
      <c r="V54" s="152"/>
      <c r="W54" s="153">
        <f t="shared" ca="1" si="3"/>
        <v>0</v>
      </c>
      <c r="X54" s="697">
        <f t="shared" ca="1" si="4"/>
        <v>0</v>
      </c>
      <c r="Y54" s="698"/>
      <c r="Z54" s="646"/>
      <c r="AA54" s="646"/>
      <c r="AB54" s="646"/>
      <c r="AC54" s="646"/>
      <c r="AD54" s="646"/>
      <c r="AE54" s="646"/>
      <c r="AF54" s="646"/>
      <c r="AG54" s="646"/>
      <c r="AH54" s="646"/>
      <c r="AI54" s="646"/>
      <c r="AJ54" s="646"/>
      <c r="AK54" s="658"/>
    </row>
    <row r="55" spans="5:37" ht="15" customHeight="1" x14ac:dyDescent="0.55000000000000004">
      <c r="E55" s="687">
        <v>44766</v>
      </c>
      <c r="F55" s="688">
        <v>44616</v>
      </c>
      <c r="G55" s="640" t="s">
        <v>5</v>
      </c>
      <c r="H55" s="641"/>
      <c r="I55" s="641"/>
      <c r="J55" s="642"/>
      <c r="K55" s="640"/>
      <c r="L55" s="641"/>
      <c r="M55" s="642"/>
      <c r="N55" s="138">
        <v>0.5</v>
      </c>
      <c r="P55" s="694" t="str">
        <f>'Từ khóa'!F25</f>
        <v>Chi tiêu 4</v>
      </c>
      <c r="Q55" s="695"/>
      <c r="R55" s="695"/>
      <c r="S55" s="695"/>
      <c r="T55" s="696">
        <f>'Kế hoạch thu nhập và chi tiêu'!L39</f>
        <v>0</v>
      </c>
      <c r="U55" s="696"/>
      <c r="V55" s="152"/>
      <c r="W55" s="153">
        <f t="shared" ca="1" si="3"/>
        <v>0</v>
      </c>
      <c r="X55" s="697">
        <f t="shared" ca="1" si="4"/>
        <v>0</v>
      </c>
      <c r="Y55" s="698"/>
      <c r="Z55" s="646"/>
      <c r="AA55" s="646"/>
      <c r="AB55" s="646"/>
      <c r="AC55" s="646"/>
      <c r="AD55" s="646"/>
      <c r="AE55" s="646"/>
      <c r="AF55" s="646"/>
      <c r="AG55" s="646"/>
      <c r="AH55" s="646"/>
      <c r="AI55" s="646"/>
      <c r="AJ55" s="646"/>
      <c r="AK55" s="658"/>
    </row>
    <row r="56" spans="5:37" ht="15" customHeight="1" x14ac:dyDescent="0.55000000000000004">
      <c r="E56" s="687">
        <v>44767</v>
      </c>
      <c r="F56" s="688">
        <v>44617</v>
      </c>
      <c r="G56" s="640" t="s">
        <v>12</v>
      </c>
      <c r="H56" s="641"/>
      <c r="I56" s="641"/>
      <c r="J56" s="642"/>
      <c r="K56" s="640"/>
      <c r="L56" s="641"/>
      <c r="M56" s="642"/>
      <c r="N56" s="138">
        <v>1</v>
      </c>
      <c r="P56" s="694" t="str">
        <f>'Từ khóa'!F26</f>
        <v>Chi tiêu 5</v>
      </c>
      <c r="Q56" s="695"/>
      <c r="R56" s="695"/>
      <c r="S56" s="695"/>
      <c r="T56" s="696">
        <f>'Kế hoạch thu nhập và chi tiêu'!L40</f>
        <v>0</v>
      </c>
      <c r="U56" s="696"/>
      <c r="V56" s="152"/>
      <c r="W56" s="153">
        <f t="shared" ca="1" si="3"/>
        <v>0</v>
      </c>
      <c r="X56" s="697">
        <f t="shared" ca="1" si="4"/>
        <v>0</v>
      </c>
      <c r="Y56" s="698"/>
      <c r="Z56" s="646"/>
      <c r="AA56" s="646"/>
      <c r="AB56" s="646"/>
      <c r="AC56" s="646"/>
      <c r="AD56" s="646"/>
      <c r="AE56" s="646"/>
      <c r="AF56" s="646"/>
      <c r="AG56" s="646"/>
      <c r="AH56" s="646"/>
      <c r="AI56" s="646"/>
      <c r="AJ56" s="646"/>
      <c r="AK56" s="658"/>
    </row>
    <row r="57" spans="5:37" ht="15.75" customHeight="1" thickBot="1" x14ac:dyDescent="0.6">
      <c r="E57" s="687">
        <v>44768</v>
      </c>
      <c r="F57" s="688">
        <v>44618</v>
      </c>
      <c r="G57" s="640" t="s">
        <v>5</v>
      </c>
      <c r="H57" s="641"/>
      <c r="I57" s="641"/>
      <c r="J57" s="642"/>
      <c r="K57" s="640"/>
      <c r="L57" s="641"/>
      <c r="M57" s="642"/>
      <c r="N57" s="138">
        <v>1</v>
      </c>
      <c r="P57" s="691" t="s">
        <v>317</v>
      </c>
      <c r="Q57" s="692"/>
      <c r="R57" s="692"/>
      <c r="S57" s="693"/>
      <c r="T57" s="689">
        <f>SUM(T42:U56)</f>
        <v>18.5</v>
      </c>
      <c r="U57" s="690"/>
      <c r="V57" s="689">
        <f ca="1">SUM(W42:W56)</f>
        <v>18.25</v>
      </c>
      <c r="W57" s="690"/>
      <c r="X57" s="689">
        <f t="shared" ref="X57" ca="1" si="5">SUM(X42:Y56)</f>
        <v>0.24999999999999989</v>
      </c>
      <c r="Y57" s="690"/>
      <c r="Z57" s="669"/>
      <c r="AA57" s="669"/>
      <c r="AB57" s="669"/>
      <c r="AC57" s="669"/>
      <c r="AD57" s="669"/>
      <c r="AE57" s="669"/>
      <c r="AF57" s="669"/>
      <c r="AG57" s="669"/>
      <c r="AH57" s="669"/>
      <c r="AI57" s="669"/>
      <c r="AJ57" s="669"/>
      <c r="AK57" s="670"/>
    </row>
    <row r="58" spans="5:37" ht="15.75" customHeight="1" x14ac:dyDescent="0.55000000000000004">
      <c r="E58" s="687">
        <v>44769</v>
      </c>
      <c r="F58" s="688">
        <v>44619</v>
      </c>
      <c r="G58" s="640" t="s">
        <v>13</v>
      </c>
      <c r="H58" s="641"/>
      <c r="I58" s="641"/>
      <c r="J58" s="642"/>
      <c r="K58" s="640"/>
      <c r="L58" s="641"/>
      <c r="M58" s="642"/>
      <c r="N58" s="138">
        <v>6.5</v>
      </c>
      <c r="Q58" s="6"/>
      <c r="R58" s="6"/>
      <c r="S58" s="6"/>
      <c r="T58" s="6"/>
    </row>
    <row r="59" spans="5:37" ht="15.75" customHeight="1" x14ac:dyDescent="0.55000000000000004">
      <c r="E59" s="687">
        <v>44770</v>
      </c>
      <c r="F59" s="688" t="s">
        <v>174</v>
      </c>
      <c r="G59" s="640" t="s">
        <v>6</v>
      </c>
      <c r="H59" s="641"/>
      <c r="I59" s="641"/>
      <c r="J59" s="642"/>
      <c r="K59" s="640"/>
      <c r="L59" s="641"/>
      <c r="M59" s="642"/>
      <c r="N59" s="140">
        <v>0.5</v>
      </c>
      <c r="Q59" s="6"/>
      <c r="R59" s="6"/>
      <c r="S59" s="6"/>
      <c r="T59" s="6"/>
    </row>
    <row r="60" spans="5:37" ht="15" x14ac:dyDescent="0.55000000000000004">
      <c r="E60" s="638"/>
      <c r="F60" s="639"/>
      <c r="G60" s="640"/>
      <c r="H60" s="641"/>
      <c r="I60" s="641"/>
      <c r="J60" s="642"/>
      <c r="K60" s="640"/>
      <c r="L60" s="641"/>
      <c r="M60" s="642"/>
      <c r="N60" s="140"/>
    </row>
    <row r="61" spans="5:37" ht="15" x14ac:dyDescent="0.55000000000000004">
      <c r="E61" s="638"/>
      <c r="F61" s="639"/>
      <c r="G61" s="640"/>
      <c r="H61" s="641"/>
      <c r="I61" s="641"/>
      <c r="J61" s="642"/>
      <c r="K61" s="640"/>
      <c r="L61" s="641"/>
      <c r="M61" s="642"/>
      <c r="N61" s="140"/>
    </row>
    <row r="62" spans="5:37" ht="15" x14ac:dyDescent="0.55000000000000004">
      <c r="E62" s="638"/>
      <c r="F62" s="639"/>
      <c r="G62" s="640"/>
      <c r="H62" s="641"/>
      <c r="I62" s="641"/>
      <c r="J62" s="642"/>
      <c r="K62" s="640"/>
      <c r="L62" s="641"/>
      <c r="M62" s="642"/>
      <c r="N62" s="140"/>
    </row>
    <row r="63" spans="5:37" ht="15" x14ac:dyDescent="0.55000000000000004">
      <c r="E63" s="638"/>
      <c r="F63" s="639"/>
      <c r="G63" s="640"/>
      <c r="H63" s="641"/>
      <c r="I63" s="641"/>
      <c r="J63" s="642"/>
      <c r="K63" s="640"/>
      <c r="L63" s="641"/>
      <c r="M63" s="642"/>
      <c r="N63" s="140"/>
    </row>
    <row r="64" spans="5:37" ht="15" x14ac:dyDescent="0.55000000000000004">
      <c r="E64" s="638"/>
      <c r="F64" s="639"/>
      <c r="G64" s="640"/>
      <c r="H64" s="641"/>
      <c r="I64" s="641"/>
      <c r="J64" s="642"/>
      <c r="K64" s="640"/>
      <c r="L64" s="641"/>
      <c r="M64" s="642"/>
      <c r="N64" s="140"/>
    </row>
    <row r="65" spans="5:14" ht="15" x14ac:dyDescent="0.55000000000000004">
      <c r="E65" s="638"/>
      <c r="F65" s="639"/>
      <c r="G65" s="640"/>
      <c r="H65" s="641"/>
      <c r="I65" s="641"/>
      <c r="J65" s="642"/>
      <c r="K65" s="640"/>
      <c r="L65" s="641"/>
      <c r="M65" s="642"/>
      <c r="N65" s="140"/>
    </row>
    <row r="66" spans="5:14" ht="15" x14ac:dyDescent="0.55000000000000004">
      <c r="E66" s="638"/>
      <c r="F66" s="639"/>
      <c r="G66" s="640"/>
      <c r="H66" s="641"/>
      <c r="I66" s="641"/>
      <c r="J66" s="642"/>
      <c r="K66" s="640"/>
      <c r="L66" s="641"/>
      <c r="M66" s="642"/>
      <c r="N66" s="140"/>
    </row>
    <row r="67" spans="5:14" ht="15" x14ac:dyDescent="0.55000000000000004">
      <c r="E67" s="638"/>
      <c r="F67" s="639"/>
      <c r="G67" s="640"/>
      <c r="H67" s="641"/>
      <c r="I67" s="641"/>
      <c r="J67" s="642"/>
      <c r="K67" s="640"/>
      <c r="L67" s="641"/>
      <c r="M67" s="642"/>
      <c r="N67" s="140"/>
    </row>
    <row r="68" spans="5:14" ht="15" x14ac:dyDescent="0.55000000000000004">
      <c r="E68" s="638"/>
      <c r="F68" s="639"/>
      <c r="G68" s="640"/>
      <c r="H68" s="641"/>
      <c r="I68" s="641"/>
      <c r="J68" s="642"/>
      <c r="K68" s="640"/>
      <c r="L68" s="641"/>
      <c r="M68" s="642"/>
      <c r="N68" s="140"/>
    </row>
    <row r="69" spans="5:14" ht="15" x14ac:dyDescent="0.55000000000000004">
      <c r="E69" s="638"/>
      <c r="F69" s="639"/>
      <c r="G69" s="640"/>
      <c r="H69" s="641"/>
      <c r="I69" s="641"/>
      <c r="J69" s="642"/>
      <c r="K69" s="640"/>
      <c r="L69" s="641"/>
      <c r="M69" s="642"/>
      <c r="N69" s="140"/>
    </row>
    <row r="70" spans="5:14" ht="15" x14ac:dyDescent="0.55000000000000004">
      <c r="E70" s="638"/>
      <c r="F70" s="639"/>
      <c r="G70" s="640"/>
      <c r="H70" s="641"/>
      <c r="I70" s="641"/>
      <c r="J70" s="642"/>
      <c r="K70" s="640"/>
      <c r="L70" s="641"/>
      <c r="M70" s="642"/>
      <c r="N70" s="140"/>
    </row>
    <row r="71" spans="5:14" ht="15" x14ac:dyDescent="0.55000000000000004">
      <c r="E71" s="638"/>
      <c r="F71" s="639"/>
      <c r="G71" s="640"/>
      <c r="H71" s="641"/>
      <c r="I71" s="641"/>
      <c r="J71" s="642"/>
      <c r="K71" s="640"/>
      <c r="L71" s="641"/>
      <c r="M71" s="642"/>
      <c r="N71" s="140"/>
    </row>
    <row r="72" spans="5:14" ht="15" x14ac:dyDescent="0.55000000000000004">
      <c r="E72" s="638"/>
      <c r="F72" s="639"/>
      <c r="G72" s="640"/>
      <c r="H72" s="641"/>
      <c r="I72" s="641"/>
      <c r="J72" s="642"/>
      <c r="K72" s="640"/>
      <c r="L72" s="641"/>
      <c r="M72" s="642"/>
      <c r="N72" s="140"/>
    </row>
    <row r="73" spans="5:14" ht="15" x14ac:dyDescent="0.55000000000000004">
      <c r="E73" s="638"/>
      <c r="F73" s="639"/>
      <c r="G73" s="640"/>
      <c r="H73" s="641"/>
      <c r="I73" s="641"/>
      <c r="J73" s="642"/>
      <c r="K73" s="640"/>
      <c r="L73" s="641"/>
      <c r="M73" s="642"/>
      <c r="N73" s="140"/>
    </row>
    <row r="74" spans="5:14" ht="15" x14ac:dyDescent="0.55000000000000004">
      <c r="E74" s="638"/>
      <c r="F74" s="639"/>
      <c r="G74" s="640"/>
      <c r="H74" s="641"/>
      <c r="I74" s="641"/>
      <c r="J74" s="642"/>
      <c r="K74" s="640"/>
      <c r="L74" s="641"/>
      <c r="M74" s="642"/>
      <c r="N74" s="140"/>
    </row>
    <row r="75" spans="5:14" ht="15" x14ac:dyDescent="0.55000000000000004">
      <c r="E75" s="638"/>
      <c r="F75" s="639"/>
      <c r="G75" s="640"/>
      <c r="H75" s="641"/>
      <c r="I75" s="641"/>
      <c r="J75" s="642"/>
      <c r="K75" s="640"/>
      <c r="L75" s="641"/>
      <c r="M75" s="642"/>
      <c r="N75" s="140"/>
    </row>
    <row r="76" spans="5:14" ht="15" x14ac:dyDescent="0.55000000000000004">
      <c r="E76" s="638"/>
      <c r="F76" s="639"/>
      <c r="G76" s="640"/>
      <c r="H76" s="641"/>
      <c r="I76" s="641"/>
      <c r="J76" s="642"/>
      <c r="K76" s="640"/>
      <c r="L76" s="641"/>
      <c r="M76" s="642"/>
      <c r="N76" s="140"/>
    </row>
    <row r="77" spans="5:14" ht="15" x14ac:dyDescent="0.55000000000000004">
      <c r="E77" s="638"/>
      <c r="F77" s="639"/>
      <c r="G77" s="640"/>
      <c r="H77" s="641"/>
      <c r="I77" s="641"/>
      <c r="J77" s="642"/>
      <c r="K77" s="640"/>
      <c r="L77" s="641"/>
      <c r="M77" s="642"/>
      <c r="N77" s="140"/>
    </row>
    <row r="78" spans="5:14" ht="15" x14ac:dyDescent="0.55000000000000004">
      <c r="E78" s="638"/>
      <c r="F78" s="639"/>
      <c r="G78" s="640"/>
      <c r="H78" s="641"/>
      <c r="I78" s="641"/>
      <c r="J78" s="642"/>
      <c r="K78" s="640"/>
      <c r="L78" s="641"/>
      <c r="M78" s="642"/>
      <c r="N78" s="140"/>
    </row>
    <row r="79" spans="5:14" ht="15" x14ac:dyDescent="0.55000000000000004">
      <c r="E79" s="638"/>
      <c r="F79" s="639"/>
      <c r="G79" s="640"/>
      <c r="H79" s="641"/>
      <c r="I79" s="641"/>
      <c r="J79" s="642"/>
      <c r="K79" s="640"/>
      <c r="L79" s="641"/>
      <c r="M79" s="642"/>
      <c r="N79" s="140"/>
    </row>
    <row r="80" spans="5:14" ht="15" x14ac:dyDescent="0.55000000000000004">
      <c r="E80" s="638"/>
      <c r="F80" s="639"/>
      <c r="G80" s="640"/>
      <c r="H80" s="641"/>
      <c r="I80" s="641"/>
      <c r="J80" s="642"/>
      <c r="K80" s="640"/>
      <c r="L80" s="641"/>
      <c r="M80" s="642"/>
      <c r="N80" s="140"/>
    </row>
    <row r="81" spans="1:31" ht="15" x14ac:dyDescent="0.55000000000000004">
      <c r="E81" s="638"/>
      <c r="F81" s="639"/>
      <c r="G81" s="640"/>
      <c r="H81" s="641"/>
      <c r="I81" s="641"/>
      <c r="J81" s="642"/>
      <c r="K81" s="640"/>
      <c r="L81" s="641"/>
      <c r="M81" s="642"/>
      <c r="N81" s="140"/>
    </row>
    <row r="82" spans="1:31" ht="15" x14ac:dyDescent="0.55000000000000004">
      <c r="E82" s="638"/>
      <c r="F82" s="639"/>
      <c r="G82" s="640"/>
      <c r="H82" s="641"/>
      <c r="I82" s="641"/>
      <c r="J82" s="642"/>
      <c r="K82" s="640"/>
      <c r="L82" s="641"/>
      <c r="M82" s="642"/>
      <c r="N82" s="140"/>
    </row>
    <row r="83" spans="1:31" ht="15.4" thickBot="1" x14ac:dyDescent="0.6">
      <c r="E83" s="671" t="s">
        <v>317</v>
      </c>
      <c r="F83" s="672"/>
      <c r="G83" s="672"/>
      <c r="H83" s="672"/>
      <c r="I83" s="672"/>
      <c r="J83" s="672"/>
      <c r="K83" s="672"/>
      <c r="L83" s="672"/>
      <c r="M83" s="673"/>
      <c r="N83" s="143">
        <f>SUM(N42:N82)</f>
        <v>18.25</v>
      </c>
    </row>
    <row r="86" spans="1:31" ht="15" customHeight="1" x14ac:dyDescent="0.45">
      <c r="E86" s="532" t="s">
        <v>348</v>
      </c>
      <c r="F86" s="532"/>
      <c r="G86" s="532"/>
      <c r="H86" s="532"/>
      <c r="I86" s="532"/>
      <c r="J86" s="532"/>
      <c r="K86" s="532"/>
      <c r="L86" s="532"/>
      <c r="M86" s="532"/>
      <c r="N86" s="5"/>
      <c r="O86" s="5"/>
      <c r="P86" s="5"/>
      <c r="Q86" s="5"/>
      <c r="R86" s="5"/>
      <c r="S86" s="6"/>
      <c r="T86" s="6"/>
      <c r="U86" s="6"/>
      <c r="V86" s="6"/>
      <c r="W86" s="6"/>
      <c r="X86" s="6"/>
      <c r="Y86" s="6"/>
      <c r="Z86" s="6"/>
      <c r="AA86" s="6"/>
    </row>
    <row r="87" spans="1:31" s="8" customFormat="1" ht="15" customHeight="1" thickBot="1" x14ac:dyDescent="0.5">
      <c r="A87" s="7"/>
      <c r="B87" s="7"/>
      <c r="C87" s="7"/>
      <c r="E87" s="533"/>
      <c r="F87" s="533"/>
      <c r="G87" s="533"/>
      <c r="H87" s="533"/>
      <c r="I87" s="533"/>
      <c r="J87" s="533"/>
      <c r="K87" s="533"/>
      <c r="L87" s="533"/>
      <c r="M87" s="533"/>
      <c r="N87" s="9"/>
      <c r="O87" s="9"/>
      <c r="P87" s="9"/>
      <c r="Q87" s="9"/>
      <c r="R87" s="9"/>
      <c r="S87" s="10"/>
      <c r="T87" s="10"/>
      <c r="U87" s="10"/>
      <c r="V87" s="10"/>
      <c r="W87" s="10"/>
      <c r="X87" s="10"/>
      <c r="Y87" s="10"/>
      <c r="Z87" s="10"/>
      <c r="AA87" s="10"/>
    </row>
    <row r="88" spans="1:31" ht="14.65" thickBot="1" x14ac:dyDescent="0.5"/>
    <row r="89" spans="1:31" ht="14.65" thickBot="1" x14ac:dyDescent="0.5">
      <c r="E89" s="620" t="s">
        <v>350</v>
      </c>
      <c r="F89" s="621"/>
      <c r="G89" s="621"/>
      <c r="H89" s="621"/>
      <c r="I89" s="621"/>
      <c r="J89" s="621"/>
      <c r="K89" s="621"/>
      <c r="L89" s="621"/>
      <c r="M89" s="621"/>
      <c r="N89" s="621"/>
      <c r="O89" s="621"/>
      <c r="P89" s="621"/>
      <c r="Q89" s="621"/>
      <c r="R89" s="621"/>
      <c r="S89" s="621"/>
      <c r="T89" s="621"/>
      <c r="U89" s="621"/>
      <c r="V89" s="621"/>
      <c r="W89" s="621"/>
      <c r="X89" s="621"/>
      <c r="Y89" s="622"/>
      <c r="AA89" s="629" t="s">
        <v>353</v>
      </c>
      <c r="AB89" s="630"/>
      <c r="AC89" s="630"/>
      <c r="AD89" s="630"/>
      <c r="AE89" s="631"/>
    </row>
    <row r="90" spans="1:31" x14ac:dyDescent="0.45">
      <c r="E90" s="615" t="s">
        <v>146</v>
      </c>
      <c r="F90" s="350"/>
      <c r="G90" s="350" t="s">
        <v>349</v>
      </c>
      <c r="H90" s="350"/>
      <c r="I90" s="350" t="s">
        <v>345</v>
      </c>
      <c r="J90" s="350"/>
      <c r="K90" s="133" t="s">
        <v>148</v>
      </c>
      <c r="L90" s="350" t="s">
        <v>166</v>
      </c>
      <c r="M90" s="350"/>
      <c r="N90" s="350"/>
      <c r="O90" s="350"/>
      <c r="P90" s="350"/>
      <c r="Q90" s="350"/>
      <c r="R90" s="350"/>
      <c r="S90" s="350" t="s">
        <v>352</v>
      </c>
      <c r="T90" s="350"/>
      <c r="U90" s="350"/>
      <c r="V90" s="350"/>
      <c r="W90" s="350"/>
      <c r="X90" s="350"/>
      <c r="Y90" s="614"/>
      <c r="AA90" s="685" t="s">
        <v>147</v>
      </c>
      <c r="AB90" s="686"/>
      <c r="AC90" s="686"/>
      <c r="AD90" s="686"/>
      <c r="AE90" s="684" t="s">
        <v>324</v>
      </c>
    </row>
    <row r="91" spans="1:31" ht="15" x14ac:dyDescent="0.45">
      <c r="E91" s="680">
        <v>44753</v>
      </c>
      <c r="F91" s="681"/>
      <c r="G91" s="555" t="s">
        <v>23</v>
      </c>
      <c r="H91" s="555"/>
      <c r="I91" s="555" t="s">
        <v>167</v>
      </c>
      <c r="J91" s="555"/>
      <c r="K91" s="149">
        <v>0.5</v>
      </c>
      <c r="L91" s="619" t="s">
        <v>168</v>
      </c>
      <c r="M91" s="619"/>
      <c r="N91" s="619"/>
      <c r="O91" s="619"/>
      <c r="P91" s="619"/>
      <c r="Q91" s="619"/>
      <c r="R91" s="619"/>
      <c r="S91" s="555"/>
      <c r="T91" s="555"/>
      <c r="U91" s="555"/>
      <c r="V91" s="555"/>
      <c r="W91" s="555"/>
      <c r="X91" s="555"/>
      <c r="Y91" s="556"/>
      <c r="AA91" s="685"/>
      <c r="AB91" s="686"/>
      <c r="AC91" s="686"/>
      <c r="AD91" s="686"/>
      <c r="AE91" s="684"/>
    </row>
    <row r="92" spans="1:31" ht="15" x14ac:dyDescent="0.45">
      <c r="E92" s="680">
        <v>44754</v>
      </c>
      <c r="F92" s="681"/>
      <c r="G92" s="557" t="s">
        <v>24</v>
      </c>
      <c r="H92" s="557"/>
      <c r="I92" s="557" t="s">
        <v>329</v>
      </c>
      <c r="J92" s="557"/>
      <c r="K92" s="150">
        <v>0.6</v>
      </c>
      <c r="L92" s="606" t="s">
        <v>168</v>
      </c>
      <c r="M92" s="606"/>
      <c r="N92" s="606"/>
      <c r="O92" s="606"/>
      <c r="P92" s="606"/>
      <c r="Q92" s="606"/>
      <c r="R92" s="606"/>
      <c r="S92" s="557"/>
      <c r="T92" s="557"/>
      <c r="U92" s="557"/>
      <c r="V92" s="557"/>
      <c r="W92" s="557"/>
      <c r="X92" s="557"/>
      <c r="Y92" s="558"/>
      <c r="AA92" s="682" t="str">
        <f>'Từ khóa'!S12:S12</f>
        <v>Mua sách</v>
      </c>
      <c r="AB92" s="683"/>
      <c r="AC92" s="683"/>
      <c r="AD92" s="683"/>
      <c r="AE92" s="145">
        <f ca="1">SUMIF($G$91:$H$105,AA92,$K$91:$K$105)</f>
        <v>0.5</v>
      </c>
    </row>
    <row r="93" spans="1:31" ht="15" x14ac:dyDescent="0.45">
      <c r="E93" s="680"/>
      <c r="F93" s="681"/>
      <c r="G93" s="557"/>
      <c r="H93" s="557"/>
      <c r="I93" s="557"/>
      <c r="J93" s="557"/>
      <c r="K93" s="150"/>
      <c r="L93" s="606"/>
      <c r="M93" s="606"/>
      <c r="N93" s="606"/>
      <c r="O93" s="606"/>
      <c r="P93" s="606"/>
      <c r="Q93" s="606"/>
      <c r="R93" s="606"/>
      <c r="S93" s="557"/>
      <c r="T93" s="557"/>
      <c r="U93" s="557"/>
      <c r="V93" s="557"/>
      <c r="W93" s="557"/>
      <c r="X93" s="557"/>
      <c r="Y93" s="558"/>
      <c r="AA93" s="678" t="str">
        <f>'Từ khóa'!S13:S13</f>
        <v>Khóa học ngắn hạn</v>
      </c>
      <c r="AB93" s="679"/>
      <c r="AC93" s="679"/>
      <c r="AD93" s="679"/>
      <c r="AE93" s="146">
        <f t="shared" ref="AE93:AE101" ca="1" si="6">SUMIF($G$91:$H$105,AA93,$K$91:$K$105)</f>
        <v>0.6</v>
      </c>
    </row>
    <row r="94" spans="1:31" ht="15" x14ac:dyDescent="0.45">
      <c r="E94" s="680"/>
      <c r="F94" s="681"/>
      <c r="G94" s="557"/>
      <c r="H94" s="557"/>
      <c r="I94" s="557"/>
      <c r="J94" s="557"/>
      <c r="K94" s="150"/>
      <c r="L94" s="606"/>
      <c r="M94" s="606"/>
      <c r="N94" s="606"/>
      <c r="O94" s="606"/>
      <c r="P94" s="606"/>
      <c r="Q94" s="606"/>
      <c r="R94" s="606"/>
      <c r="S94" s="557"/>
      <c r="T94" s="557"/>
      <c r="U94" s="557"/>
      <c r="V94" s="557"/>
      <c r="W94" s="557"/>
      <c r="X94" s="557"/>
      <c r="Y94" s="558"/>
      <c r="AA94" s="678" t="str">
        <f>'Từ khóa'!S14:S14</f>
        <v>Khóa học dài hạn</v>
      </c>
      <c r="AB94" s="679"/>
      <c r="AC94" s="679"/>
      <c r="AD94" s="679"/>
      <c r="AE94" s="146">
        <f t="shared" ca="1" si="6"/>
        <v>0</v>
      </c>
    </row>
    <row r="95" spans="1:31" x14ac:dyDescent="0.45">
      <c r="E95" s="604"/>
      <c r="F95" s="605"/>
      <c r="G95" s="557"/>
      <c r="H95" s="557"/>
      <c r="I95" s="557"/>
      <c r="J95" s="557"/>
      <c r="K95" s="150"/>
      <c r="L95" s="606"/>
      <c r="M95" s="606"/>
      <c r="N95" s="606"/>
      <c r="O95" s="606"/>
      <c r="P95" s="606"/>
      <c r="Q95" s="606"/>
      <c r="R95" s="606"/>
      <c r="S95" s="557"/>
      <c r="T95" s="557"/>
      <c r="U95" s="557"/>
      <c r="V95" s="557"/>
      <c r="W95" s="557"/>
      <c r="X95" s="557"/>
      <c r="Y95" s="558"/>
      <c r="AA95" s="678" t="e">
        <f>'Từ khóa'!#REF!</f>
        <v>#REF!</v>
      </c>
      <c r="AB95" s="679"/>
      <c r="AC95" s="679"/>
      <c r="AD95" s="679"/>
      <c r="AE95" s="146">
        <f t="shared" ca="1" si="6"/>
        <v>0</v>
      </c>
    </row>
    <row r="96" spans="1:31" x14ac:dyDescent="0.45">
      <c r="E96" s="604"/>
      <c r="F96" s="605"/>
      <c r="G96" s="557"/>
      <c r="H96" s="557"/>
      <c r="I96" s="557"/>
      <c r="J96" s="557"/>
      <c r="K96" s="150"/>
      <c r="L96" s="606"/>
      <c r="M96" s="606"/>
      <c r="N96" s="606"/>
      <c r="O96" s="606"/>
      <c r="P96" s="606"/>
      <c r="Q96" s="606"/>
      <c r="R96" s="606"/>
      <c r="S96" s="557"/>
      <c r="T96" s="557"/>
      <c r="U96" s="557"/>
      <c r="V96" s="557"/>
      <c r="W96" s="557"/>
      <c r="X96" s="557"/>
      <c r="Y96" s="558"/>
      <c r="AA96" s="678" t="str">
        <f>'Từ khóa'!S15:S15</f>
        <v>Tham gia các buổi diễn thuyết</v>
      </c>
      <c r="AB96" s="679"/>
      <c r="AC96" s="679"/>
      <c r="AD96" s="679"/>
      <c r="AE96" s="146">
        <f t="shared" ca="1" si="6"/>
        <v>0</v>
      </c>
    </row>
    <row r="97" spans="5:31" x14ac:dyDescent="0.45">
      <c r="E97" s="604"/>
      <c r="F97" s="605"/>
      <c r="G97" s="557"/>
      <c r="H97" s="557"/>
      <c r="I97" s="557"/>
      <c r="J97" s="557"/>
      <c r="K97" s="150"/>
      <c r="L97" s="606"/>
      <c r="M97" s="606"/>
      <c r="N97" s="606"/>
      <c r="O97" s="606"/>
      <c r="P97" s="606"/>
      <c r="Q97" s="606"/>
      <c r="R97" s="606"/>
      <c r="S97" s="557"/>
      <c r="T97" s="557"/>
      <c r="U97" s="557"/>
      <c r="V97" s="557"/>
      <c r="W97" s="557"/>
      <c r="X97" s="557"/>
      <c r="Y97" s="558"/>
      <c r="AA97" s="678" t="str">
        <f>'Từ khóa'!S16:S16</f>
        <v>Chi phát triển bản thân khác</v>
      </c>
      <c r="AB97" s="679"/>
      <c r="AC97" s="679"/>
      <c r="AD97" s="679"/>
      <c r="AE97" s="146">
        <f t="shared" ca="1" si="6"/>
        <v>0</v>
      </c>
    </row>
    <row r="98" spans="5:31" x14ac:dyDescent="0.45">
      <c r="E98" s="604"/>
      <c r="F98" s="605"/>
      <c r="G98" s="557"/>
      <c r="H98" s="557"/>
      <c r="I98" s="557"/>
      <c r="J98" s="557"/>
      <c r="K98" s="150"/>
      <c r="L98" s="606"/>
      <c r="M98" s="606"/>
      <c r="N98" s="606"/>
      <c r="O98" s="606"/>
      <c r="P98" s="606"/>
      <c r="Q98" s="606"/>
      <c r="R98" s="606"/>
      <c r="S98" s="557"/>
      <c r="T98" s="557"/>
      <c r="U98" s="557"/>
      <c r="V98" s="557"/>
      <c r="W98" s="557"/>
      <c r="X98" s="557"/>
      <c r="Y98" s="558"/>
      <c r="AA98" s="678">
        <f>'Từ khóa'!S18:S18</f>
        <v>0</v>
      </c>
      <c r="AB98" s="679"/>
      <c r="AC98" s="679"/>
      <c r="AD98" s="679"/>
      <c r="AE98" s="146">
        <f t="shared" ca="1" si="6"/>
        <v>0</v>
      </c>
    </row>
    <row r="99" spans="5:31" x14ac:dyDescent="0.45">
      <c r="E99" s="604"/>
      <c r="F99" s="605"/>
      <c r="G99" s="557"/>
      <c r="H99" s="557"/>
      <c r="I99" s="557"/>
      <c r="J99" s="557"/>
      <c r="K99" s="150"/>
      <c r="L99" s="606"/>
      <c r="M99" s="606"/>
      <c r="N99" s="606"/>
      <c r="O99" s="606"/>
      <c r="P99" s="606"/>
      <c r="Q99" s="606"/>
      <c r="R99" s="606"/>
      <c r="S99" s="557"/>
      <c r="T99" s="557"/>
      <c r="U99" s="557"/>
      <c r="V99" s="557"/>
      <c r="W99" s="557"/>
      <c r="X99" s="557"/>
      <c r="Y99" s="558"/>
      <c r="AA99" s="678">
        <f>'Từ khóa'!S19:S19</f>
        <v>0</v>
      </c>
      <c r="AB99" s="679"/>
      <c r="AC99" s="679"/>
      <c r="AD99" s="679"/>
      <c r="AE99" s="146">
        <f t="shared" ca="1" si="6"/>
        <v>0</v>
      </c>
    </row>
    <row r="100" spans="5:31" x14ac:dyDescent="0.45">
      <c r="E100" s="604"/>
      <c r="F100" s="605"/>
      <c r="G100" s="557"/>
      <c r="H100" s="557"/>
      <c r="I100" s="557"/>
      <c r="J100" s="557"/>
      <c r="K100" s="150"/>
      <c r="L100" s="606"/>
      <c r="M100" s="606"/>
      <c r="N100" s="606"/>
      <c r="O100" s="606"/>
      <c r="P100" s="606"/>
      <c r="Q100" s="606"/>
      <c r="R100" s="606"/>
      <c r="S100" s="557"/>
      <c r="T100" s="557"/>
      <c r="U100" s="557"/>
      <c r="V100" s="557"/>
      <c r="W100" s="557"/>
      <c r="X100" s="557"/>
      <c r="Y100" s="558"/>
      <c r="AA100" s="678">
        <f>'Từ khóa'!S20:S20</f>
        <v>0</v>
      </c>
      <c r="AB100" s="679"/>
      <c r="AC100" s="679"/>
      <c r="AD100" s="679"/>
      <c r="AE100" s="146">
        <f t="shared" ca="1" si="6"/>
        <v>0</v>
      </c>
    </row>
    <row r="101" spans="5:31" ht="14.65" thickBot="1" x14ac:dyDescent="0.5">
      <c r="E101" s="604"/>
      <c r="F101" s="605"/>
      <c r="G101" s="557"/>
      <c r="H101" s="557"/>
      <c r="I101" s="557"/>
      <c r="J101" s="557"/>
      <c r="K101" s="150"/>
      <c r="L101" s="606"/>
      <c r="M101" s="606"/>
      <c r="N101" s="606"/>
      <c r="O101" s="606"/>
      <c r="P101" s="606"/>
      <c r="Q101" s="606"/>
      <c r="R101" s="606"/>
      <c r="S101" s="557"/>
      <c r="T101" s="557"/>
      <c r="U101" s="557"/>
      <c r="V101" s="557"/>
      <c r="W101" s="557"/>
      <c r="X101" s="557"/>
      <c r="Y101" s="558"/>
      <c r="AA101" s="676">
        <f>'Từ khóa'!S21:S21</f>
        <v>0</v>
      </c>
      <c r="AB101" s="677"/>
      <c r="AC101" s="677"/>
      <c r="AD101" s="677"/>
      <c r="AE101" s="147">
        <f t="shared" ca="1" si="6"/>
        <v>0</v>
      </c>
    </row>
    <row r="102" spans="5:31" ht="14.65" thickBot="1" x14ac:dyDescent="0.5">
      <c r="E102" s="604"/>
      <c r="F102" s="605"/>
      <c r="G102" s="557"/>
      <c r="H102" s="557"/>
      <c r="I102" s="557"/>
      <c r="J102" s="557"/>
      <c r="K102" s="150"/>
      <c r="L102" s="606"/>
      <c r="M102" s="606"/>
      <c r="N102" s="606"/>
      <c r="O102" s="606"/>
      <c r="P102" s="606"/>
      <c r="Q102" s="606"/>
      <c r="R102" s="606"/>
      <c r="S102" s="557"/>
      <c r="T102" s="557"/>
      <c r="U102" s="557"/>
      <c r="V102" s="557"/>
      <c r="W102" s="557"/>
      <c r="X102" s="557"/>
      <c r="Y102" s="558"/>
      <c r="AA102" s="598" t="s">
        <v>351</v>
      </c>
      <c r="AB102" s="599"/>
      <c r="AC102" s="599"/>
      <c r="AD102" s="599"/>
      <c r="AE102" s="262">
        <f ca="1">SUM(AE92:AE101)</f>
        <v>1.1000000000000001</v>
      </c>
    </row>
    <row r="103" spans="5:31" x14ac:dyDescent="0.45">
      <c r="E103" s="604"/>
      <c r="F103" s="605"/>
      <c r="G103" s="557"/>
      <c r="H103" s="557"/>
      <c r="I103" s="557"/>
      <c r="J103" s="557"/>
      <c r="K103" s="150"/>
      <c r="L103" s="606"/>
      <c r="M103" s="606"/>
      <c r="N103" s="606"/>
      <c r="O103" s="606"/>
      <c r="P103" s="606"/>
      <c r="Q103" s="606"/>
      <c r="R103" s="606"/>
      <c r="S103" s="557"/>
      <c r="T103" s="557"/>
      <c r="U103" s="557"/>
      <c r="V103" s="557"/>
      <c r="W103" s="557"/>
      <c r="X103" s="557"/>
      <c r="Y103" s="558"/>
      <c r="AA103" s="600"/>
      <c r="AB103" s="600"/>
      <c r="AC103" s="600"/>
      <c r="AD103" s="600"/>
    </row>
    <row r="104" spans="5:31" x14ac:dyDescent="0.45">
      <c r="E104" s="604"/>
      <c r="F104" s="605"/>
      <c r="G104" s="557"/>
      <c r="H104" s="557"/>
      <c r="I104" s="557"/>
      <c r="J104" s="557"/>
      <c r="K104" s="150"/>
      <c r="L104" s="606"/>
      <c r="M104" s="606"/>
      <c r="N104" s="606"/>
      <c r="O104" s="606"/>
      <c r="P104" s="606"/>
      <c r="Q104" s="606"/>
      <c r="R104" s="606"/>
      <c r="S104" s="557"/>
      <c r="T104" s="557"/>
      <c r="U104" s="557"/>
      <c r="V104" s="557"/>
      <c r="W104" s="557"/>
      <c r="X104" s="557"/>
      <c r="Y104" s="558"/>
      <c r="AA104" s="600"/>
      <c r="AB104" s="600"/>
      <c r="AC104" s="600"/>
      <c r="AD104" s="600"/>
    </row>
    <row r="105" spans="5:31" ht="14.65" thickBot="1" x14ac:dyDescent="0.5">
      <c r="E105" s="607"/>
      <c r="F105" s="608"/>
      <c r="G105" s="546"/>
      <c r="H105" s="546"/>
      <c r="I105" s="546"/>
      <c r="J105" s="546"/>
      <c r="K105" s="151"/>
      <c r="L105" s="609"/>
      <c r="M105" s="609"/>
      <c r="N105" s="609"/>
      <c r="O105" s="609"/>
      <c r="P105" s="609"/>
      <c r="Q105" s="609"/>
      <c r="R105" s="609"/>
      <c r="S105" s="546"/>
      <c r="T105" s="546"/>
      <c r="U105" s="546"/>
      <c r="V105" s="546"/>
      <c r="W105" s="546"/>
      <c r="X105" s="546"/>
      <c r="Y105" s="547"/>
      <c r="AA105" s="600"/>
      <c r="AB105" s="600"/>
      <c r="AC105" s="600"/>
      <c r="AD105" s="600"/>
    </row>
    <row r="106" spans="5:31" ht="14.65" thickBot="1" x14ac:dyDescent="0.5">
      <c r="E106" s="601" t="s">
        <v>351</v>
      </c>
      <c r="F106" s="602"/>
      <c r="G106" s="602"/>
      <c r="H106" s="602"/>
      <c r="I106" s="602"/>
      <c r="J106" s="602"/>
      <c r="K106" s="603">
        <f>SUM(K91:K105)</f>
        <v>1.1000000000000001</v>
      </c>
      <c r="L106" s="603"/>
      <c r="M106" s="603"/>
      <c r="N106" s="603"/>
      <c r="O106" s="603"/>
      <c r="P106" s="603"/>
      <c r="Q106" s="603"/>
      <c r="R106" s="603"/>
      <c r="S106" s="141"/>
      <c r="T106" s="141"/>
      <c r="U106" s="141"/>
      <c r="V106" s="141"/>
      <c r="W106" s="141"/>
      <c r="X106" s="141"/>
      <c r="Y106" s="142"/>
    </row>
  </sheetData>
  <sheetProtection algorithmName="SHA-512" hashValue="RGaC1B60gXCXcAZ75BQoDG6G151t1V8pcgPJ5GoIjevhml8DOvbbwsv66cepP4WLEnhORZ+gRrg+5oc0Kr/ZKQ==" saltValue="nhosUjlhCh2a/jpKQggIjg==" spinCount="100000" sheet="1" objects="1" scenarios="1"/>
  <mergeCells count="423">
    <mergeCell ref="E1:K3"/>
    <mergeCell ref="E6:M7"/>
    <mergeCell ref="E9:H12"/>
    <mergeCell ref="I9:I12"/>
    <mergeCell ref="E14:H17"/>
    <mergeCell ref="I14:I17"/>
    <mergeCell ref="E19:H22"/>
    <mergeCell ref="I19:I22"/>
    <mergeCell ref="E25:N25"/>
    <mergeCell ref="P25:AK25"/>
    <mergeCell ref="E26:F26"/>
    <mergeCell ref="G26:J26"/>
    <mergeCell ref="K26:M26"/>
    <mergeCell ref="P26:S26"/>
    <mergeCell ref="T26:U26"/>
    <mergeCell ref="V26:W26"/>
    <mergeCell ref="X26:Y26"/>
    <mergeCell ref="Z26:AE26"/>
    <mergeCell ref="AF26:AK26"/>
    <mergeCell ref="E27:F27"/>
    <mergeCell ref="G27:J27"/>
    <mergeCell ref="K27:M27"/>
    <mergeCell ref="P27:S27"/>
    <mergeCell ref="T27:U27"/>
    <mergeCell ref="X27:Y27"/>
    <mergeCell ref="Z27:AE27"/>
    <mergeCell ref="AF27:AK27"/>
    <mergeCell ref="E28:F28"/>
    <mergeCell ref="G28:J28"/>
    <mergeCell ref="K28:M28"/>
    <mergeCell ref="P28:S28"/>
    <mergeCell ref="T28:U28"/>
    <mergeCell ref="X28:Y28"/>
    <mergeCell ref="Z28:AE28"/>
    <mergeCell ref="AF28:AK28"/>
    <mergeCell ref="Z29:AE29"/>
    <mergeCell ref="AF29:AK29"/>
    <mergeCell ref="E30:F30"/>
    <mergeCell ref="G30:J30"/>
    <mergeCell ref="K30:M30"/>
    <mergeCell ref="P30:S30"/>
    <mergeCell ref="T30:U30"/>
    <mergeCell ref="X30:Y30"/>
    <mergeCell ref="Z30:AE30"/>
    <mergeCell ref="AF30:AK30"/>
    <mergeCell ref="E29:F29"/>
    <mergeCell ref="G29:J29"/>
    <mergeCell ref="K29:M29"/>
    <mergeCell ref="P29:S29"/>
    <mergeCell ref="T29:U29"/>
    <mergeCell ref="X29:Y29"/>
    <mergeCell ref="Z31:AE31"/>
    <mergeCell ref="AF31:AK31"/>
    <mergeCell ref="E32:F32"/>
    <mergeCell ref="G32:J32"/>
    <mergeCell ref="K32:M32"/>
    <mergeCell ref="P32:S32"/>
    <mergeCell ref="T32:U32"/>
    <mergeCell ref="X32:Y32"/>
    <mergeCell ref="Z32:AE32"/>
    <mergeCell ref="AF32:AK32"/>
    <mergeCell ref="E31:F31"/>
    <mergeCell ref="G31:J31"/>
    <mergeCell ref="K31:M31"/>
    <mergeCell ref="P31:S31"/>
    <mergeCell ref="T31:U31"/>
    <mergeCell ref="X31:Y31"/>
    <mergeCell ref="Z33:AE33"/>
    <mergeCell ref="AF33:AK33"/>
    <mergeCell ref="E34:F34"/>
    <mergeCell ref="G34:J34"/>
    <mergeCell ref="K34:M34"/>
    <mergeCell ref="P34:S34"/>
    <mergeCell ref="T34:U34"/>
    <mergeCell ref="X34:Y34"/>
    <mergeCell ref="Z34:AE34"/>
    <mergeCell ref="AF34:AK34"/>
    <mergeCell ref="E33:F33"/>
    <mergeCell ref="G33:J33"/>
    <mergeCell ref="K33:M33"/>
    <mergeCell ref="P33:S33"/>
    <mergeCell ref="T33:U33"/>
    <mergeCell ref="X33:Y33"/>
    <mergeCell ref="Z35:AE35"/>
    <mergeCell ref="AF35:AK35"/>
    <mergeCell ref="E36:F36"/>
    <mergeCell ref="G36:J36"/>
    <mergeCell ref="K36:M36"/>
    <mergeCell ref="P36:S36"/>
    <mergeCell ref="T36:U36"/>
    <mergeCell ref="X36:Y36"/>
    <mergeCell ref="Z36:AE36"/>
    <mergeCell ref="AF36:AK36"/>
    <mergeCell ref="E35:F35"/>
    <mergeCell ref="G35:J35"/>
    <mergeCell ref="K35:M35"/>
    <mergeCell ref="P35:S35"/>
    <mergeCell ref="T35:U35"/>
    <mergeCell ref="X35:Y35"/>
    <mergeCell ref="AF37:AK37"/>
    <mergeCell ref="E40:N40"/>
    <mergeCell ref="P40:AK40"/>
    <mergeCell ref="E41:F41"/>
    <mergeCell ref="G41:J41"/>
    <mergeCell ref="K41:M41"/>
    <mergeCell ref="P41:S41"/>
    <mergeCell ref="T41:U41"/>
    <mergeCell ref="V41:W41"/>
    <mergeCell ref="X41:Y41"/>
    <mergeCell ref="E37:M37"/>
    <mergeCell ref="P37:S37"/>
    <mergeCell ref="T37:U37"/>
    <mergeCell ref="V37:W37"/>
    <mergeCell ref="X37:Y37"/>
    <mergeCell ref="Z37:AE37"/>
    <mergeCell ref="Z41:AE41"/>
    <mergeCell ref="AF41:AK41"/>
    <mergeCell ref="E42:F42"/>
    <mergeCell ref="G42:J42"/>
    <mergeCell ref="K42:M42"/>
    <mergeCell ref="P42:S42"/>
    <mergeCell ref="T42:U42"/>
    <mergeCell ref="X42:Y42"/>
    <mergeCell ref="Z42:AE42"/>
    <mergeCell ref="AF42:AK42"/>
    <mergeCell ref="Z43:AE43"/>
    <mergeCell ref="AF43:AK43"/>
    <mergeCell ref="E44:F44"/>
    <mergeCell ref="G44:J44"/>
    <mergeCell ref="K44:M44"/>
    <mergeCell ref="P44:S44"/>
    <mergeCell ref="T44:U44"/>
    <mergeCell ref="X44:Y44"/>
    <mergeCell ref="Z44:AE44"/>
    <mergeCell ref="AF44:AK44"/>
    <mergeCell ref="E43:F43"/>
    <mergeCell ref="G43:J43"/>
    <mergeCell ref="K43:M43"/>
    <mergeCell ref="P43:S43"/>
    <mergeCell ref="T43:U43"/>
    <mergeCell ref="X43:Y43"/>
    <mergeCell ref="Z45:AE45"/>
    <mergeCell ref="AF45:AK45"/>
    <mergeCell ref="E46:F46"/>
    <mergeCell ref="G46:J46"/>
    <mergeCell ref="K46:M46"/>
    <mergeCell ref="P46:S46"/>
    <mergeCell ref="T46:U46"/>
    <mergeCell ref="X46:Y46"/>
    <mergeCell ref="Z46:AE46"/>
    <mergeCell ref="AF46:AK46"/>
    <mergeCell ref="E45:F45"/>
    <mergeCell ref="G45:J45"/>
    <mergeCell ref="K45:M45"/>
    <mergeCell ref="P45:S45"/>
    <mergeCell ref="T45:U45"/>
    <mergeCell ref="X45:Y45"/>
    <mergeCell ref="Z47:AE47"/>
    <mergeCell ref="AF47:AK47"/>
    <mergeCell ref="E48:F48"/>
    <mergeCell ref="G48:J48"/>
    <mergeCell ref="K48:M48"/>
    <mergeCell ref="P48:S48"/>
    <mergeCell ref="T48:U48"/>
    <mergeCell ref="X48:Y48"/>
    <mergeCell ref="Z48:AE48"/>
    <mergeCell ref="AF48:AK48"/>
    <mergeCell ref="E47:F47"/>
    <mergeCell ref="G47:J47"/>
    <mergeCell ref="K47:M47"/>
    <mergeCell ref="P47:S47"/>
    <mergeCell ref="T47:U47"/>
    <mergeCell ref="X47:Y47"/>
    <mergeCell ref="Z49:AE49"/>
    <mergeCell ref="AF49:AK49"/>
    <mergeCell ref="E50:F50"/>
    <mergeCell ref="G50:J50"/>
    <mergeCell ref="K50:M50"/>
    <mergeCell ref="P50:S50"/>
    <mergeCell ref="T50:U50"/>
    <mergeCell ref="X50:Y50"/>
    <mergeCell ref="Z50:AE50"/>
    <mergeCell ref="AF50:AK50"/>
    <mergeCell ref="E49:F49"/>
    <mergeCell ref="G49:J49"/>
    <mergeCell ref="K49:M49"/>
    <mergeCell ref="P49:S49"/>
    <mergeCell ref="T49:U49"/>
    <mergeCell ref="X49:Y49"/>
    <mergeCell ref="Z51:AE51"/>
    <mergeCell ref="AF51:AK51"/>
    <mergeCell ref="E52:F52"/>
    <mergeCell ref="G52:J52"/>
    <mergeCell ref="K52:M52"/>
    <mergeCell ref="P52:S52"/>
    <mergeCell ref="T52:U52"/>
    <mergeCell ref="X52:Y52"/>
    <mergeCell ref="Z52:AE52"/>
    <mergeCell ref="AF52:AK52"/>
    <mergeCell ref="E51:F51"/>
    <mergeCell ref="G51:J51"/>
    <mergeCell ref="K51:M51"/>
    <mergeCell ref="P51:S51"/>
    <mergeCell ref="T51:U51"/>
    <mergeCell ref="X51:Y51"/>
    <mergeCell ref="Z53:AE53"/>
    <mergeCell ref="AF53:AK53"/>
    <mergeCell ref="E54:F54"/>
    <mergeCell ref="G54:J54"/>
    <mergeCell ref="K54:M54"/>
    <mergeCell ref="P54:S54"/>
    <mergeCell ref="T54:U54"/>
    <mergeCell ref="X54:Y54"/>
    <mergeCell ref="Z54:AE54"/>
    <mergeCell ref="AF54:AK54"/>
    <mergeCell ref="E53:F53"/>
    <mergeCell ref="G53:J53"/>
    <mergeCell ref="K53:M53"/>
    <mergeCell ref="P53:S53"/>
    <mergeCell ref="T53:U53"/>
    <mergeCell ref="X53:Y53"/>
    <mergeCell ref="Z55:AE55"/>
    <mergeCell ref="AF55:AK55"/>
    <mergeCell ref="E56:F56"/>
    <mergeCell ref="G56:J56"/>
    <mergeCell ref="K56:M56"/>
    <mergeCell ref="P56:S56"/>
    <mergeCell ref="T56:U56"/>
    <mergeCell ref="X56:Y56"/>
    <mergeCell ref="Z56:AE56"/>
    <mergeCell ref="AF56:AK56"/>
    <mergeCell ref="E55:F55"/>
    <mergeCell ref="G55:J55"/>
    <mergeCell ref="K55:M55"/>
    <mergeCell ref="P55:S55"/>
    <mergeCell ref="T55:U55"/>
    <mergeCell ref="X55:Y55"/>
    <mergeCell ref="X57:Y57"/>
    <mergeCell ref="Z57:AE57"/>
    <mergeCell ref="AF57:AK57"/>
    <mergeCell ref="E58:F58"/>
    <mergeCell ref="G58:J58"/>
    <mergeCell ref="K58:M58"/>
    <mergeCell ref="E57:F57"/>
    <mergeCell ref="G57:J57"/>
    <mergeCell ref="K57:M57"/>
    <mergeCell ref="P57:S57"/>
    <mergeCell ref="T57:U57"/>
    <mergeCell ref="V57:W57"/>
    <mergeCell ref="E61:F61"/>
    <mergeCell ref="G61:J61"/>
    <mergeCell ref="K61:M61"/>
    <mergeCell ref="E62:F62"/>
    <mergeCell ref="G62:J62"/>
    <mergeCell ref="K62:M62"/>
    <mergeCell ref="E59:F59"/>
    <mergeCell ref="G59:J59"/>
    <mergeCell ref="K59:M59"/>
    <mergeCell ref="E60:F60"/>
    <mergeCell ref="G60:J60"/>
    <mergeCell ref="K60:M60"/>
    <mergeCell ref="E65:F65"/>
    <mergeCell ref="G65:J65"/>
    <mergeCell ref="K65:M65"/>
    <mergeCell ref="E66:F66"/>
    <mergeCell ref="G66:J66"/>
    <mergeCell ref="K66:M66"/>
    <mergeCell ref="E63:F63"/>
    <mergeCell ref="G63:J63"/>
    <mergeCell ref="K63:M63"/>
    <mergeCell ref="E64:F64"/>
    <mergeCell ref="G64:J64"/>
    <mergeCell ref="K64:M64"/>
    <mergeCell ref="E69:F69"/>
    <mergeCell ref="G69:J69"/>
    <mergeCell ref="K69:M69"/>
    <mergeCell ref="E70:F70"/>
    <mergeCell ref="G70:J70"/>
    <mergeCell ref="K70:M70"/>
    <mergeCell ref="E67:F67"/>
    <mergeCell ref="G67:J67"/>
    <mergeCell ref="K67:M67"/>
    <mergeCell ref="E68:F68"/>
    <mergeCell ref="G68:J68"/>
    <mergeCell ref="K68:M68"/>
    <mergeCell ref="E73:F73"/>
    <mergeCell ref="G73:J73"/>
    <mergeCell ref="K73:M73"/>
    <mergeCell ref="E74:F74"/>
    <mergeCell ref="G74:J74"/>
    <mergeCell ref="K74:M74"/>
    <mergeCell ref="E71:F71"/>
    <mergeCell ref="G71:J71"/>
    <mergeCell ref="K71:M71"/>
    <mergeCell ref="E72:F72"/>
    <mergeCell ref="G72:J72"/>
    <mergeCell ref="K72:M72"/>
    <mergeCell ref="E77:F77"/>
    <mergeCell ref="G77:J77"/>
    <mergeCell ref="K77:M77"/>
    <mergeCell ref="E78:F78"/>
    <mergeCell ref="G78:J78"/>
    <mergeCell ref="K78:M78"/>
    <mergeCell ref="E75:F75"/>
    <mergeCell ref="G75:J75"/>
    <mergeCell ref="K75:M75"/>
    <mergeCell ref="E76:F76"/>
    <mergeCell ref="G76:J76"/>
    <mergeCell ref="K76:M76"/>
    <mergeCell ref="E81:F81"/>
    <mergeCell ref="G81:J81"/>
    <mergeCell ref="K81:M81"/>
    <mergeCell ref="E82:F82"/>
    <mergeCell ref="G82:J82"/>
    <mergeCell ref="K82:M82"/>
    <mergeCell ref="E79:F79"/>
    <mergeCell ref="G79:J79"/>
    <mergeCell ref="K79:M79"/>
    <mergeCell ref="E80:F80"/>
    <mergeCell ref="G80:J80"/>
    <mergeCell ref="K80:M80"/>
    <mergeCell ref="AE90:AE91"/>
    <mergeCell ref="E91:F91"/>
    <mergeCell ref="G91:H91"/>
    <mergeCell ref="I91:J91"/>
    <mergeCell ref="L91:R91"/>
    <mergeCell ref="S91:Y91"/>
    <mergeCell ref="E83:M83"/>
    <mergeCell ref="E86:M87"/>
    <mergeCell ref="E89:Y89"/>
    <mergeCell ref="AA89:AE89"/>
    <mergeCell ref="E90:F90"/>
    <mergeCell ref="G90:H90"/>
    <mergeCell ref="I90:J90"/>
    <mergeCell ref="L90:R90"/>
    <mergeCell ref="S90:Y90"/>
    <mergeCell ref="AA90:AD91"/>
    <mergeCell ref="E93:F93"/>
    <mergeCell ref="G93:H93"/>
    <mergeCell ref="I93:J93"/>
    <mergeCell ref="L93:R93"/>
    <mergeCell ref="S93:Y93"/>
    <mergeCell ref="AA93:AD93"/>
    <mergeCell ref="E92:F92"/>
    <mergeCell ref="G92:H92"/>
    <mergeCell ref="I92:J92"/>
    <mergeCell ref="L92:R92"/>
    <mergeCell ref="S92:Y92"/>
    <mergeCell ref="AA92:AD92"/>
    <mergeCell ref="E95:F95"/>
    <mergeCell ref="G95:H95"/>
    <mergeCell ref="I95:J95"/>
    <mergeCell ref="L95:R95"/>
    <mergeCell ref="S95:Y95"/>
    <mergeCell ref="AA95:AD95"/>
    <mergeCell ref="E94:F94"/>
    <mergeCell ref="G94:H94"/>
    <mergeCell ref="I94:J94"/>
    <mergeCell ref="L94:R94"/>
    <mergeCell ref="S94:Y94"/>
    <mergeCell ref="AA94:AD94"/>
    <mergeCell ref="E97:F97"/>
    <mergeCell ref="G97:H97"/>
    <mergeCell ref="I97:J97"/>
    <mergeCell ref="L97:R97"/>
    <mergeCell ref="S97:Y97"/>
    <mergeCell ref="AA97:AD97"/>
    <mergeCell ref="E96:F96"/>
    <mergeCell ref="G96:H96"/>
    <mergeCell ref="I96:J96"/>
    <mergeCell ref="L96:R96"/>
    <mergeCell ref="S96:Y96"/>
    <mergeCell ref="AA96:AD96"/>
    <mergeCell ref="E99:F99"/>
    <mergeCell ref="G99:H99"/>
    <mergeCell ref="I99:J99"/>
    <mergeCell ref="L99:R99"/>
    <mergeCell ref="S99:Y99"/>
    <mergeCell ref="AA99:AD99"/>
    <mergeCell ref="E98:F98"/>
    <mergeCell ref="G98:H98"/>
    <mergeCell ref="I98:J98"/>
    <mergeCell ref="L98:R98"/>
    <mergeCell ref="S98:Y98"/>
    <mergeCell ref="AA98:AD98"/>
    <mergeCell ref="E101:F101"/>
    <mergeCell ref="G101:H101"/>
    <mergeCell ref="I101:J101"/>
    <mergeCell ref="L101:R101"/>
    <mergeCell ref="S101:Y101"/>
    <mergeCell ref="AA101:AD101"/>
    <mergeCell ref="E100:F100"/>
    <mergeCell ref="G100:H100"/>
    <mergeCell ref="I100:J100"/>
    <mergeCell ref="L100:R100"/>
    <mergeCell ref="S100:Y100"/>
    <mergeCell ref="AA100:AD100"/>
    <mergeCell ref="E103:F103"/>
    <mergeCell ref="G103:H103"/>
    <mergeCell ref="I103:J103"/>
    <mergeCell ref="L103:R103"/>
    <mergeCell ref="S103:Y103"/>
    <mergeCell ref="AA103:AD103"/>
    <mergeCell ref="E102:F102"/>
    <mergeCell ref="G102:H102"/>
    <mergeCell ref="I102:J102"/>
    <mergeCell ref="L102:R102"/>
    <mergeCell ref="S102:Y102"/>
    <mergeCell ref="AA102:AD102"/>
    <mergeCell ref="E106:J106"/>
    <mergeCell ref="K106:R106"/>
    <mergeCell ref="E105:F105"/>
    <mergeCell ref="G105:H105"/>
    <mergeCell ref="I105:J105"/>
    <mergeCell ref="L105:R105"/>
    <mergeCell ref="S105:Y105"/>
    <mergeCell ref="AA105:AD105"/>
    <mergeCell ref="E104:F104"/>
    <mergeCell ref="G104:H104"/>
    <mergeCell ref="I104:J104"/>
    <mergeCell ref="L104:R104"/>
    <mergeCell ref="S104:Y104"/>
    <mergeCell ref="AA104:AD104"/>
  </mergeCells>
  <conditionalFormatting sqref="X27:Y36">
    <cfRule type="cellIs" dxfId="12" priority="2" operator="lessThan">
      <formula>0</formula>
    </cfRule>
  </conditionalFormatting>
  <conditionalFormatting sqref="X42:Y56">
    <cfRule type="cellIs" dxfId="11" priority="3" operator="lessThan">
      <formula>0</formula>
    </cfRule>
  </conditionalFormatting>
  <conditionalFormatting sqref="AE92:AE101">
    <cfRule type="dataBar" priority="1">
      <dataBar>
        <cfvo type="min"/>
        <cfvo type="max"/>
        <color theme="6" tint="0.39997558519241921"/>
      </dataBar>
      <extLst>
        <ext xmlns:x14="http://schemas.microsoft.com/office/spreadsheetml/2009/9/main" uri="{B025F937-C7B1-47D3-B67F-A62EFF666E3E}">
          <x14:id>{67C4CBB9-6F63-42E9-812C-43ADEBC7C9D9}</x14:id>
        </ext>
      </extLst>
    </cfRule>
  </conditionalFormatting>
  <dataValidations count="1">
    <dataValidation allowBlank="1" showInputMessage="1" showErrorMessage="1" prompt="Nhập dữ liệu" sqref="E60:F82 E95:F105 K60:M82 I91:Y105 K27:N36 N42:N82" xr:uid="{00000000-0002-0000-0C00-000000000000}"/>
  </dataValidations>
  <hyperlinks>
    <hyperlink ref="F4" location="'T7'!E7" display="Phần 1" xr:uid="{00000000-0004-0000-0C00-000000000000}"/>
    <hyperlink ref="G4" location="'T7'!E87" display="Phần 2" xr:uid="{00000000-0004-0000-0C00-000001000000}"/>
    <hyperlink ref="H4" location="'T7'!E109" display="Phần 3" xr:uid="{00000000-0004-0000-0C00-000002000000}"/>
  </hyperlinks>
  <pageMargins left="0.7" right="0.7" top="0.75" bottom="0.75" header="0.3" footer="0.3"/>
  <pageSetup scale="31" orientation="portrait" r:id="rId1"/>
  <drawing r:id="rId2"/>
  <extLst>
    <ext xmlns:x14="http://schemas.microsoft.com/office/spreadsheetml/2009/9/main" uri="{78C0D931-6437-407d-A8EE-F0AAD7539E65}">
      <x14:conditionalFormattings>
        <x14:conditionalFormatting xmlns:xm="http://schemas.microsoft.com/office/excel/2006/main">
          <x14:cfRule type="dataBar" id="{67C4CBB9-6F63-42E9-812C-43ADEBC7C9D9}">
            <x14:dataBar minLength="0" maxLength="100" gradient="0">
              <x14:cfvo type="autoMin"/>
              <x14:cfvo type="autoMax"/>
              <x14:negativeFillColor rgb="FFFF0000"/>
              <x14:axisColor rgb="FF000000"/>
            </x14:dataBar>
          </x14:cfRule>
          <xm:sqref>AE92:AE101</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prompt="Chọn dữ liệu" xr:uid="{00000000-0002-0000-0C00-000001000000}">
          <x14:formula1>
            <xm:f>'Từ khóa'!$M$12:$M$19</xm:f>
          </x14:formula1>
          <xm:sqref>G27:J36</xm:sqref>
        </x14:dataValidation>
        <x14:dataValidation type="list" allowBlank="1" showInputMessage="1" showErrorMessage="1" prompt="Chọn dữ liệu" xr:uid="{00000000-0002-0000-0C00-000002000000}">
          <x14:formula1>
            <xm:f>'Từ khóa'!$F$12:$F$26</xm:f>
          </x14:formula1>
          <xm:sqref>G42:J82</xm:sqref>
        </x14:dataValidation>
        <x14:dataValidation type="list" allowBlank="1" showInputMessage="1" showErrorMessage="1" prompt="Chọn dữ liệu" xr:uid="{00000000-0002-0000-0C00-000003000000}">
          <x14:formula1>
            <xm:f>'Từ khóa'!$S$12:$S$21</xm:f>
          </x14:formula1>
          <xm:sqref>G91:H105</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K106"/>
  <sheetViews>
    <sheetView showGridLines="0" zoomScale="80" zoomScaleNormal="80" workbookViewId="0">
      <pane xSplit="4" ySplit="4" topLeftCell="E77" activePane="bottomRight" state="frozen"/>
      <selection pane="topRight" activeCell="E1" sqref="E1"/>
      <selection pane="bottomLeft" activeCell="A5" sqref="A5"/>
      <selection pane="bottomRight" activeCell="S91" sqref="S91:Y94"/>
    </sheetView>
  </sheetViews>
  <sheetFormatPr defaultColWidth="9.19921875" defaultRowHeight="14.25" x14ac:dyDescent="0.45"/>
  <cols>
    <col min="1" max="3" width="9.19921875" style="1"/>
    <col min="4" max="5" width="9.19921875" style="4"/>
    <col min="6" max="9" width="13.19921875" style="4" customWidth="1"/>
    <col min="10" max="14" width="9.19921875" style="4"/>
    <col min="15" max="15" width="13.19921875" style="4" customWidth="1"/>
    <col min="16" max="16384" width="9.19921875" style="4"/>
  </cols>
  <sheetData>
    <row r="1" spans="1:27" s="2" customFormat="1" ht="15" customHeight="1" x14ac:dyDescent="0.45">
      <c r="A1" s="1"/>
      <c r="B1" s="1"/>
      <c r="C1" s="1"/>
      <c r="E1" s="353" t="s">
        <v>334</v>
      </c>
      <c r="F1" s="353"/>
      <c r="G1" s="353"/>
      <c r="H1" s="353"/>
      <c r="I1" s="353"/>
      <c r="J1" s="353"/>
      <c r="K1" s="353"/>
    </row>
    <row r="2" spans="1:27" s="2" customFormat="1" ht="15" customHeight="1" x14ac:dyDescent="0.45">
      <c r="A2" s="1"/>
      <c r="B2" s="1"/>
      <c r="C2" s="1"/>
      <c r="E2" s="353"/>
      <c r="F2" s="353"/>
      <c r="G2" s="353"/>
      <c r="H2" s="353"/>
      <c r="I2" s="353"/>
      <c r="J2" s="353"/>
      <c r="K2" s="353"/>
    </row>
    <row r="3" spans="1:27" s="2" customFormat="1" ht="14.65" thickBot="1" x14ac:dyDescent="0.5">
      <c r="A3" s="1"/>
      <c r="B3" s="1"/>
      <c r="C3" s="1"/>
      <c r="E3" s="353"/>
      <c r="F3" s="353"/>
      <c r="G3" s="353"/>
      <c r="H3" s="353"/>
      <c r="I3" s="353"/>
      <c r="J3" s="353"/>
      <c r="K3" s="353"/>
      <c r="L3" s="3" t="s">
        <v>45</v>
      </c>
    </row>
    <row r="4" spans="1:27" ht="14.65" thickBot="1" x14ac:dyDescent="0.5">
      <c r="F4" s="154" t="s">
        <v>132</v>
      </c>
      <c r="G4" s="154" t="s">
        <v>133</v>
      </c>
      <c r="H4" s="154" t="s">
        <v>134</v>
      </c>
    </row>
    <row r="5" spans="1:27" ht="15" customHeight="1" x14ac:dyDescent="0.45">
      <c r="F5" s="6"/>
      <c r="G5" s="6"/>
      <c r="H5" s="6"/>
      <c r="I5" s="6"/>
      <c r="J5" s="6"/>
      <c r="K5" s="6"/>
      <c r="L5" s="6"/>
      <c r="M5" s="6"/>
      <c r="N5" s="6"/>
      <c r="O5" s="6"/>
      <c r="P5" s="6"/>
      <c r="Q5" s="6"/>
      <c r="R5" s="6"/>
      <c r="S5" s="6"/>
      <c r="T5" s="6"/>
      <c r="U5" s="6"/>
      <c r="V5" s="6"/>
      <c r="W5" s="6"/>
      <c r="X5" s="6"/>
      <c r="Y5" s="6"/>
      <c r="Z5" s="6"/>
      <c r="AA5" s="6"/>
    </row>
    <row r="6" spans="1:27" ht="15" customHeight="1" x14ac:dyDescent="0.45">
      <c r="E6" s="532" t="s">
        <v>135</v>
      </c>
      <c r="F6" s="532"/>
      <c r="G6" s="532"/>
      <c r="H6" s="532"/>
      <c r="I6" s="532"/>
      <c r="J6" s="532"/>
      <c r="K6" s="532"/>
      <c r="L6" s="532"/>
      <c r="M6" s="532"/>
      <c r="N6" s="5"/>
      <c r="O6" s="5"/>
      <c r="P6" s="5"/>
      <c r="Q6" s="5"/>
      <c r="R6" s="5"/>
      <c r="S6" s="6"/>
      <c r="T6" s="6"/>
      <c r="U6" s="6"/>
      <c r="V6" s="6"/>
      <c r="W6" s="6"/>
      <c r="X6" s="6"/>
      <c r="Y6" s="6"/>
      <c r="Z6" s="6"/>
      <c r="AA6" s="6"/>
    </row>
    <row r="7" spans="1:27" s="8" customFormat="1" ht="15" customHeight="1" thickBot="1" x14ac:dyDescent="0.5">
      <c r="A7" s="7"/>
      <c r="B7" s="7"/>
      <c r="C7" s="7"/>
      <c r="E7" s="533"/>
      <c r="F7" s="533"/>
      <c r="G7" s="533"/>
      <c r="H7" s="533"/>
      <c r="I7" s="533"/>
      <c r="J7" s="533"/>
      <c r="K7" s="533"/>
      <c r="L7" s="533"/>
      <c r="M7" s="533"/>
      <c r="N7" s="9"/>
      <c r="O7" s="9"/>
      <c r="P7" s="9"/>
      <c r="Q7" s="9"/>
      <c r="R7" s="9"/>
      <c r="S7" s="10"/>
      <c r="T7" s="10"/>
      <c r="U7" s="10"/>
      <c r="V7" s="10"/>
      <c r="W7" s="10"/>
      <c r="X7" s="10"/>
      <c r="Y7" s="10"/>
      <c r="Z7" s="10"/>
      <c r="AA7" s="10"/>
    </row>
    <row r="8" spans="1:27" ht="15" customHeight="1" x14ac:dyDescent="0.45">
      <c r="E8" s="6"/>
      <c r="F8" s="6"/>
      <c r="G8" s="6"/>
      <c r="H8" s="6"/>
      <c r="I8" s="6"/>
      <c r="J8" s="6"/>
      <c r="K8" s="6"/>
      <c r="L8" s="6"/>
      <c r="M8" s="6"/>
      <c r="N8" s="6"/>
      <c r="O8" s="6"/>
      <c r="P8" s="6"/>
      <c r="Q8" s="6"/>
      <c r="R8" s="6"/>
      <c r="S8" s="6"/>
      <c r="T8" s="6"/>
      <c r="U8" s="6"/>
      <c r="V8" s="6"/>
      <c r="W8" s="6"/>
      <c r="X8" s="6"/>
      <c r="Y8" s="6"/>
      <c r="Z8" s="6"/>
      <c r="AA8" s="6"/>
    </row>
    <row r="9" spans="1:27" ht="15" customHeight="1" x14ac:dyDescent="0.45">
      <c r="E9" s="632" t="s">
        <v>124</v>
      </c>
      <c r="F9" s="632"/>
      <c r="G9" s="632"/>
      <c r="H9" s="632"/>
      <c r="I9" s="708">
        <f>N37</f>
        <v>25</v>
      </c>
    </row>
    <row r="10" spans="1:27" ht="15" customHeight="1" x14ac:dyDescent="0.45">
      <c r="E10" s="632"/>
      <c r="F10" s="632"/>
      <c r="G10" s="632"/>
      <c r="H10" s="632"/>
      <c r="I10" s="708"/>
    </row>
    <row r="11" spans="1:27" ht="15" customHeight="1" x14ac:dyDescent="0.45">
      <c r="E11" s="632"/>
      <c r="F11" s="632"/>
      <c r="G11" s="632"/>
      <c r="H11" s="632"/>
      <c r="I11" s="708"/>
    </row>
    <row r="12" spans="1:27" ht="15" customHeight="1" x14ac:dyDescent="0.45">
      <c r="E12" s="632"/>
      <c r="F12" s="632"/>
      <c r="G12" s="632"/>
      <c r="H12" s="632"/>
      <c r="I12" s="708"/>
    </row>
    <row r="13" spans="1:27" x14ac:dyDescent="0.45">
      <c r="E13" s="89"/>
      <c r="F13" s="89"/>
      <c r="G13" s="89"/>
      <c r="I13" s="89"/>
    </row>
    <row r="14" spans="1:27" ht="15" customHeight="1" x14ac:dyDescent="0.45">
      <c r="E14" s="633" t="s">
        <v>136</v>
      </c>
      <c r="F14" s="633"/>
      <c r="G14" s="633"/>
      <c r="H14" s="633"/>
      <c r="I14" s="708">
        <f>N83</f>
        <v>22.55</v>
      </c>
    </row>
    <row r="15" spans="1:27" ht="15" customHeight="1" x14ac:dyDescent="0.45">
      <c r="E15" s="633"/>
      <c r="F15" s="633"/>
      <c r="G15" s="633"/>
      <c r="H15" s="633"/>
      <c r="I15" s="708"/>
    </row>
    <row r="16" spans="1:27" ht="15" customHeight="1" x14ac:dyDescent="0.45">
      <c r="E16" s="633"/>
      <c r="F16" s="633"/>
      <c r="G16" s="633"/>
      <c r="H16" s="633"/>
      <c r="I16" s="708"/>
    </row>
    <row r="17" spans="5:37" ht="15" customHeight="1" x14ac:dyDescent="0.45">
      <c r="E17" s="633"/>
      <c r="F17" s="633"/>
      <c r="G17" s="633"/>
      <c r="H17" s="633"/>
      <c r="I17" s="708"/>
    </row>
    <row r="18" spans="5:37" x14ac:dyDescent="0.45">
      <c r="E18" s="89"/>
      <c r="F18" s="89"/>
      <c r="G18" s="89"/>
      <c r="I18" s="89"/>
    </row>
    <row r="19" spans="5:37" ht="15" customHeight="1" x14ac:dyDescent="0.45">
      <c r="E19" s="634" t="s">
        <v>96</v>
      </c>
      <c r="F19" s="634"/>
      <c r="G19" s="634"/>
      <c r="H19" s="634"/>
      <c r="I19" s="708">
        <f>I9-I14</f>
        <v>2.4499999999999993</v>
      </c>
    </row>
    <row r="20" spans="5:37" ht="15" customHeight="1" x14ac:dyDescent="0.45">
      <c r="E20" s="634"/>
      <c r="F20" s="634"/>
      <c r="G20" s="634"/>
      <c r="H20" s="634"/>
      <c r="I20" s="708"/>
    </row>
    <row r="21" spans="5:37" ht="15" customHeight="1" x14ac:dyDescent="0.45">
      <c r="E21" s="634"/>
      <c r="F21" s="634"/>
      <c r="G21" s="634"/>
      <c r="H21" s="634"/>
      <c r="I21" s="708"/>
    </row>
    <row r="22" spans="5:37" ht="15" customHeight="1" x14ac:dyDescent="0.45">
      <c r="E22" s="634"/>
      <c r="F22" s="634"/>
      <c r="G22" s="634"/>
      <c r="H22" s="634"/>
      <c r="I22" s="708"/>
    </row>
    <row r="24" spans="5:37" ht="14.65" thickBot="1" x14ac:dyDescent="0.5">
      <c r="E24" s="6"/>
      <c r="F24" s="6"/>
      <c r="G24" s="6"/>
      <c r="H24" s="6"/>
    </row>
    <row r="25" spans="5:37" ht="15.75" customHeight="1" thickBot="1" x14ac:dyDescent="0.6">
      <c r="E25" s="626" t="s">
        <v>143</v>
      </c>
      <c r="F25" s="627"/>
      <c r="G25" s="627"/>
      <c r="H25" s="627"/>
      <c r="I25" s="627"/>
      <c r="J25" s="627"/>
      <c r="K25" s="627"/>
      <c r="L25" s="627"/>
      <c r="M25" s="627"/>
      <c r="N25" s="628"/>
      <c r="P25" s="626" t="s">
        <v>144</v>
      </c>
      <c r="Q25" s="627"/>
      <c r="R25" s="627"/>
      <c r="S25" s="627"/>
      <c r="T25" s="627"/>
      <c r="U25" s="627"/>
      <c r="V25" s="627"/>
      <c r="W25" s="627"/>
      <c r="X25" s="627"/>
      <c r="Y25" s="627"/>
      <c r="Z25" s="627"/>
      <c r="AA25" s="627"/>
      <c r="AB25" s="627"/>
      <c r="AC25" s="627"/>
      <c r="AD25" s="627"/>
      <c r="AE25" s="627"/>
      <c r="AF25" s="627"/>
      <c r="AG25" s="627"/>
      <c r="AH25" s="627"/>
      <c r="AI25" s="627"/>
      <c r="AJ25" s="627"/>
      <c r="AK25" s="628"/>
    </row>
    <row r="26" spans="5:37" ht="15" customHeight="1" x14ac:dyDescent="0.45">
      <c r="E26" s="644" t="s">
        <v>146</v>
      </c>
      <c r="F26" s="645"/>
      <c r="G26" s="647" t="s">
        <v>346</v>
      </c>
      <c r="H26" s="647"/>
      <c r="I26" s="647"/>
      <c r="J26" s="647"/>
      <c r="K26" s="647" t="s">
        <v>345</v>
      </c>
      <c r="L26" s="647"/>
      <c r="M26" s="647"/>
      <c r="N26" s="134" t="s">
        <v>148</v>
      </c>
      <c r="P26" s="706" t="s">
        <v>147</v>
      </c>
      <c r="Q26" s="707"/>
      <c r="R26" s="707"/>
      <c r="S26" s="707"/>
      <c r="T26" s="707" t="s">
        <v>149</v>
      </c>
      <c r="U26" s="707"/>
      <c r="V26" s="707" t="s">
        <v>150</v>
      </c>
      <c r="W26" s="707"/>
      <c r="X26" s="707" t="s">
        <v>151</v>
      </c>
      <c r="Y26" s="707"/>
      <c r="Z26" s="652" t="s">
        <v>152</v>
      </c>
      <c r="AA26" s="652"/>
      <c r="AB26" s="652"/>
      <c r="AC26" s="652"/>
      <c r="AD26" s="652"/>
      <c r="AE26" s="652"/>
      <c r="AF26" s="652" t="s">
        <v>153</v>
      </c>
      <c r="AG26" s="652"/>
      <c r="AH26" s="652"/>
      <c r="AI26" s="652"/>
      <c r="AJ26" s="652"/>
      <c r="AK26" s="659"/>
    </row>
    <row r="27" spans="5:37" ht="15" x14ac:dyDescent="0.45">
      <c r="E27" s="687">
        <v>44788</v>
      </c>
      <c r="F27" s="688"/>
      <c r="G27" s="643" t="s">
        <v>21</v>
      </c>
      <c r="H27" s="643"/>
      <c r="I27" s="643"/>
      <c r="J27" s="643"/>
      <c r="K27" s="646"/>
      <c r="L27" s="646"/>
      <c r="M27" s="646"/>
      <c r="N27" s="135">
        <v>18</v>
      </c>
      <c r="P27" s="694" t="str">
        <f>'Từ khóa'!M12</f>
        <v>Lương từ công ty</v>
      </c>
      <c r="Q27" s="695"/>
      <c r="R27" s="695"/>
      <c r="S27" s="695"/>
      <c r="T27" s="696">
        <f>'Kế hoạch thu nhập và chi tiêu'!L11</f>
        <v>20</v>
      </c>
      <c r="U27" s="696"/>
      <c r="V27" s="152"/>
      <c r="W27" s="153">
        <f t="shared" ref="W27:W34" ca="1" si="0">SUMIF($G$27:$J$36,P27,$N$27:$N$36)</f>
        <v>18</v>
      </c>
      <c r="X27" s="696">
        <f t="shared" ref="X27:X34" ca="1" si="1">W27-T27</f>
        <v>-2</v>
      </c>
      <c r="Y27" s="696"/>
      <c r="Z27" s="646"/>
      <c r="AA27" s="646"/>
      <c r="AB27" s="646"/>
      <c r="AC27" s="646"/>
      <c r="AD27" s="646"/>
      <c r="AE27" s="646"/>
      <c r="AF27" s="646"/>
      <c r="AG27" s="646"/>
      <c r="AH27" s="646"/>
      <c r="AI27" s="646"/>
      <c r="AJ27" s="646"/>
      <c r="AK27" s="658"/>
    </row>
    <row r="28" spans="5:37" ht="15" x14ac:dyDescent="0.45">
      <c r="E28" s="687">
        <v>44793</v>
      </c>
      <c r="F28" s="688">
        <v>44612</v>
      </c>
      <c r="G28" s="643" t="s">
        <v>372</v>
      </c>
      <c r="H28" s="643"/>
      <c r="I28" s="643"/>
      <c r="J28" s="643"/>
      <c r="K28" s="646"/>
      <c r="L28" s="646"/>
      <c r="M28" s="646"/>
      <c r="N28" s="135">
        <v>5</v>
      </c>
      <c r="P28" s="694" t="str">
        <f>'Từ khóa'!M13</f>
        <v>Thu nhập khác</v>
      </c>
      <c r="Q28" s="695"/>
      <c r="R28" s="695"/>
      <c r="S28" s="695"/>
      <c r="T28" s="696">
        <f>'Kế hoạch thu nhập và chi tiêu'!L12</f>
        <v>10</v>
      </c>
      <c r="U28" s="696"/>
      <c r="V28" s="152"/>
      <c r="W28" s="153">
        <f t="shared" ca="1" si="0"/>
        <v>7</v>
      </c>
      <c r="X28" s="696">
        <f t="shared" ca="1" si="1"/>
        <v>-3</v>
      </c>
      <c r="Y28" s="696"/>
      <c r="Z28" s="646"/>
      <c r="AA28" s="646"/>
      <c r="AB28" s="646"/>
      <c r="AC28" s="646"/>
      <c r="AD28" s="646"/>
      <c r="AE28" s="646"/>
      <c r="AF28" s="646"/>
      <c r="AG28" s="646"/>
      <c r="AH28" s="646"/>
      <c r="AI28" s="646"/>
      <c r="AJ28" s="646"/>
      <c r="AK28" s="658"/>
    </row>
    <row r="29" spans="5:37" ht="15" x14ac:dyDescent="0.45">
      <c r="E29" s="687">
        <v>44801</v>
      </c>
      <c r="F29" s="688">
        <v>44620</v>
      </c>
      <c r="G29" s="643" t="s">
        <v>372</v>
      </c>
      <c r="H29" s="643"/>
      <c r="I29" s="643"/>
      <c r="J29" s="643"/>
      <c r="K29" s="646"/>
      <c r="L29" s="646"/>
      <c r="M29" s="646"/>
      <c r="N29" s="135">
        <v>2</v>
      </c>
      <c r="P29" s="694">
        <f>'Từ khóa'!M14</f>
        <v>0</v>
      </c>
      <c r="Q29" s="695"/>
      <c r="R29" s="695"/>
      <c r="S29" s="695"/>
      <c r="T29" s="696">
        <f>'Kế hoạch thu nhập và chi tiêu'!L13</f>
        <v>0</v>
      </c>
      <c r="U29" s="696"/>
      <c r="V29" s="152"/>
      <c r="W29" s="153">
        <f t="shared" ca="1" si="0"/>
        <v>0</v>
      </c>
      <c r="X29" s="696">
        <f t="shared" ca="1" si="1"/>
        <v>0</v>
      </c>
      <c r="Y29" s="696"/>
      <c r="Z29" s="646"/>
      <c r="AA29" s="646"/>
      <c r="AB29" s="646"/>
      <c r="AC29" s="646"/>
      <c r="AD29" s="646"/>
      <c r="AE29" s="646"/>
      <c r="AF29" s="646"/>
      <c r="AG29" s="646"/>
      <c r="AH29" s="646"/>
      <c r="AI29" s="646"/>
      <c r="AJ29" s="646"/>
      <c r="AK29" s="658"/>
    </row>
    <row r="30" spans="5:37" ht="15" x14ac:dyDescent="0.45">
      <c r="E30" s="687"/>
      <c r="F30" s="688">
        <v>44620</v>
      </c>
      <c r="G30" s="643"/>
      <c r="H30" s="643"/>
      <c r="I30" s="643"/>
      <c r="J30" s="643"/>
      <c r="K30" s="646"/>
      <c r="L30" s="646"/>
      <c r="M30" s="646"/>
      <c r="N30" s="135"/>
      <c r="P30" s="694">
        <f>'Từ khóa'!M15</f>
        <v>0</v>
      </c>
      <c r="Q30" s="695"/>
      <c r="R30" s="695"/>
      <c r="S30" s="695"/>
      <c r="T30" s="696">
        <f>'Kế hoạch thu nhập và chi tiêu'!L14</f>
        <v>0</v>
      </c>
      <c r="U30" s="696"/>
      <c r="V30" s="152"/>
      <c r="W30" s="153">
        <f t="shared" ca="1" si="0"/>
        <v>0</v>
      </c>
      <c r="X30" s="696">
        <f t="shared" ca="1" si="1"/>
        <v>0</v>
      </c>
      <c r="Y30" s="696"/>
      <c r="Z30" s="646"/>
      <c r="AA30" s="646"/>
      <c r="AB30" s="646"/>
      <c r="AC30" s="646"/>
      <c r="AD30" s="646"/>
      <c r="AE30" s="646"/>
      <c r="AF30" s="646"/>
      <c r="AG30" s="646"/>
      <c r="AH30" s="646"/>
      <c r="AI30" s="646"/>
      <c r="AJ30" s="646"/>
      <c r="AK30" s="658"/>
    </row>
    <row r="31" spans="5:37" ht="15" x14ac:dyDescent="0.45">
      <c r="E31" s="687"/>
      <c r="F31" s="688"/>
      <c r="G31" s="643"/>
      <c r="H31" s="643"/>
      <c r="I31" s="643"/>
      <c r="J31" s="643"/>
      <c r="K31" s="646"/>
      <c r="L31" s="646"/>
      <c r="M31" s="646"/>
      <c r="N31" s="135"/>
      <c r="P31" s="694">
        <f>'Từ khóa'!M16</f>
        <v>0</v>
      </c>
      <c r="Q31" s="695"/>
      <c r="R31" s="695"/>
      <c r="S31" s="695"/>
      <c r="T31" s="696">
        <f>'Kế hoạch thu nhập và chi tiêu'!L15</f>
        <v>0</v>
      </c>
      <c r="U31" s="696"/>
      <c r="V31" s="152"/>
      <c r="W31" s="153">
        <f t="shared" ca="1" si="0"/>
        <v>0</v>
      </c>
      <c r="X31" s="696">
        <f t="shared" ca="1" si="1"/>
        <v>0</v>
      </c>
      <c r="Y31" s="696"/>
      <c r="Z31" s="646"/>
      <c r="AA31" s="646"/>
      <c r="AB31" s="646"/>
      <c r="AC31" s="646"/>
      <c r="AD31" s="646"/>
      <c r="AE31" s="646"/>
      <c r="AF31" s="646"/>
      <c r="AG31" s="646"/>
      <c r="AH31" s="646"/>
      <c r="AI31" s="646"/>
      <c r="AJ31" s="646"/>
      <c r="AK31" s="658"/>
    </row>
    <row r="32" spans="5:37" ht="15" x14ac:dyDescent="0.45">
      <c r="E32" s="687"/>
      <c r="F32" s="688"/>
      <c r="G32" s="643"/>
      <c r="H32" s="643"/>
      <c r="I32" s="643"/>
      <c r="J32" s="643"/>
      <c r="K32" s="646"/>
      <c r="L32" s="646"/>
      <c r="M32" s="646"/>
      <c r="N32" s="135"/>
      <c r="P32" s="694">
        <f>'Từ khóa'!M17</f>
        <v>0</v>
      </c>
      <c r="Q32" s="695"/>
      <c r="R32" s="695"/>
      <c r="S32" s="695"/>
      <c r="T32" s="696">
        <f>'Kế hoạch thu nhập và chi tiêu'!L16</f>
        <v>0</v>
      </c>
      <c r="U32" s="696"/>
      <c r="V32" s="152"/>
      <c r="W32" s="153">
        <f t="shared" ca="1" si="0"/>
        <v>0</v>
      </c>
      <c r="X32" s="696">
        <f t="shared" ca="1" si="1"/>
        <v>0</v>
      </c>
      <c r="Y32" s="696"/>
      <c r="Z32" s="646"/>
      <c r="AA32" s="646"/>
      <c r="AB32" s="646"/>
      <c r="AC32" s="646"/>
      <c r="AD32" s="646"/>
      <c r="AE32" s="646"/>
      <c r="AF32" s="646"/>
      <c r="AG32" s="646"/>
      <c r="AH32" s="646"/>
      <c r="AI32" s="646"/>
      <c r="AJ32" s="646"/>
      <c r="AK32" s="658"/>
    </row>
    <row r="33" spans="5:37" ht="15" x14ac:dyDescent="0.45">
      <c r="E33" s="687"/>
      <c r="F33" s="688"/>
      <c r="G33" s="643"/>
      <c r="H33" s="643"/>
      <c r="I33" s="643"/>
      <c r="J33" s="643"/>
      <c r="K33" s="646"/>
      <c r="L33" s="646"/>
      <c r="M33" s="646"/>
      <c r="N33" s="135"/>
      <c r="P33" s="694">
        <f>'Từ khóa'!M18</f>
        <v>0</v>
      </c>
      <c r="Q33" s="695"/>
      <c r="R33" s="695"/>
      <c r="S33" s="695"/>
      <c r="T33" s="696">
        <f>'Kế hoạch thu nhập và chi tiêu'!L17</f>
        <v>0</v>
      </c>
      <c r="U33" s="696"/>
      <c r="V33" s="152"/>
      <c r="W33" s="153">
        <f t="shared" ca="1" si="0"/>
        <v>0</v>
      </c>
      <c r="X33" s="696">
        <f t="shared" ca="1" si="1"/>
        <v>0</v>
      </c>
      <c r="Y33" s="696"/>
      <c r="Z33" s="646"/>
      <c r="AA33" s="646"/>
      <c r="AB33" s="646"/>
      <c r="AC33" s="646"/>
      <c r="AD33" s="646"/>
      <c r="AE33" s="646"/>
      <c r="AF33" s="646"/>
      <c r="AG33" s="646"/>
      <c r="AH33" s="646"/>
      <c r="AI33" s="646"/>
      <c r="AJ33" s="646"/>
      <c r="AK33" s="658"/>
    </row>
    <row r="34" spans="5:37" ht="15" x14ac:dyDescent="0.45">
      <c r="E34" s="687"/>
      <c r="F34" s="688"/>
      <c r="G34" s="643"/>
      <c r="H34" s="643"/>
      <c r="I34" s="643"/>
      <c r="J34" s="643"/>
      <c r="K34" s="646"/>
      <c r="L34" s="646"/>
      <c r="M34" s="646"/>
      <c r="N34" s="135"/>
      <c r="P34" s="694">
        <f>'Từ khóa'!M19</f>
        <v>0</v>
      </c>
      <c r="Q34" s="695"/>
      <c r="R34" s="695"/>
      <c r="S34" s="695"/>
      <c r="T34" s="696">
        <f>'Kế hoạch thu nhập và chi tiêu'!L18</f>
        <v>0</v>
      </c>
      <c r="U34" s="696"/>
      <c r="V34" s="152"/>
      <c r="W34" s="153">
        <f t="shared" ca="1" si="0"/>
        <v>0</v>
      </c>
      <c r="X34" s="696">
        <f t="shared" ca="1" si="1"/>
        <v>0</v>
      </c>
      <c r="Y34" s="696"/>
      <c r="Z34" s="646"/>
      <c r="AA34" s="646"/>
      <c r="AB34" s="646"/>
      <c r="AC34" s="646"/>
      <c r="AD34" s="646"/>
      <c r="AE34" s="646"/>
      <c r="AF34" s="646"/>
      <c r="AG34" s="646"/>
      <c r="AH34" s="646"/>
      <c r="AI34" s="646"/>
      <c r="AJ34" s="646"/>
      <c r="AK34" s="658"/>
    </row>
    <row r="35" spans="5:37" ht="15" x14ac:dyDescent="0.45">
      <c r="E35" s="687"/>
      <c r="F35" s="688"/>
      <c r="G35" s="643"/>
      <c r="H35" s="643"/>
      <c r="I35" s="643"/>
      <c r="J35" s="643"/>
      <c r="K35" s="646"/>
      <c r="L35" s="646"/>
      <c r="M35" s="646"/>
      <c r="N35" s="135"/>
      <c r="P35" s="694"/>
      <c r="Q35" s="695"/>
      <c r="R35" s="695"/>
      <c r="S35" s="695"/>
      <c r="T35" s="697"/>
      <c r="U35" s="698"/>
      <c r="V35" s="152"/>
      <c r="W35" s="153"/>
      <c r="X35" s="696"/>
      <c r="Y35" s="696"/>
      <c r="Z35" s="646"/>
      <c r="AA35" s="646"/>
      <c r="AB35" s="646"/>
      <c r="AC35" s="646"/>
      <c r="AD35" s="646"/>
      <c r="AE35" s="646"/>
      <c r="AF35" s="646"/>
      <c r="AG35" s="646"/>
      <c r="AH35" s="646"/>
      <c r="AI35" s="646"/>
      <c r="AJ35" s="646"/>
      <c r="AK35" s="658"/>
    </row>
    <row r="36" spans="5:37" ht="15" x14ac:dyDescent="0.45">
      <c r="E36" s="687"/>
      <c r="F36" s="688"/>
      <c r="G36" s="643"/>
      <c r="H36" s="643"/>
      <c r="I36" s="643"/>
      <c r="J36" s="643"/>
      <c r="K36" s="646"/>
      <c r="L36" s="646"/>
      <c r="M36" s="646"/>
      <c r="N36" s="135"/>
      <c r="P36" s="694"/>
      <c r="Q36" s="695"/>
      <c r="R36" s="695"/>
      <c r="S36" s="695"/>
      <c r="T36" s="697"/>
      <c r="U36" s="698"/>
      <c r="V36" s="152"/>
      <c r="W36" s="153"/>
      <c r="X36" s="696"/>
      <c r="Y36" s="696"/>
      <c r="Z36" s="646"/>
      <c r="AA36" s="646"/>
      <c r="AB36" s="646"/>
      <c r="AC36" s="646"/>
      <c r="AD36" s="646"/>
      <c r="AE36" s="646"/>
      <c r="AF36" s="646"/>
      <c r="AG36" s="646"/>
      <c r="AH36" s="646"/>
      <c r="AI36" s="646"/>
      <c r="AJ36" s="646"/>
      <c r="AK36" s="658"/>
    </row>
    <row r="37" spans="5:37" ht="16.5" customHeight="1" thickBot="1" x14ac:dyDescent="0.6">
      <c r="E37" s="648" t="s">
        <v>124</v>
      </c>
      <c r="F37" s="649"/>
      <c r="G37" s="649"/>
      <c r="H37" s="649"/>
      <c r="I37" s="649"/>
      <c r="J37" s="649"/>
      <c r="K37" s="649"/>
      <c r="L37" s="649"/>
      <c r="M37" s="650"/>
      <c r="N37" s="144">
        <f>SUBTOTAL(109,'T8'!$N$27:$N$36)</f>
        <v>25</v>
      </c>
      <c r="P37" s="701" t="s">
        <v>124</v>
      </c>
      <c r="Q37" s="702"/>
      <c r="R37" s="702"/>
      <c r="S37" s="703"/>
      <c r="T37" s="704">
        <f>SUM(T27:U36)</f>
        <v>30</v>
      </c>
      <c r="U37" s="705"/>
      <c r="V37" s="704">
        <f ca="1">SUM(W27:W36)</f>
        <v>25</v>
      </c>
      <c r="W37" s="705"/>
      <c r="X37" s="704">
        <f t="shared" ref="X37" ca="1" si="2">SUM(X27:Y36)</f>
        <v>-5</v>
      </c>
      <c r="Y37" s="705"/>
      <c r="Z37" s="660"/>
      <c r="AA37" s="660"/>
      <c r="AB37" s="660"/>
      <c r="AC37" s="660"/>
      <c r="AD37" s="660"/>
      <c r="AE37" s="660"/>
      <c r="AF37" s="660"/>
      <c r="AG37" s="660"/>
      <c r="AH37" s="660"/>
      <c r="AI37" s="660"/>
      <c r="AJ37" s="660"/>
      <c r="AK37" s="661"/>
    </row>
    <row r="39" spans="5:37" ht="14.65" thickBot="1" x14ac:dyDescent="0.5"/>
    <row r="40" spans="5:37" ht="15.75" customHeight="1" x14ac:dyDescent="0.55000000000000004">
      <c r="E40" s="623" t="s">
        <v>320</v>
      </c>
      <c r="F40" s="624"/>
      <c r="G40" s="624"/>
      <c r="H40" s="624"/>
      <c r="I40" s="624"/>
      <c r="J40" s="624"/>
      <c r="K40" s="624"/>
      <c r="L40" s="624"/>
      <c r="M40" s="624"/>
      <c r="N40" s="625"/>
      <c r="P40" s="623" t="s">
        <v>321</v>
      </c>
      <c r="Q40" s="624"/>
      <c r="R40" s="624"/>
      <c r="S40" s="624"/>
      <c r="T40" s="624"/>
      <c r="U40" s="624"/>
      <c r="V40" s="624"/>
      <c r="W40" s="624"/>
      <c r="X40" s="624"/>
      <c r="Y40" s="624"/>
      <c r="Z40" s="624"/>
      <c r="AA40" s="624"/>
      <c r="AB40" s="624"/>
      <c r="AC40" s="624"/>
      <c r="AD40" s="624"/>
      <c r="AE40" s="624"/>
      <c r="AF40" s="624"/>
      <c r="AG40" s="624"/>
      <c r="AH40" s="624"/>
      <c r="AI40" s="624"/>
      <c r="AJ40" s="624"/>
      <c r="AK40" s="625"/>
    </row>
    <row r="41" spans="5:37" ht="15" x14ac:dyDescent="0.45">
      <c r="E41" s="664" t="s">
        <v>146</v>
      </c>
      <c r="F41" s="665"/>
      <c r="G41" s="666" t="s">
        <v>347</v>
      </c>
      <c r="H41" s="666"/>
      <c r="I41" s="666"/>
      <c r="J41" s="666"/>
      <c r="K41" s="666" t="s">
        <v>345</v>
      </c>
      <c r="L41" s="666"/>
      <c r="M41" s="666"/>
      <c r="N41" s="136" t="s">
        <v>148</v>
      </c>
      <c r="P41" s="699" t="s">
        <v>147</v>
      </c>
      <c r="Q41" s="700"/>
      <c r="R41" s="700"/>
      <c r="S41" s="700"/>
      <c r="T41" s="700" t="s">
        <v>149</v>
      </c>
      <c r="U41" s="700"/>
      <c r="V41" s="700" t="s">
        <v>150</v>
      </c>
      <c r="W41" s="700"/>
      <c r="X41" s="700" t="s">
        <v>151</v>
      </c>
      <c r="Y41" s="700"/>
      <c r="Z41" s="666" t="s">
        <v>152</v>
      </c>
      <c r="AA41" s="666"/>
      <c r="AB41" s="666"/>
      <c r="AC41" s="666"/>
      <c r="AD41" s="666"/>
      <c r="AE41" s="666"/>
      <c r="AF41" s="666" t="s">
        <v>153</v>
      </c>
      <c r="AG41" s="666"/>
      <c r="AH41" s="666"/>
      <c r="AI41" s="666"/>
      <c r="AJ41" s="666"/>
      <c r="AK41" s="667"/>
    </row>
    <row r="42" spans="5:37" ht="15" customHeight="1" x14ac:dyDescent="0.55000000000000004">
      <c r="E42" s="687">
        <v>44774</v>
      </c>
      <c r="F42" s="688">
        <v>44593</v>
      </c>
      <c r="G42" s="640" t="s">
        <v>5</v>
      </c>
      <c r="H42" s="641"/>
      <c r="I42" s="641"/>
      <c r="J42" s="642"/>
      <c r="K42" s="640"/>
      <c r="L42" s="641"/>
      <c r="M42" s="642"/>
      <c r="N42" s="137">
        <v>5</v>
      </c>
      <c r="P42" s="694" t="str">
        <f>'Từ khóa'!F12</f>
        <v>Mua thực phẩm</v>
      </c>
      <c r="Q42" s="695"/>
      <c r="R42" s="695"/>
      <c r="S42" s="695"/>
      <c r="T42" s="696">
        <f>'Kế hoạch thu nhập và chi tiêu'!L26</f>
        <v>5</v>
      </c>
      <c r="U42" s="696"/>
      <c r="V42" s="152"/>
      <c r="W42" s="153">
        <f t="shared" ref="W42:W56" ca="1" si="3">SUMIF($G$42:$J$82,P42,$N$42:$N$82)</f>
        <v>7</v>
      </c>
      <c r="X42" s="697">
        <f t="shared" ref="X42:X56" ca="1" si="4">T42-W42</f>
        <v>-2</v>
      </c>
      <c r="Y42" s="698"/>
      <c r="Z42" s="646" t="s">
        <v>407</v>
      </c>
      <c r="AA42" s="646"/>
      <c r="AB42" s="646"/>
      <c r="AC42" s="646"/>
      <c r="AD42" s="646"/>
      <c r="AE42" s="646"/>
      <c r="AF42" s="646"/>
      <c r="AG42" s="646"/>
      <c r="AH42" s="646"/>
      <c r="AI42" s="646"/>
      <c r="AJ42" s="646"/>
      <c r="AK42" s="658"/>
    </row>
    <row r="43" spans="5:37" ht="15" customHeight="1" x14ac:dyDescent="0.55000000000000004">
      <c r="E43" s="687">
        <v>44774</v>
      </c>
      <c r="F43" s="688">
        <v>44593</v>
      </c>
      <c r="G43" s="640" t="s">
        <v>6</v>
      </c>
      <c r="H43" s="641" t="s">
        <v>6</v>
      </c>
      <c r="I43" s="641" t="s">
        <v>6</v>
      </c>
      <c r="J43" s="642" t="s">
        <v>6</v>
      </c>
      <c r="K43" s="640"/>
      <c r="L43" s="641"/>
      <c r="M43" s="642"/>
      <c r="N43" s="138">
        <v>1</v>
      </c>
      <c r="P43" s="694" t="str">
        <f>'Từ khóa'!F13</f>
        <v>Mua đồ dùng trong nhà</v>
      </c>
      <c r="Q43" s="695"/>
      <c r="R43" s="695"/>
      <c r="S43" s="695"/>
      <c r="T43" s="696">
        <v>1.5</v>
      </c>
      <c r="U43" s="696"/>
      <c r="V43" s="152"/>
      <c r="W43" s="153">
        <f t="shared" ca="1" si="3"/>
        <v>1.3</v>
      </c>
      <c r="X43" s="697">
        <f t="shared" ca="1" si="4"/>
        <v>0.19999999999999996</v>
      </c>
      <c r="Y43" s="698"/>
      <c r="Z43" s="646"/>
      <c r="AA43" s="646"/>
      <c r="AB43" s="646"/>
      <c r="AC43" s="646"/>
      <c r="AD43" s="646"/>
      <c r="AE43" s="646"/>
      <c r="AF43" s="646"/>
      <c r="AG43" s="646"/>
      <c r="AH43" s="646"/>
      <c r="AI43" s="646"/>
      <c r="AJ43" s="646"/>
      <c r="AK43" s="658"/>
    </row>
    <row r="44" spans="5:37" ht="15" customHeight="1" x14ac:dyDescent="0.55000000000000004">
      <c r="E44" s="687">
        <v>44775</v>
      </c>
      <c r="F44" s="688">
        <v>44594</v>
      </c>
      <c r="G44" s="640" t="s">
        <v>10</v>
      </c>
      <c r="H44" s="641" t="s">
        <v>10</v>
      </c>
      <c r="I44" s="641" t="s">
        <v>10</v>
      </c>
      <c r="J44" s="642" t="s">
        <v>10</v>
      </c>
      <c r="K44" s="640" t="s">
        <v>159</v>
      </c>
      <c r="L44" s="641" t="s">
        <v>159</v>
      </c>
      <c r="M44" s="642" t="s">
        <v>159</v>
      </c>
      <c r="N44" s="138">
        <v>0.6</v>
      </c>
      <c r="P44" s="694" t="str">
        <f>'Từ khóa'!F14</f>
        <v>Đi ăn ở ngoài</v>
      </c>
      <c r="Q44" s="695"/>
      <c r="R44" s="695"/>
      <c r="S44" s="695"/>
      <c r="T44" s="696">
        <f>'Kế hoạch thu nhập và chi tiêu'!L28</f>
        <v>2</v>
      </c>
      <c r="U44" s="696"/>
      <c r="V44" s="152"/>
      <c r="W44" s="153">
        <f t="shared" ca="1" si="3"/>
        <v>0</v>
      </c>
      <c r="X44" s="697">
        <f t="shared" ca="1" si="4"/>
        <v>2</v>
      </c>
      <c r="Y44" s="698"/>
      <c r="Z44" s="646"/>
      <c r="AA44" s="646"/>
      <c r="AB44" s="646"/>
      <c r="AC44" s="646"/>
      <c r="AD44" s="646"/>
      <c r="AE44" s="646"/>
      <c r="AF44" s="646"/>
      <c r="AG44" s="646"/>
      <c r="AH44" s="646"/>
      <c r="AI44" s="646"/>
      <c r="AJ44" s="646"/>
      <c r="AK44" s="658"/>
    </row>
    <row r="45" spans="5:37" ht="15" customHeight="1" x14ac:dyDescent="0.55000000000000004">
      <c r="E45" s="687">
        <v>44776</v>
      </c>
      <c r="F45" s="688">
        <v>44595</v>
      </c>
      <c r="G45" s="640" t="s">
        <v>10</v>
      </c>
      <c r="H45" s="641" t="s">
        <v>10</v>
      </c>
      <c r="I45" s="641" t="s">
        <v>10</v>
      </c>
      <c r="J45" s="642" t="s">
        <v>10</v>
      </c>
      <c r="K45" s="640" t="s">
        <v>161</v>
      </c>
      <c r="L45" s="641" t="s">
        <v>161</v>
      </c>
      <c r="M45" s="642" t="s">
        <v>161</v>
      </c>
      <c r="N45" s="138">
        <v>0.2</v>
      </c>
      <c r="P45" s="694" t="str">
        <f>'Từ khóa'!F15</f>
        <v>Chi tiền phát triển bản thân</v>
      </c>
      <c r="Q45" s="695"/>
      <c r="R45" s="695"/>
      <c r="S45" s="695"/>
      <c r="T45" s="696">
        <f>'Kế hoạch thu nhập và chi tiêu'!L29</f>
        <v>1.5</v>
      </c>
      <c r="U45" s="696"/>
      <c r="V45" s="152"/>
      <c r="W45" s="153">
        <f t="shared" ca="1" si="3"/>
        <v>3.1</v>
      </c>
      <c r="X45" s="697">
        <f t="shared" ca="1" si="4"/>
        <v>-1.6</v>
      </c>
      <c r="Y45" s="698"/>
      <c r="Z45" s="646" t="s">
        <v>404</v>
      </c>
      <c r="AA45" s="646"/>
      <c r="AB45" s="646"/>
      <c r="AC45" s="646"/>
      <c r="AD45" s="646"/>
      <c r="AE45" s="646"/>
      <c r="AF45" s="646"/>
      <c r="AG45" s="646"/>
      <c r="AH45" s="646"/>
      <c r="AI45" s="646"/>
      <c r="AJ45" s="646"/>
      <c r="AK45" s="658"/>
    </row>
    <row r="46" spans="5:37" ht="15" customHeight="1" x14ac:dyDescent="0.55000000000000004">
      <c r="E46" s="687">
        <v>44777</v>
      </c>
      <c r="F46" s="688">
        <v>44596</v>
      </c>
      <c r="G46" s="640" t="s">
        <v>10</v>
      </c>
      <c r="H46" s="641" t="s">
        <v>10</v>
      </c>
      <c r="I46" s="641" t="s">
        <v>10</v>
      </c>
      <c r="J46" s="642" t="s">
        <v>10</v>
      </c>
      <c r="K46" s="640" t="s">
        <v>162</v>
      </c>
      <c r="L46" s="641" t="s">
        <v>162</v>
      </c>
      <c r="M46" s="642" t="s">
        <v>162</v>
      </c>
      <c r="N46" s="138">
        <v>0.3</v>
      </c>
      <c r="P46" s="694" t="str">
        <f>'Từ khóa'!F16</f>
        <v>Chi tiền bảo hiểm</v>
      </c>
      <c r="Q46" s="695"/>
      <c r="R46" s="695"/>
      <c r="S46" s="695"/>
      <c r="T46" s="696">
        <v>0.5</v>
      </c>
      <c r="U46" s="696"/>
      <c r="V46" s="152"/>
      <c r="W46" s="153">
        <f t="shared" ca="1" si="3"/>
        <v>0</v>
      </c>
      <c r="X46" s="697">
        <f t="shared" ca="1" si="4"/>
        <v>0.5</v>
      </c>
      <c r="Y46" s="698"/>
      <c r="Z46" s="646"/>
      <c r="AA46" s="646"/>
      <c r="AB46" s="646"/>
      <c r="AC46" s="646"/>
      <c r="AD46" s="646"/>
      <c r="AE46" s="646"/>
      <c r="AF46" s="646"/>
      <c r="AG46" s="646"/>
      <c r="AH46" s="646"/>
      <c r="AI46" s="646"/>
      <c r="AJ46" s="646"/>
      <c r="AK46" s="658"/>
    </row>
    <row r="47" spans="5:37" ht="15" customHeight="1" x14ac:dyDescent="0.55000000000000004">
      <c r="E47" s="687">
        <v>44778</v>
      </c>
      <c r="F47" s="688">
        <v>44597</v>
      </c>
      <c r="G47" s="640" t="s">
        <v>10</v>
      </c>
      <c r="H47" s="641" t="s">
        <v>10</v>
      </c>
      <c r="I47" s="641" t="s">
        <v>10</v>
      </c>
      <c r="J47" s="642" t="s">
        <v>10</v>
      </c>
      <c r="K47" s="640" t="s">
        <v>163</v>
      </c>
      <c r="L47" s="641" t="s">
        <v>163</v>
      </c>
      <c r="M47" s="642" t="s">
        <v>163</v>
      </c>
      <c r="N47" s="138">
        <v>0.2</v>
      </c>
      <c r="P47" s="694" t="str">
        <f>'Từ khóa'!F17</f>
        <v>Chi tiền điện, nước, internet, điện thoại, xăng xe</v>
      </c>
      <c r="Q47" s="695"/>
      <c r="R47" s="695"/>
      <c r="S47" s="695"/>
      <c r="T47" s="696">
        <f>'Kế hoạch thu nhập và chi tiêu'!L31</f>
        <v>2</v>
      </c>
      <c r="U47" s="696"/>
      <c r="V47" s="152"/>
      <c r="W47" s="153">
        <f t="shared" ca="1" si="3"/>
        <v>2.6500000000000004</v>
      </c>
      <c r="X47" s="697">
        <f t="shared" ca="1" si="4"/>
        <v>-0.65000000000000036</v>
      </c>
      <c r="Y47" s="698"/>
      <c r="Z47" s="646" t="s">
        <v>405</v>
      </c>
      <c r="AA47" s="646"/>
      <c r="AB47" s="646"/>
      <c r="AC47" s="646"/>
      <c r="AD47" s="646"/>
      <c r="AE47" s="646"/>
      <c r="AF47" s="646" t="s">
        <v>406</v>
      </c>
      <c r="AG47" s="646"/>
      <c r="AH47" s="646"/>
      <c r="AI47" s="646"/>
      <c r="AJ47" s="646"/>
      <c r="AK47" s="658"/>
    </row>
    <row r="48" spans="5:37" ht="15" customHeight="1" x14ac:dyDescent="0.55000000000000004">
      <c r="E48" s="687">
        <v>44780</v>
      </c>
      <c r="F48" s="688">
        <v>44599</v>
      </c>
      <c r="G48" s="640" t="s">
        <v>10</v>
      </c>
      <c r="H48" s="641" t="s">
        <v>10</v>
      </c>
      <c r="I48" s="641" t="s">
        <v>10</v>
      </c>
      <c r="J48" s="642" t="s">
        <v>10</v>
      </c>
      <c r="K48" s="640" t="s">
        <v>164</v>
      </c>
      <c r="L48" s="641" t="s">
        <v>164</v>
      </c>
      <c r="M48" s="642" t="s">
        <v>164</v>
      </c>
      <c r="N48" s="138">
        <v>0.05</v>
      </c>
      <c r="P48" s="694" t="str">
        <f>'Từ khóa'!F18</f>
        <v>Chi tiền giải trí, quà tặng</v>
      </c>
      <c r="Q48" s="695"/>
      <c r="R48" s="695"/>
      <c r="S48" s="695"/>
      <c r="T48" s="696">
        <v>0.5</v>
      </c>
      <c r="U48" s="696"/>
      <c r="V48" s="152"/>
      <c r="W48" s="153">
        <f t="shared" ca="1" si="3"/>
        <v>0.5</v>
      </c>
      <c r="X48" s="697">
        <f t="shared" ca="1" si="4"/>
        <v>0</v>
      </c>
      <c r="Y48" s="698"/>
      <c r="Z48" s="646"/>
      <c r="AA48" s="646"/>
      <c r="AB48" s="646"/>
      <c r="AC48" s="646"/>
      <c r="AD48" s="646"/>
      <c r="AE48" s="646"/>
      <c r="AF48" s="646"/>
      <c r="AG48" s="646"/>
      <c r="AH48" s="646"/>
      <c r="AI48" s="646"/>
      <c r="AJ48" s="646"/>
      <c r="AK48" s="658"/>
    </row>
    <row r="49" spans="5:37" ht="15" customHeight="1" x14ac:dyDescent="0.55000000000000004">
      <c r="E49" s="687">
        <v>44782</v>
      </c>
      <c r="F49" s="688">
        <v>44601</v>
      </c>
      <c r="G49" s="640" t="s">
        <v>5</v>
      </c>
      <c r="H49" s="641" t="s">
        <v>7</v>
      </c>
      <c r="I49" s="641" t="s">
        <v>7</v>
      </c>
      <c r="J49" s="642" t="s">
        <v>7</v>
      </c>
      <c r="K49" s="640"/>
      <c r="L49" s="641"/>
      <c r="M49" s="642"/>
      <c r="N49" s="138">
        <v>2</v>
      </c>
      <c r="P49" s="694" t="str">
        <f>'Từ khóa'!F19</f>
        <v>Chi tiền cho con</v>
      </c>
      <c r="Q49" s="695"/>
      <c r="R49" s="695"/>
      <c r="S49" s="695"/>
      <c r="T49" s="696">
        <v>1</v>
      </c>
      <c r="U49" s="696"/>
      <c r="V49" s="152"/>
      <c r="W49" s="153">
        <f t="shared" ca="1" si="3"/>
        <v>1</v>
      </c>
      <c r="X49" s="697">
        <f t="shared" ca="1" si="4"/>
        <v>0</v>
      </c>
      <c r="Y49" s="698"/>
      <c r="Z49" s="646"/>
      <c r="AA49" s="646"/>
      <c r="AB49" s="646"/>
      <c r="AC49" s="646"/>
      <c r="AD49" s="646"/>
      <c r="AE49" s="646"/>
      <c r="AF49" s="646"/>
      <c r="AG49" s="646"/>
      <c r="AH49" s="646"/>
      <c r="AI49" s="646"/>
      <c r="AJ49" s="646"/>
      <c r="AK49" s="658"/>
    </row>
    <row r="50" spans="5:37" ht="15" customHeight="1" x14ac:dyDescent="0.55000000000000004">
      <c r="E50" s="687">
        <v>44784</v>
      </c>
      <c r="F50" s="688">
        <v>44603</v>
      </c>
      <c r="G50" s="640" t="s">
        <v>8</v>
      </c>
      <c r="H50" s="641" t="s">
        <v>8</v>
      </c>
      <c r="I50" s="641" t="s">
        <v>8</v>
      </c>
      <c r="J50" s="642" t="s">
        <v>8</v>
      </c>
      <c r="K50" s="640" t="s">
        <v>396</v>
      </c>
      <c r="L50" s="641" t="s">
        <v>23</v>
      </c>
      <c r="M50" s="642" t="s">
        <v>23</v>
      </c>
      <c r="N50" s="138">
        <v>2</v>
      </c>
      <c r="P50" s="694" t="str">
        <f>'Từ khóa'!F20</f>
        <v>Chi tiền trả nợ</v>
      </c>
      <c r="Q50" s="695"/>
      <c r="R50" s="695"/>
      <c r="S50" s="695"/>
      <c r="T50" s="696">
        <f>'Kế hoạch thu nhập và chi tiêu'!L34</f>
        <v>6.5</v>
      </c>
      <c r="U50" s="696"/>
      <c r="V50" s="152"/>
      <c r="W50" s="153">
        <f t="shared" ca="1" si="3"/>
        <v>6.5</v>
      </c>
      <c r="X50" s="697">
        <f t="shared" ca="1" si="4"/>
        <v>0</v>
      </c>
      <c r="Y50" s="698"/>
      <c r="Z50" s="646"/>
      <c r="AA50" s="646"/>
      <c r="AB50" s="646"/>
      <c r="AC50" s="646"/>
      <c r="AD50" s="646"/>
      <c r="AE50" s="646"/>
      <c r="AF50" s="646"/>
      <c r="AG50" s="646"/>
      <c r="AH50" s="646"/>
      <c r="AI50" s="646"/>
      <c r="AJ50" s="646"/>
      <c r="AK50" s="658"/>
    </row>
    <row r="51" spans="5:37" ht="15" customHeight="1" x14ac:dyDescent="0.55000000000000004">
      <c r="E51" s="687">
        <v>44785</v>
      </c>
      <c r="F51" s="688">
        <v>44604</v>
      </c>
      <c r="G51" s="640" t="s">
        <v>8</v>
      </c>
      <c r="H51" s="641" t="s">
        <v>8</v>
      </c>
      <c r="I51" s="641" t="s">
        <v>8</v>
      </c>
      <c r="J51" s="642" t="s">
        <v>8</v>
      </c>
      <c r="K51" s="640" t="s">
        <v>329</v>
      </c>
      <c r="L51" s="641" t="s">
        <v>165</v>
      </c>
      <c r="M51" s="642" t="s">
        <v>165</v>
      </c>
      <c r="N51" s="138">
        <v>0.6</v>
      </c>
      <c r="P51" s="694" t="str">
        <f>'Từ khóa'!F21</f>
        <v>Chi tiền cho tặng gia đình</v>
      </c>
      <c r="Q51" s="695"/>
      <c r="R51" s="695"/>
      <c r="S51" s="695"/>
      <c r="T51" s="696">
        <f>'Kế hoạch thu nhập và chi tiêu'!L35</f>
        <v>1</v>
      </c>
      <c r="U51" s="696"/>
      <c r="V51" s="152"/>
      <c r="W51" s="153">
        <f t="shared" ca="1" si="3"/>
        <v>0.5</v>
      </c>
      <c r="X51" s="697">
        <f t="shared" ca="1" si="4"/>
        <v>0.5</v>
      </c>
      <c r="Y51" s="698"/>
      <c r="Z51" s="646"/>
      <c r="AA51" s="646"/>
      <c r="AB51" s="646"/>
      <c r="AC51" s="646"/>
      <c r="AD51" s="646"/>
      <c r="AE51" s="646"/>
      <c r="AF51" s="646"/>
      <c r="AG51" s="646"/>
      <c r="AH51" s="646"/>
      <c r="AI51" s="646"/>
      <c r="AJ51" s="646"/>
      <c r="AK51" s="658"/>
    </row>
    <row r="52" spans="5:37" ht="15" customHeight="1" x14ac:dyDescent="0.55000000000000004">
      <c r="E52" s="687">
        <v>44793</v>
      </c>
      <c r="F52" s="688">
        <v>44612</v>
      </c>
      <c r="G52" s="640" t="s">
        <v>6</v>
      </c>
      <c r="H52" s="641"/>
      <c r="I52" s="641"/>
      <c r="J52" s="642"/>
      <c r="K52" s="640"/>
      <c r="L52" s="641"/>
      <c r="M52" s="642"/>
      <c r="N52" s="138">
        <v>0.3</v>
      </c>
      <c r="P52" s="694" t="str">
        <f>'Từ khóa'!F22</f>
        <v>Chi tiêu 1</v>
      </c>
      <c r="Q52" s="695"/>
      <c r="R52" s="695"/>
      <c r="S52" s="695"/>
      <c r="T52" s="696">
        <f>'Kế hoạch thu nhập và chi tiêu'!L36</f>
        <v>0</v>
      </c>
      <c r="U52" s="696"/>
      <c r="V52" s="152"/>
      <c r="W52" s="153">
        <f t="shared" ca="1" si="3"/>
        <v>0</v>
      </c>
      <c r="X52" s="697">
        <f t="shared" ca="1" si="4"/>
        <v>0</v>
      </c>
      <c r="Y52" s="698"/>
      <c r="Z52" s="646"/>
      <c r="AA52" s="646"/>
      <c r="AB52" s="646"/>
      <c r="AC52" s="646"/>
      <c r="AD52" s="646"/>
      <c r="AE52" s="646"/>
      <c r="AF52" s="646"/>
      <c r="AG52" s="646"/>
      <c r="AH52" s="646"/>
      <c r="AI52" s="646"/>
      <c r="AJ52" s="646"/>
      <c r="AK52" s="658"/>
    </row>
    <row r="53" spans="5:37" ht="15" customHeight="1" x14ac:dyDescent="0.55000000000000004">
      <c r="E53" s="687">
        <v>44795</v>
      </c>
      <c r="F53" s="688" t="s">
        <v>174</v>
      </c>
      <c r="G53" s="640" t="s">
        <v>12</v>
      </c>
      <c r="H53" s="641"/>
      <c r="I53" s="641"/>
      <c r="J53" s="642"/>
      <c r="K53" s="640"/>
      <c r="L53" s="641"/>
      <c r="M53" s="642"/>
      <c r="N53" s="138">
        <v>1</v>
      </c>
      <c r="P53" s="694" t="str">
        <f>'Từ khóa'!F23</f>
        <v>Chi tiêu 2</v>
      </c>
      <c r="Q53" s="695"/>
      <c r="R53" s="695"/>
      <c r="S53" s="695"/>
      <c r="T53" s="696">
        <f>'Kế hoạch thu nhập và chi tiêu'!L37</f>
        <v>0</v>
      </c>
      <c r="U53" s="696"/>
      <c r="V53" s="152"/>
      <c r="W53" s="153">
        <f t="shared" ca="1" si="3"/>
        <v>0</v>
      </c>
      <c r="X53" s="697">
        <f t="shared" ca="1" si="4"/>
        <v>0</v>
      </c>
      <c r="Y53" s="698"/>
      <c r="Z53" s="646"/>
      <c r="AA53" s="646"/>
      <c r="AB53" s="646"/>
      <c r="AC53" s="646"/>
      <c r="AD53" s="646"/>
      <c r="AE53" s="646"/>
      <c r="AF53" s="646"/>
      <c r="AG53" s="646"/>
      <c r="AH53" s="646"/>
      <c r="AI53" s="646"/>
      <c r="AJ53" s="646"/>
      <c r="AK53" s="658"/>
    </row>
    <row r="54" spans="5:37" ht="15" customHeight="1" x14ac:dyDescent="0.55000000000000004">
      <c r="E54" s="687">
        <v>44796</v>
      </c>
      <c r="F54" s="688">
        <v>44615</v>
      </c>
      <c r="G54" s="640" t="s">
        <v>11</v>
      </c>
      <c r="H54" s="641"/>
      <c r="I54" s="641"/>
      <c r="J54" s="642"/>
      <c r="K54" s="640"/>
      <c r="L54" s="641"/>
      <c r="M54" s="642"/>
      <c r="N54" s="138">
        <v>0.5</v>
      </c>
      <c r="P54" s="694" t="str">
        <f>'Từ khóa'!F24</f>
        <v>Chi tiêu 3</v>
      </c>
      <c r="Q54" s="695"/>
      <c r="R54" s="695"/>
      <c r="S54" s="695"/>
      <c r="T54" s="696">
        <f>'Kế hoạch thu nhập và chi tiêu'!L38</f>
        <v>0</v>
      </c>
      <c r="U54" s="696"/>
      <c r="V54" s="152"/>
      <c r="W54" s="153">
        <f t="shared" ca="1" si="3"/>
        <v>0</v>
      </c>
      <c r="X54" s="697">
        <f t="shared" ca="1" si="4"/>
        <v>0</v>
      </c>
      <c r="Y54" s="698"/>
      <c r="Z54" s="646"/>
      <c r="AA54" s="646"/>
      <c r="AB54" s="646"/>
      <c r="AC54" s="646"/>
      <c r="AD54" s="646"/>
      <c r="AE54" s="646"/>
      <c r="AF54" s="646"/>
      <c r="AG54" s="646"/>
      <c r="AH54" s="646"/>
      <c r="AI54" s="646"/>
      <c r="AJ54" s="646"/>
      <c r="AK54" s="658"/>
    </row>
    <row r="55" spans="5:37" ht="15" customHeight="1" x14ac:dyDescent="0.55000000000000004">
      <c r="E55" s="687">
        <v>44797</v>
      </c>
      <c r="F55" s="688">
        <v>44616</v>
      </c>
      <c r="G55" s="640" t="s">
        <v>14</v>
      </c>
      <c r="H55" s="641"/>
      <c r="I55" s="641"/>
      <c r="J55" s="642"/>
      <c r="K55" s="640"/>
      <c r="L55" s="641"/>
      <c r="M55" s="642"/>
      <c r="N55" s="138">
        <v>0.5</v>
      </c>
      <c r="P55" s="694" t="str">
        <f>'Từ khóa'!F25</f>
        <v>Chi tiêu 4</v>
      </c>
      <c r="Q55" s="695"/>
      <c r="R55" s="695"/>
      <c r="S55" s="695"/>
      <c r="T55" s="696">
        <f>'Kế hoạch thu nhập và chi tiêu'!L39</f>
        <v>0</v>
      </c>
      <c r="U55" s="696"/>
      <c r="V55" s="152"/>
      <c r="W55" s="153">
        <f t="shared" ca="1" si="3"/>
        <v>0</v>
      </c>
      <c r="X55" s="697">
        <f t="shared" ca="1" si="4"/>
        <v>0</v>
      </c>
      <c r="Y55" s="698"/>
      <c r="Z55" s="646"/>
      <c r="AA55" s="646"/>
      <c r="AB55" s="646"/>
      <c r="AC55" s="646"/>
      <c r="AD55" s="646"/>
      <c r="AE55" s="646"/>
      <c r="AF55" s="646"/>
      <c r="AG55" s="646"/>
      <c r="AH55" s="646"/>
      <c r="AI55" s="646"/>
      <c r="AJ55" s="646"/>
      <c r="AK55" s="658"/>
    </row>
    <row r="56" spans="5:37" ht="15" customHeight="1" x14ac:dyDescent="0.55000000000000004">
      <c r="E56" s="687">
        <v>44798</v>
      </c>
      <c r="F56" s="688">
        <v>44617</v>
      </c>
      <c r="G56" s="640" t="s">
        <v>10</v>
      </c>
      <c r="H56" s="641"/>
      <c r="I56" s="641"/>
      <c r="J56" s="642"/>
      <c r="K56" s="640" t="s">
        <v>163</v>
      </c>
      <c r="L56" s="641"/>
      <c r="M56" s="642"/>
      <c r="N56" s="138">
        <v>0.3</v>
      </c>
      <c r="P56" s="694" t="str">
        <f>'Từ khóa'!F26</f>
        <v>Chi tiêu 5</v>
      </c>
      <c r="Q56" s="695"/>
      <c r="R56" s="695"/>
      <c r="S56" s="695"/>
      <c r="T56" s="696">
        <f>'Kế hoạch thu nhập và chi tiêu'!L40</f>
        <v>0</v>
      </c>
      <c r="U56" s="696"/>
      <c r="V56" s="152"/>
      <c r="W56" s="153">
        <f t="shared" ca="1" si="3"/>
        <v>0</v>
      </c>
      <c r="X56" s="697">
        <f t="shared" ca="1" si="4"/>
        <v>0</v>
      </c>
      <c r="Y56" s="698"/>
      <c r="Z56" s="646"/>
      <c r="AA56" s="646"/>
      <c r="AB56" s="646"/>
      <c r="AC56" s="646"/>
      <c r="AD56" s="646"/>
      <c r="AE56" s="646"/>
      <c r="AF56" s="646"/>
      <c r="AG56" s="646"/>
      <c r="AH56" s="646"/>
      <c r="AI56" s="646"/>
      <c r="AJ56" s="646"/>
      <c r="AK56" s="658"/>
    </row>
    <row r="57" spans="5:37" ht="15.75" customHeight="1" thickBot="1" x14ac:dyDescent="0.6">
      <c r="E57" s="687">
        <v>44799</v>
      </c>
      <c r="F57" s="688">
        <v>44618</v>
      </c>
      <c r="G57" s="640" t="s">
        <v>10</v>
      </c>
      <c r="H57" s="641"/>
      <c r="I57" s="641"/>
      <c r="J57" s="642"/>
      <c r="K57" s="640" t="s">
        <v>159</v>
      </c>
      <c r="L57" s="641"/>
      <c r="M57" s="642"/>
      <c r="N57" s="138">
        <v>1</v>
      </c>
      <c r="P57" s="691" t="s">
        <v>317</v>
      </c>
      <c r="Q57" s="692"/>
      <c r="R57" s="692"/>
      <c r="S57" s="693"/>
      <c r="T57" s="689">
        <f>SUM(T42:U56)</f>
        <v>21.5</v>
      </c>
      <c r="U57" s="690"/>
      <c r="V57" s="689">
        <f ca="1">SUM(W42:W56)</f>
        <v>22.55</v>
      </c>
      <c r="W57" s="690"/>
      <c r="X57" s="689">
        <f t="shared" ref="X57" ca="1" si="5">SUM(X42:Y56)</f>
        <v>-1.0500000000000005</v>
      </c>
      <c r="Y57" s="690"/>
      <c r="Z57" s="669"/>
      <c r="AA57" s="669"/>
      <c r="AB57" s="669"/>
      <c r="AC57" s="669"/>
      <c r="AD57" s="669"/>
      <c r="AE57" s="669"/>
      <c r="AF57" s="669"/>
      <c r="AG57" s="669"/>
      <c r="AH57" s="669"/>
      <c r="AI57" s="669"/>
      <c r="AJ57" s="669"/>
      <c r="AK57" s="670"/>
    </row>
    <row r="58" spans="5:37" ht="15.75" customHeight="1" x14ac:dyDescent="0.55000000000000004">
      <c r="E58" s="687">
        <v>44800</v>
      </c>
      <c r="F58" s="688">
        <v>44619</v>
      </c>
      <c r="G58" s="640" t="s">
        <v>13</v>
      </c>
      <c r="H58" s="641"/>
      <c r="I58" s="641"/>
      <c r="J58" s="642"/>
      <c r="K58" s="640"/>
      <c r="L58" s="641"/>
      <c r="M58" s="642"/>
      <c r="N58" s="138">
        <v>6.5</v>
      </c>
      <c r="Q58" s="6"/>
      <c r="R58" s="6"/>
      <c r="S58" s="6"/>
      <c r="T58" s="6"/>
    </row>
    <row r="59" spans="5:37" ht="15.75" customHeight="1" x14ac:dyDescent="0.55000000000000004">
      <c r="E59" s="687">
        <v>44801</v>
      </c>
      <c r="F59" s="688" t="s">
        <v>174</v>
      </c>
      <c r="G59" s="640" t="s">
        <v>8</v>
      </c>
      <c r="H59" s="641"/>
      <c r="I59" s="641"/>
      <c r="J59" s="642"/>
      <c r="K59" s="640" t="s">
        <v>23</v>
      </c>
      <c r="L59" s="641"/>
      <c r="M59" s="642"/>
      <c r="N59" s="140">
        <v>0.5</v>
      </c>
      <c r="Q59" s="6"/>
      <c r="R59" s="6"/>
      <c r="S59" s="6"/>
      <c r="T59" s="6"/>
    </row>
    <row r="60" spans="5:37" ht="15" x14ac:dyDescent="0.55000000000000004">
      <c r="E60" s="638"/>
      <c r="F60" s="639"/>
      <c r="G60" s="640"/>
      <c r="H60" s="641"/>
      <c r="I60" s="641"/>
      <c r="J60" s="642"/>
      <c r="K60" s="640"/>
      <c r="L60" s="641"/>
      <c r="M60" s="642"/>
      <c r="N60" s="140"/>
    </row>
    <row r="61" spans="5:37" ht="15" x14ac:dyDescent="0.55000000000000004">
      <c r="E61" s="638"/>
      <c r="F61" s="639"/>
      <c r="G61" s="640"/>
      <c r="H61" s="641"/>
      <c r="I61" s="641"/>
      <c r="J61" s="642"/>
      <c r="K61" s="640"/>
      <c r="L61" s="641"/>
      <c r="M61" s="642"/>
      <c r="N61" s="140"/>
    </row>
    <row r="62" spans="5:37" ht="15" x14ac:dyDescent="0.55000000000000004">
      <c r="E62" s="638"/>
      <c r="F62" s="639"/>
      <c r="G62" s="640"/>
      <c r="H62" s="641"/>
      <c r="I62" s="641"/>
      <c r="J62" s="642"/>
      <c r="K62" s="640"/>
      <c r="L62" s="641"/>
      <c r="M62" s="642"/>
      <c r="N62" s="140"/>
    </row>
    <row r="63" spans="5:37" ht="15" x14ac:dyDescent="0.55000000000000004">
      <c r="E63" s="638"/>
      <c r="F63" s="639"/>
      <c r="G63" s="640"/>
      <c r="H63" s="641"/>
      <c r="I63" s="641"/>
      <c r="J63" s="642"/>
      <c r="K63" s="640"/>
      <c r="L63" s="641"/>
      <c r="M63" s="642"/>
      <c r="N63" s="140"/>
    </row>
    <row r="64" spans="5:37" ht="15" x14ac:dyDescent="0.55000000000000004">
      <c r="E64" s="638"/>
      <c r="F64" s="639"/>
      <c r="G64" s="640"/>
      <c r="H64" s="641"/>
      <c r="I64" s="641"/>
      <c r="J64" s="642"/>
      <c r="K64" s="640"/>
      <c r="L64" s="641"/>
      <c r="M64" s="642"/>
      <c r="N64" s="140"/>
    </row>
    <row r="65" spans="5:14" ht="15" x14ac:dyDescent="0.55000000000000004">
      <c r="E65" s="638"/>
      <c r="F65" s="639"/>
      <c r="G65" s="640"/>
      <c r="H65" s="641"/>
      <c r="I65" s="641"/>
      <c r="J65" s="642"/>
      <c r="K65" s="640"/>
      <c r="L65" s="641"/>
      <c r="M65" s="642"/>
      <c r="N65" s="140"/>
    </row>
    <row r="66" spans="5:14" ht="15" x14ac:dyDescent="0.55000000000000004">
      <c r="E66" s="638"/>
      <c r="F66" s="639"/>
      <c r="G66" s="640"/>
      <c r="H66" s="641"/>
      <c r="I66" s="641"/>
      <c r="J66" s="642"/>
      <c r="K66" s="640"/>
      <c r="L66" s="641"/>
      <c r="M66" s="642"/>
      <c r="N66" s="140"/>
    </row>
    <row r="67" spans="5:14" ht="15" x14ac:dyDescent="0.55000000000000004">
      <c r="E67" s="638"/>
      <c r="F67" s="639"/>
      <c r="G67" s="640"/>
      <c r="H67" s="641"/>
      <c r="I67" s="641"/>
      <c r="J67" s="642"/>
      <c r="K67" s="640"/>
      <c r="L67" s="641"/>
      <c r="M67" s="642"/>
      <c r="N67" s="140"/>
    </row>
    <row r="68" spans="5:14" ht="15" x14ac:dyDescent="0.55000000000000004">
      <c r="E68" s="638"/>
      <c r="F68" s="639"/>
      <c r="G68" s="640"/>
      <c r="H68" s="641"/>
      <c r="I68" s="641"/>
      <c r="J68" s="642"/>
      <c r="K68" s="640"/>
      <c r="L68" s="641"/>
      <c r="M68" s="642"/>
      <c r="N68" s="140"/>
    </row>
    <row r="69" spans="5:14" ht="15" x14ac:dyDescent="0.55000000000000004">
      <c r="E69" s="638"/>
      <c r="F69" s="639"/>
      <c r="G69" s="640"/>
      <c r="H69" s="641"/>
      <c r="I69" s="641"/>
      <c r="J69" s="642"/>
      <c r="K69" s="640"/>
      <c r="L69" s="641"/>
      <c r="M69" s="642"/>
      <c r="N69" s="140"/>
    </row>
    <row r="70" spans="5:14" ht="15" x14ac:dyDescent="0.55000000000000004">
      <c r="E70" s="638"/>
      <c r="F70" s="639"/>
      <c r="G70" s="640"/>
      <c r="H70" s="641"/>
      <c r="I70" s="641"/>
      <c r="J70" s="642"/>
      <c r="K70" s="640"/>
      <c r="L70" s="641"/>
      <c r="M70" s="642"/>
      <c r="N70" s="140"/>
    </row>
    <row r="71" spans="5:14" ht="15" x14ac:dyDescent="0.55000000000000004">
      <c r="E71" s="638"/>
      <c r="F71" s="639"/>
      <c r="G71" s="640"/>
      <c r="H71" s="641"/>
      <c r="I71" s="641"/>
      <c r="J71" s="642"/>
      <c r="K71" s="640"/>
      <c r="L71" s="641"/>
      <c r="M71" s="642"/>
      <c r="N71" s="140"/>
    </row>
    <row r="72" spans="5:14" ht="15" x14ac:dyDescent="0.55000000000000004">
      <c r="E72" s="638"/>
      <c r="F72" s="639"/>
      <c r="G72" s="640"/>
      <c r="H72" s="641"/>
      <c r="I72" s="641"/>
      <c r="J72" s="642"/>
      <c r="K72" s="640"/>
      <c r="L72" s="641"/>
      <c r="M72" s="642"/>
      <c r="N72" s="140"/>
    </row>
    <row r="73" spans="5:14" ht="15" x14ac:dyDescent="0.55000000000000004">
      <c r="E73" s="638"/>
      <c r="F73" s="639"/>
      <c r="G73" s="640"/>
      <c r="H73" s="641"/>
      <c r="I73" s="641"/>
      <c r="J73" s="642"/>
      <c r="K73" s="640"/>
      <c r="L73" s="641"/>
      <c r="M73" s="642"/>
      <c r="N73" s="140"/>
    </row>
    <row r="74" spans="5:14" ht="15" x14ac:dyDescent="0.55000000000000004">
      <c r="E74" s="638"/>
      <c r="F74" s="639"/>
      <c r="G74" s="640"/>
      <c r="H74" s="641"/>
      <c r="I74" s="641"/>
      <c r="J74" s="642"/>
      <c r="K74" s="640"/>
      <c r="L74" s="641"/>
      <c r="M74" s="642"/>
      <c r="N74" s="140"/>
    </row>
    <row r="75" spans="5:14" ht="15" x14ac:dyDescent="0.55000000000000004">
      <c r="E75" s="638"/>
      <c r="F75" s="639"/>
      <c r="G75" s="640"/>
      <c r="H75" s="641"/>
      <c r="I75" s="641"/>
      <c r="J75" s="642"/>
      <c r="K75" s="640"/>
      <c r="L75" s="641"/>
      <c r="M75" s="642"/>
      <c r="N75" s="140"/>
    </row>
    <row r="76" spans="5:14" ht="15" x14ac:dyDescent="0.55000000000000004">
      <c r="E76" s="638"/>
      <c r="F76" s="639"/>
      <c r="G76" s="640"/>
      <c r="H76" s="641"/>
      <c r="I76" s="641"/>
      <c r="J76" s="642"/>
      <c r="K76" s="640"/>
      <c r="L76" s="641"/>
      <c r="M76" s="642"/>
      <c r="N76" s="140"/>
    </row>
    <row r="77" spans="5:14" ht="15" x14ac:dyDescent="0.55000000000000004">
      <c r="E77" s="638"/>
      <c r="F77" s="639"/>
      <c r="G77" s="640"/>
      <c r="H77" s="641"/>
      <c r="I77" s="641"/>
      <c r="J77" s="642"/>
      <c r="K77" s="640"/>
      <c r="L77" s="641"/>
      <c r="M77" s="642"/>
      <c r="N77" s="140"/>
    </row>
    <row r="78" spans="5:14" ht="15" x14ac:dyDescent="0.55000000000000004">
      <c r="E78" s="638"/>
      <c r="F78" s="639"/>
      <c r="G78" s="640"/>
      <c r="H78" s="641"/>
      <c r="I78" s="641"/>
      <c r="J78" s="642"/>
      <c r="K78" s="640"/>
      <c r="L78" s="641"/>
      <c r="M78" s="642"/>
      <c r="N78" s="140"/>
    </row>
    <row r="79" spans="5:14" ht="15" x14ac:dyDescent="0.55000000000000004">
      <c r="E79" s="638"/>
      <c r="F79" s="639"/>
      <c r="G79" s="640"/>
      <c r="H79" s="641"/>
      <c r="I79" s="641"/>
      <c r="J79" s="642"/>
      <c r="K79" s="640"/>
      <c r="L79" s="641"/>
      <c r="M79" s="642"/>
      <c r="N79" s="140"/>
    </row>
    <row r="80" spans="5:14" ht="15" x14ac:dyDescent="0.55000000000000004">
      <c r="E80" s="638"/>
      <c r="F80" s="639"/>
      <c r="G80" s="640"/>
      <c r="H80" s="641"/>
      <c r="I80" s="641"/>
      <c r="J80" s="642"/>
      <c r="K80" s="640"/>
      <c r="L80" s="641"/>
      <c r="M80" s="642"/>
      <c r="N80" s="140"/>
    </row>
    <row r="81" spans="1:31" ht="15" x14ac:dyDescent="0.55000000000000004">
      <c r="E81" s="638"/>
      <c r="F81" s="639"/>
      <c r="G81" s="640"/>
      <c r="H81" s="641"/>
      <c r="I81" s="641"/>
      <c r="J81" s="642"/>
      <c r="K81" s="640"/>
      <c r="L81" s="641"/>
      <c r="M81" s="642"/>
      <c r="N81" s="140"/>
    </row>
    <row r="82" spans="1:31" ht="15" x14ac:dyDescent="0.55000000000000004">
      <c r="E82" s="638"/>
      <c r="F82" s="639"/>
      <c r="G82" s="640"/>
      <c r="H82" s="641"/>
      <c r="I82" s="641"/>
      <c r="J82" s="642"/>
      <c r="K82" s="640"/>
      <c r="L82" s="641"/>
      <c r="M82" s="642"/>
      <c r="N82" s="140"/>
    </row>
    <row r="83" spans="1:31" ht="15.4" thickBot="1" x14ac:dyDescent="0.6">
      <c r="E83" s="671" t="s">
        <v>317</v>
      </c>
      <c r="F83" s="672"/>
      <c r="G83" s="672"/>
      <c r="H83" s="672"/>
      <c r="I83" s="672"/>
      <c r="J83" s="672"/>
      <c r="K83" s="672"/>
      <c r="L83" s="672"/>
      <c r="M83" s="673"/>
      <c r="N83" s="143">
        <f>SUM(N42:N82)</f>
        <v>22.55</v>
      </c>
    </row>
    <row r="86" spans="1:31" ht="15" customHeight="1" x14ac:dyDescent="0.45">
      <c r="E86" s="532" t="s">
        <v>348</v>
      </c>
      <c r="F86" s="532"/>
      <c r="G86" s="532"/>
      <c r="H86" s="532"/>
      <c r="I86" s="532"/>
      <c r="J86" s="532"/>
      <c r="K86" s="532"/>
      <c r="L86" s="532"/>
      <c r="M86" s="532"/>
      <c r="N86" s="5"/>
      <c r="O86" s="5"/>
      <c r="P86" s="5"/>
      <c r="Q86" s="5"/>
      <c r="R86" s="5"/>
      <c r="S86" s="6"/>
      <c r="T86" s="6"/>
      <c r="U86" s="6"/>
      <c r="V86" s="6"/>
      <c r="W86" s="6"/>
      <c r="X86" s="6"/>
      <c r="Y86" s="6"/>
      <c r="Z86" s="6"/>
      <c r="AA86" s="6"/>
    </row>
    <row r="87" spans="1:31" s="8" customFormat="1" ht="15" customHeight="1" thickBot="1" x14ac:dyDescent="0.5">
      <c r="A87" s="7"/>
      <c r="B87" s="7"/>
      <c r="C87" s="7"/>
      <c r="E87" s="533"/>
      <c r="F87" s="533"/>
      <c r="G87" s="533"/>
      <c r="H87" s="533"/>
      <c r="I87" s="533"/>
      <c r="J87" s="533"/>
      <c r="K87" s="533"/>
      <c r="L87" s="533"/>
      <c r="M87" s="533"/>
      <c r="N87" s="9"/>
      <c r="O87" s="9"/>
      <c r="P87" s="9"/>
      <c r="Q87" s="9"/>
      <c r="R87" s="9"/>
      <c r="S87" s="10"/>
      <c r="T87" s="10"/>
      <c r="U87" s="10"/>
      <c r="V87" s="10"/>
      <c r="W87" s="10"/>
      <c r="X87" s="10"/>
      <c r="Y87" s="10"/>
      <c r="Z87" s="10"/>
      <c r="AA87" s="10"/>
    </row>
    <row r="88" spans="1:31" ht="14.65" thickBot="1" x14ac:dyDescent="0.5"/>
    <row r="89" spans="1:31" ht="14.65" thickBot="1" x14ac:dyDescent="0.5">
      <c r="E89" s="620" t="s">
        <v>350</v>
      </c>
      <c r="F89" s="621"/>
      <c r="G89" s="621"/>
      <c r="H89" s="621"/>
      <c r="I89" s="621"/>
      <c r="J89" s="621"/>
      <c r="K89" s="621"/>
      <c r="L89" s="621"/>
      <c r="M89" s="621"/>
      <c r="N89" s="621"/>
      <c r="O89" s="621"/>
      <c r="P89" s="621"/>
      <c r="Q89" s="621"/>
      <c r="R89" s="621"/>
      <c r="S89" s="621"/>
      <c r="T89" s="621"/>
      <c r="U89" s="621"/>
      <c r="V89" s="621"/>
      <c r="W89" s="621"/>
      <c r="X89" s="621"/>
      <c r="Y89" s="622"/>
      <c r="AA89" s="629" t="s">
        <v>353</v>
      </c>
      <c r="AB89" s="630"/>
      <c r="AC89" s="630"/>
      <c r="AD89" s="630"/>
      <c r="AE89" s="631"/>
    </row>
    <row r="90" spans="1:31" x14ac:dyDescent="0.45">
      <c r="E90" s="615" t="s">
        <v>146</v>
      </c>
      <c r="F90" s="350"/>
      <c r="G90" s="350" t="s">
        <v>349</v>
      </c>
      <c r="H90" s="350"/>
      <c r="I90" s="350" t="s">
        <v>345</v>
      </c>
      <c r="J90" s="350"/>
      <c r="K90" s="133" t="s">
        <v>148</v>
      </c>
      <c r="L90" s="350" t="s">
        <v>166</v>
      </c>
      <c r="M90" s="350"/>
      <c r="N90" s="350"/>
      <c r="O90" s="350"/>
      <c r="P90" s="350"/>
      <c r="Q90" s="350"/>
      <c r="R90" s="350"/>
      <c r="S90" s="350" t="s">
        <v>352</v>
      </c>
      <c r="T90" s="350"/>
      <c r="U90" s="350"/>
      <c r="V90" s="350"/>
      <c r="W90" s="350"/>
      <c r="X90" s="350"/>
      <c r="Y90" s="614"/>
      <c r="AA90" s="685" t="s">
        <v>147</v>
      </c>
      <c r="AB90" s="686"/>
      <c r="AC90" s="686"/>
      <c r="AD90" s="686"/>
      <c r="AE90" s="684" t="s">
        <v>324</v>
      </c>
    </row>
    <row r="91" spans="1:31" ht="15" x14ac:dyDescent="0.45">
      <c r="E91" s="680">
        <v>44784</v>
      </c>
      <c r="F91" s="681"/>
      <c r="G91" s="555" t="s">
        <v>24</v>
      </c>
      <c r="H91" s="555"/>
      <c r="I91" s="555" t="s">
        <v>396</v>
      </c>
      <c r="J91" s="555"/>
      <c r="K91" s="149">
        <v>2</v>
      </c>
      <c r="L91" s="619" t="s">
        <v>168</v>
      </c>
      <c r="M91" s="619"/>
      <c r="N91" s="619"/>
      <c r="O91" s="619"/>
      <c r="P91" s="619"/>
      <c r="Q91" s="619"/>
      <c r="R91" s="619"/>
      <c r="S91" s="555"/>
      <c r="T91" s="555"/>
      <c r="U91" s="555"/>
      <c r="V91" s="555"/>
      <c r="W91" s="555"/>
      <c r="X91" s="555"/>
      <c r="Y91" s="556"/>
      <c r="AA91" s="685"/>
      <c r="AB91" s="686"/>
      <c r="AC91" s="686"/>
      <c r="AD91" s="686"/>
      <c r="AE91" s="684"/>
    </row>
    <row r="92" spans="1:31" ht="15" x14ac:dyDescent="0.45">
      <c r="E92" s="680">
        <v>44785</v>
      </c>
      <c r="F92" s="681"/>
      <c r="G92" s="557" t="s">
        <v>24</v>
      </c>
      <c r="H92" s="557"/>
      <c r="I92" s="557" t="s">
        <v>329</v>
      </c>
      <c r="J92" s="557"/>
      <c r="K92" s="150">
        <v>0.6</v>
      </c>
      <c r="L92" s="606" t="s">
        <v>168</v>
      </c>
      <c r="M92" s="606"/>
      <c r="N92" s="606"/>
      <c r="O92" s="606"/>
      <c r="P92" s="606"/>
      <c r="Q92" s="606"/>
      <c r="R92" s="606"/>
      <c r="S92" s="557"/>
      <c r="T92" s="557"/>
      <c r="U92" s="557"/>
      <c r="V92" s="557"/>
      <c r="W92" s="557"/>
      <c r="X92" s="557"/>
      <c r="Y92" s="558"/>
      <c r="AA92" s="682" t="str">
        <f>'Từ khóa'!S12:S12</f>
        <v>Mua sách</v>
      </c>
      <c r="AB92" s="683"/>
      <c r="AC92" s="683"/>
      <c r="AD92" s="683"/>
      <c r="AE92" s="145">
        <f ca="1">SUMIF($G$91:$H$105,AA92,$K$91:$K$105)</f>
        <v>0.5</v>
      </c>
    </row>
    <row r="93" spans="1:31" ht="15" x14ac:dyDescent="0.45">
      <c r="E93" s="680">
        <v>44801</v>
      </c>
      <c r="F93" s="681"/>
      <c r="G93" s="557" t="s">
        <v>23</v>
      </c>
      <c r="H93" s="557"/>
      <c r="I93" s="557"/>
      <c r="J93" s="557"/>
      <c r="K93" s="150">
        <v>0.5</v>
      </c>
      <c r="L93" s="606" t="s">
        <v>168</v>
      </c>
      <c r="M93" s="606"/>
      <c r="N93" s="606"/>
      <c r="O93" s="606"/>
      <c r="P93" s="606"/>
      <c r="Q93" s="606"/>
      <c r="R93" s="606"/>
      <c r="S93" s="557"/>
      <c r="T93" s="557"/>
      <c r="U93" s="557"/>
      <c r="V93" s="557"/>
      <c r="W93" s="557"/>
      <c r="X93" s="557"/>
      <c r="Y93" s="558"/>
      <c r="AA93" s="678" t="str">
        <f>'Từ khóa'!S13:S13</f>
        <v>Khóa học ngắn hạn</v>
      </c>
      <c r="AB93" s="679"/>
      <c r="AC93" s="679"/>
      <c r="AD93" s="679"/>
      <c r="AE93" s="146">
        <f t="shared" ref="AE93:AE101" ca="1" si="6">SUMIF($G$91:$H$105,AA93,$K$91:$K$105)</f>
        <v>2.6</v>
      </c>
    </row>
    <row r="94" spans="1:31" ht="15" x14ac:dyDescent="0.45">
      <c r="E94" s="680"/>
      <c r="F94" s="681"/>
      <c r="G94" s="557"/>
      <c r="H94" s="557"/>
      <c r="I94" s="557"/>
      <c r="J94" s="557"/>
      <c r="K94" s="150"/>
      <c r="L94" s="606"/>
      <c r="M94" s="606"/>
      <c r="N94" s="606"/>
      <c r="O94" s="606"/>
      <c r="P94" s="606"/>
      <c r="Q94" s="606"/>
      <c r="R94" s="606"/>
      <c r="S94" s="557"/>
      <c r="T94" s="557"/>
      <c r="U94" s="557"/>
      <c r="V94" s="557"/>
      <c r="W94" s="557"/>
      <c r="X94" s="557"/>
      <c r="Y94" s="558"/>
      <c r="AA94" s="678" t="str">
        <f>'Từ khóa'!S14:S14</f>
        <v>Khóa học dài hạn</v>
      </c>
      <c r="AB94" s="679"/>
      <c r="AC94" s="679"/>
      <c r="AD94" s="679"/>
      <c r="AE94" s="146">
        <f t="shared" ca="1" si="6"/>
        <v>0</v>
      </c>
    </row>
    <row r="95" spans="1:31" x14ac:dyDescent="0.45">
      <c r="E95" s="604"/>
      <c r="F95" s="605"/>
      <c r="G95" s="557"/>
      <c r="H95" s="557"/>
      <c r="I95" s="557"/>
      <c r="J95" s="557"/>
      <c r="K95" s="150"/>
      <c r="L95" s="606"/>
      <c r="M95" s="606"/>
      <c r="N95" s="606"/>
      <c r="O95" s="606"/>
      <c r="P95" s="606"/>
      <c r="Q95" s="606"/>
      <c r="R95" s="606"/>
      <c r="S95" s="557"/>
      <c r="T95" s="557"/>
      <c r="U95" s="557"/>
      <c r="V95" s="557"/>
      <c r="W95" s="557"/>
      <c r="X95" s="557"/>
      <c r="Y95" s="558"/>
      <c r="AA95" s="678" t="e">
        <f>'Từ khóa'!#REF!</f>
        <v>#REF!</v>
      </c>
      <c r="AB95" s="679"/>
      <c r="AC95" s="679"/>
      <c r="AD95" s="679"/>
      <c r="AE95" s="146">
        <f t="shared" ca="1" si="6"/>
        <v>0</v>
      </c>
    </row>
    <row r="96" spans="1:31" x14ac:dyDescent="0.45">
      <c r="E96" s="604"/>
      <c r="F96" s="605"/>
      <c r="G96" s="557"/>
      <c r="H96" s="557"/>
      <c r="I96" s="557"/>
      <c r="J96" s="557"/>
      <c r="K96" s="150"/>
      <c r="L96" s="606"/>
      <c r="M96" s="606"/>
      <c r="N96" s="606"/>
      <c r="O96" s="606"/>
      <c r="P96" s="606"/>
      <c r="Q96" s="606"/>
      <c r="R96" s="606"/>
      <c r="S96" s="557"/>
      <c r="T96" s="557"/>
      <c r="U96" s="557"/>
      <c r="V96" s="557"/>
      <c r="W96" s="557"/>
      <c r="X96" s="557"/>
      <c r="Y96" s="558"/>
      <c r="AA96" s="678" t="str">
        <f>'Từ khóa'!S15:S15</f>
        <v>Tham gia các buổi diễn thuyết</v>
      </c>
      <c r="AB96" s="679"/>
      <c r="AC96" s="679"/>
      <c r="AD96" s="679"/>
      <c r="AE96" s="146">
        <f t="shared" ca="1" si="6"/>
        <v>0</v>
      </c>
    </row>
    <row r="97" spans="5:31" x14ac:dyDescent="0.45">
      <c r="E97" s="604"/>
      <c r="F97" s="605"/>
      <c r="G97" s="557"/>
      <c r="H97" s="557"/>
      <c r="I97" s="557"/>
      <c r="J97" s="557"/>
      <c r="K97" s="150"/>
      <c r="L97" s="606"/>
      <c r="M97" s="606"/>
      <c r="N97" s="606"/>
      <c r="O97" s="606"/>
      <c r="P97" s="606"/>
      <c r="Q97" s="606"/>
      <c r="R97" s="606"/>
      <c r="S97" s="557"/>
      <c r="T97" s="557"/>
      <c r="U97" s="557"/>
      <c r="V97" s="557"/>
      <c r="W97" s="557"/>
      <c r="X97" s="557"/>
      <c r="Y97" s="558"/>
      <c r="AA97" s="678" t="str">
        <f>'Từ khóa'!S16:S16</f>
        <v>Chi phát triển bản thân khác</v>
      </c>
      <c r="AB97" s="679"/>
      <c r="AC97" s="679"/>
      <c r="AD97" s="679"/>
      <c r="AE97" s="146">
        <f t="shared" ca="1" si="6"/>
        <v>0</v>
      </c>
    </row>
    <row r="98" spans="5:31" x14ac:dyDescent="0.45">
      <c r="E98" s="604"/>
      <c r="F98" s="605"/>
      <c r="G98" s="557"/>
      <c r="H98" s="557"/>
      <c r="I98" s="557"/>
      <c r="J98" s="557"/>
      <c r="K98" s="150"/>
      <c r="L98" s="606"/>
      <c r="M98" s="606"/>
      <c r="N98" s="606"/>
      <c r="O98" s="606"/>
      <c r="P98" s="606"/>
      <c r="Q98" s="606"/>
      <c r="R98" s="606"/>
      <c r="S98" s="557"/>
      <c r="T98" s="557"/>
      <c r="U98" s="557"/>
      <c r="V98" s="557"/>
      <c r="W98" s="557"/>
      <c r="X98" s="557"/>
      <c r="Y98" s="558"/>
      <c r="AA98" s="678">
        <f>'Từ khóa'!S18:S18</f>
        <v>0</v>
      </c>
      <c r="AB98" s="679"/>
      <c r="AC98" s="679"/>
      <c r="AD98" s="679"/>
      <c r="AE98" s="146">
        <f t="shared" ca="1" si="6"/>
        <v>0</v>
      </c>
    </row>
    <row r="99" spans="5:31" x14ac:dyDescent="0.45">
      <c r="E99" s="604"/>
      <c r="F99" s="605"/>
      <c r="G99" s="557"/>
      <c r="H99" s="557"/>
      <c r="I99" s="557"/>
      <c r="J99" s="557"/>
      <c r="K99" s="150"/>
      <c r="L99" s="606"/>
      <c r="M99" s="606"/>
      <c r="N99" s="606"/>
      <c r="O99" s="606"/>
      <c r="P99" s="606"/>
      <c r="Q99" s="606"/>
      <c r="R99" s="606"/>
      <c r="S99" s="557"/>
      <c r="T99" s="557"/>
      <c r="U99" s="557"/>
      <c r="V99" s="557"/>
      <c r="W99" s="557"/>
      <c r="X99" s="557"/>
      <c r="Y99" s="558"/>
      <c r="AA99" s="678">
        <f>'Từ khóa'!S19:S19</f>
        <v>0</v>
      </c>
      <c r="AB99" s="679"/>
      <c r="AC99" s="679"/>
      <c r="AD99" s="679"/>
      <c r="AE99" s="146">
        <f t="shared" ca="1" si="6"/>
        <v>0</v>
      </c>
    </row>
    <row r="100" spans="5:31" x14ac:dyDescent="0.45">
      <c r="E100" s="604"/>
      <c r="F100" s="605"/>
      <c r="G100" s="557"/>
      <c r="H100" s="557"/>
      <c r="I100" s="557"/>
      <c r="J100" s="557"/>
      <c r="K100" s="150"/>
      <c r="L100" s="606"/>
      <c r="M100" s="606"/>
      <c r="N100" s="606"/>
      <c r="O100" s="606"/>
      <c r="P100" s="606"/>
      <c r="Q100" s="606"/>
      <c r="R100" s="606"/>
      <c r="S100" s="557"/>
      <c r="T100" s="557"/>
      <c r="U100" s="557"/>
      <c r="V100" s="557"/>
      <c r="W100" s="557"/>
      <c r="X100" s="557"/>
      <c r="Y100" s="558"/>
      <c r="AA100" s="678">
        <f>'Từ khóa'!S20:S20</f>
        <v>0</v>
      </c>
      <c r="AB100" s="679"/>
      <c r="AC100" s="679"/>
      <c r="AD100" s="679"/>
      <c r="AE100" s="146">
        <f t="shared" ca="1" si="6"/>
        <v>0</v>
      </c>
    </row>
    <row r="101" spans="5:31" ht="14.65" thickBot="1" x14ac:dyDescent="0.5">
      <c r="E101" s="604"/>
      <c r="F101" s="605"/>
      <c r="G101" s="557"/>
      <c r="H101" s="557"/>
      <c r="I101" s="557"/>
      <c r="J101" s="557"/>
      <c r="K101" s="150"/>
      <c r="L101" s="606"/>
      <c r="M101" s="606"/>
      <c r="N101" s="606"/>
      <c r="O101" s="606"/>
      <c r="P101" s="606"/>
      <c r="Q101" s="606"/>
      <c r="R101" s="606"/>
      <c r="S101" s="557"/>
      <c r="T101" s="557"/>
      <c r="U101" s="557"/>
      <c r="V101" s="557"/>
      <c r="W101" s="557"/>
      <c r="X101" s="557"/>
      <c r="Y101" s="558"/>
      <c r="AA101" s="676">
        <f>'Từ khóa'!S21:S21</f>
        <v>0</v>
      </c>
      <c r="AB101" s="677"/>
      <c r="AC101" s="677"/>
      <c r="AD101" s="677"/>
      <c r="AE101" s="147">
        <f t="shared" ca="1" si="6"/>
        <v>0</v>
      </c>
    </row>
    <row r="102" spans="5:31" ht="14.65" thickBot="1" x14ac:dyDescent="0.5">
      <c r="E102" s="604"/>
      <c r="F102" s="605"/>
      <c r="G102" s="557"/>
      <c r="H102" s="557"/>
      <c r="I102" s="557"/>
      <c r="J102" s="557"/>
      <c r="K102" s="150"/>
      <c r="L102" s="606"/>
      <c r="M102" s="606"/>
      <c r="N102" s="606"/>
      <c r="O102" s="606"/>
      <c r="P102" s="606"/>
      <c r="Q102" s="606"/>
      <c r="R102" s="606"/>
      <c r="S102" s="557"/>
      <c r="T102" s="557"/>
      <c r="U102" s="557"/>
      <c r="V102" s="557"/>
      <c r="W102" s="557"/>
      <c r="X102" s="557"/>
      <c r="Y102" s="558"/>
      <c r="AA102" s="598" t="s">
        <v>351</v>
      </c>
      <c r="AB102" s="599"/>
      <c r="AC102" s="599"/>
      <c r="AD102" s="599"/>
      <c r="AE102" s="262">
        <f ca="1">SUM(AE92:AE101)</f>
        <v>3.1</v>
      </c>
    </row>
    <row r="103" spans="5:31" x14ac:dyDescent="0.45">
      <c r="E103" s="604"/>
      <c r="F103" s="605"/>
      <c r="G103" s="557"/>
      <c r="H103" s="557"/>
      <c r="I103" s="557"/>
      <c r="J103" s="557"/>
      <c r="K103" s="150"/>
      <c r="L103" s="606"/>
      <c r="M103" s="606"/>
      <c r="N103" s="606"/>
      <c r="O103" s="606"/>
      <c r="P103" s="606"/>
      <c r="Q103" s="606"/>
      <c r="R103" s="606"/>
      <c r="S103" s="557"/>
      <c r="T103" s="557"/>
      <c r="U103" s="557"/>
      <c r="V103" s="557"/>
      <c r="W103" s="557"/>
      <c r="X103" s="557"/>
      <c r="Y103" s="558"/>
      <c r="AA103" s="600"/>
      <c r="AB103" s="600"/>
      <c r="AC103" s="600"/>
      <c r="AD103" s="600"/>
    </row>
    <row r="104" spans="5:31" x14ac:dyDescent="0.45">
      <c r="E104" s="604"/>
      <c r="F104" s="605"/>
      <c r="G104" s="557"/>
      <c r="H104" s="557"/>
      <c r="I104" s="557"/>
      <c r="J104" s="557"/>
      <c r="K104" s="150"/>
      <c r="L104" s="606"/>
      <c r="M104" s="606"/>
      <c r="N104" s="606"/>
      <c r="O104" s="606"/>
      <c r="P104" s="606"/>
      <c r="Q104" s="606"/>
      <c r="R104" s="606"/>
      <c r="S104" s="557"/>
      <c r="T104" s="557"/>
      <c r="U104" s="557"/>
      <c r="V104" s="557"/>
      <c r="W104" s="557"/>
      <c r="X104" s="557"/>
      <c r="Y104" s="558"/>
      <c r="AA104" s="600"/>
      <c r="AB104" s="600"/>
      <c r="AC104" s="600"/>
      <c r="AD104" s="600"/>
    </row>
    <row r="105" spans="5:31" ht="14.65" thickBot="1" x14ac:dyDescent="0.5">
      <c r="E105" s="607"/>
      <c r="F105" s="608"/>
      <c r="G105" s="546"/>
      <c r="H105" s="546"/>
      <c r="I105" s="546"/>
      <c r="J105" s="546"/>
      <c r="K105" s="151"/>
      <c r="L105" s="609"/>
      <c r="M105" s="609"/>
      <c r="N105" s="609"/>
      <c r="O105" s="609"/>
      <c r="P105" s="609"/>
      <c r="Q105" s="609"/>
      <c r="R105" s="609"/>
      <c r="S105" s="546"/>
      <c r="T105" s="546"/>
      <c r="U105" s="546"/>
      <c r="V105" s="546"/>
      <c r="W105" s="546"/>
      <c r="X105" s="546"/>
      <c r="Y105" s="547"/>
      <c r="AA105" s="600"/>
      <c r="AB105" s="600"/>
      <c r="AC105" s="600"/>
      <c r="AD105" s="600"/>
    </row>
    <row r="106" spans="5:31" ht="14.65" thickBot="1" x14ac:dyDescent="0.5">
      <c r="E106" s="601" t="s">
        <v>351</v>
      </c>
      <c r="F106" s="602"/>
      <c r="G106" s="602"/>
      <c r="H106" s="602"/>
      <c r="I106" s="602"/>
      <c r="J106" s="602"/>
      <c r="K106" s="603">
        <f>SUM(K91:K105)</f>
        <v>3.1</v>
      </c>
      <c r="L106" s="603"/>
      <c r="M106" s="603"/>
      <c r="N106" s="603"/>
      <c r="O106" s="603"/>
      <c r="P106" s="603"/>
      <c r="Q106" s="603"/>
      <c r="R106" s="603"/>
      <c r="S106" s="141"/>
      <c r="T106" s="141"/>
      <c r="U106" s="141"/>
      <c r="V106" s="141"/>
      <c r="W106" s="141"/>
      <c r="X106" s="141"/>
      <c r="Y106" s="142"/>
    </row>
  </sheetData>
  <sheetProtection algorithmName="SHA-512" hashValue="ZQpINxpa8IedhQGJrFh3CUx7SQZKwWepZTYxsjIXc6hk18i4tPuY9i3o/2c7NfTHJ4xFZ+tPru/4VipQaKRNlQ==" saltValue="N4KIVWgqmBSCeJzMgZQqKg==" spinCount="100000" sheet="1" formatCells="0" formatColumns="0" formatRows="0" insertColumns="0" insertRows="0" insertHyperlinks="0" deleteColumns="0" deleteRows="0" sort="0" autoFilter="0" pivotTables="0"/>
  <mergeCells count="423">
    <mergeCell ref="E1:K3"/>
    <mergeCell ref="E6:M7"/>
    <mergeCell ref="E9:H12"/>
    <mergeCell ref="I9:I12"/>
    <mergeCell ref="E14:H17"/>
    <mergeCell ref="I14:I17"/>
    <mergeCell ref="E19:H22"/>
    <mergeCell ref="I19:I22"/>
    <mergeCell ref="E25:N25"/>
    <mergeCell ref="P25:AK25"/>
    <mergeCell ref="E26:F26"/>
    <mergeCell ref="G26:J26"/>
    <mergeCell ref="K26:M26"/>
    <mergeCell ref="P26:S26"/>
    <mergeCell ref="T26:U26"/>
    <mergeCell ref="V26:W26"/>
    <mergeCell ref="X26:Y26"/>
    <mergeCell ref="Z26:AE26"/>
    <mergeCell ref="AF26:AK26"/>
    <mergeCell ref="E27:F27"/>
    <mergeCell ref="G27:J27"/>
    <mergeCell ref="K27:M27"/>
    <mergeCell ref="P27:S27"/>
    <mergeCell ref="T27:U27"/>
    <mergeCell ref="X27:Y27"/>
    <mergeCell ref="Z27:AE27"/>
    <mergeCell ref="AF27:AK27"/>
    <mergeCell ref="E28:F28"/>
    <mergeCell ref="G28:J28"/>
    <mergeCell ref="K28:M28"/>
    <mergeCell ref="P28:S28"/>
    <mergeCell ref="T28:U28"/>
    <mergeCell ref="X28:Y28"/>
    <mergeCell ref="Z28:AE28"/>
    <mergeCell ref="AF28:AK28"/>
    <mergeCell ref="Z29:AE29"/>
    <mergeCell ref="AF29:AK29"/>
    <mergeCell ref="E30:F30"/>
    <mergeCell ref="G30:J30"/>
    <mergeCell ref="K30:M30"/>
    <mergeCell ref="P30:S30"/>
    <mergeCell ref="T30:U30"/>
    <mergeCell ref="X30:Y30"/>
    <mergeCell ref="Z30:AE30"/>
    <mergeCell ref="AF30:AK30"/>
    <mergeCell ref="E29:F29"/>
    <mergeCell ref="G29:J29"/>
    <mergeCell ref="K29:M29"/>
    <mergeCell ref="P29:S29"/>
    <mergeCell ref="T29:U29"/>
    <mergeCell ref="X29:Y29"/>
    <mergeCell ref="Z31:AE31"/>
    <mergeCell ref="AF31:AK31"/>
    <mergeCell ref="E32:F32"/>
    <mergeCell ref="G32:J32"/>
    <mergeCell ref="K32:M32"/>
    <mergeCell ref="P32:S32"/>
    <mergeCell ref="T32:U32"/>
    <mergeCell ref="X32:Y32"/>
    <mergeCell ref="Z32:AE32"/>
    <mergeCell ref="AF32:AK32"/>
    <mergeCell ref="E31:F31"/>
    <mergeCell ref="G31:J31"/>
    <mergeCell ref="K31:M31"/>
    <mergeCell ref="P31:S31"/>
    <mergeCell ref="T31:U31"/>
    <mergeCell ref="X31:Y31"/>
    <mergeCell ref="Z33:AE33"/>
    <mergeCell ref="AF33:AK33"/>
    <mergeCell ref="E34:F34"/>
    <mergeCell ref="G34:J34"/>
    <mergeCell ref="K34:M34"/>
    <mergeCell ref="P34:S34"/>
    <mergeCell ref="T34:U34"/>
    <mergeCell ref="X34:Y34"/>
    <mergeCell ref="Z34:AE34"/>
    <mergeCell ref="AF34:AK34"/>
    <mergeCell ref="E33:F33"/>
    <mergeCell ref="G33:J33"/>
    <mergeCell ref="K33:M33"/>
    <mergeCell ref="P33:S33"/>
    <mergeCell ref="T33:U33"/>
    <mergeCell ref="X33:Y33"/>
    <mergeCell ref="Z35:AE35"/>
    <mergeCell ref="AF35:AK35"/>
    <mergeCell ref="E36:F36"/>
    <mergeCell ref="G36:J36"/>
    <mergeCell ref="K36:M36"/>
    <mergeCell ref="P36:S36"/>
    <mergeCell ref="T36:U36"/>
    <mergeCell ref="X36:Y36"/>
    <mergeCell ref="Z36:AE36"/>
    <mergeCell ref="AF36:AK36"/>
    <mergeCell ref="E35:F35"/>
    <mergeCell ref="G35:J35"/>
    <mergeCell ref="K35:M35"/>
    <mergeCell ref="P35:S35"/>
    <mergeCell ref="T35:U35"/>
    <mergeCell ref="X35:Y35"/>
    <mergeCell ref="AF37:AK37"/>
    <mergeCell ref="E40:N40"/>
    <mergeCell ref="P40:AK40"/>
    <mergeCell ref="E41:F41"/>
    <mergeCell ref="G41:J41"/>
    <mergeCell ref="K41:M41"/>
    <mergeCell ref="P41:S41"/>
    <mergeCell ref="T41:U41"/>
    <mergeCell ref="V41:W41"/>
    <mergeCell ref="X41:Y41"/>
    <mergeCell ref="E37:M37"/>
    <mergeCell ref="P37:S37"/>
    <mergeCell ref="T37:U37"/>
    <mergeCell ref="V37:W37"/>
    <mergeCell ref="X37:Y37"/>
    <mergeCell ref="Z37:AE37"/>
    <mergeCell ref="Z41:AE41"/>
    <mergeCell ref="AF41:AK41"/>
    <mergeCell ref="E42:F42"/>
    <mergeCell ref="G42:J42"/>
    <mergeCell ref="K42:M42"/>
    <mergeCell ref="P42:S42"/>
    <mergeCell ref="T42:U42"/>
    <mergeCell ref="X42:Y42"/>
    <mergeCell ref="Z42:AE42"/>
    <mergeCell ref="AF42:AK42"/>
    <mergeCell ref="Z43:AE43"/>
    <mergeCell ref="AF43:AK43"/>
    <mergeCell ref="E44:F44"/>
    <mergeCell ref="G44:J44"/>
    <mergeCell ref="K44:M44"/>
    <mergeCell ref="P44:S44"/>
    <mergeCell ref="T44:U44"/>
    <mergeCell ref="X44:Y44"/>
    <mergeCell ref="Z44:AE44"/>
    <mergeCell ref="AF44:AK44"/>
    <mergeCell ref="E43:F43"/>
    <mergeCell ref="G43:J43"/>
    <mergeCell ref="K43:M43"/>
    <mergeCell ref="P43:S43"/>
    <mergeCell ref="T43:U43"/>
    <mergeCell ref="X43:Y43"/>
    <mergeCell ref="Z45:AE45"/>
    <mergeCell ref="AF45:AK45"/>
    <mergeCell ref="E46:F46"/>
    <mergeCell ref="G46:J46"/>
    <mergeCell ref="K46:M46"/>
    <mergeCell ref="P46:S46"/>
    <mergeCell ref="T46:U46"/>
    <mergeCell ref="X46:Y46"/>
    <mergeCell ref="Z46:AE46"/>
    <mergeCell ref="AF46:AK46"/>
    <mergeCell ref="E45:F45"/>
    <mergeCell ref="G45:J45"/>
    <mergeCell ref="K45:M45"/>
    <mergeCell ref="P45:S45"/>
    <mergeCell ref="T45:U45"/>
    <mergeCell ref="X45:Y45"/>
    <mergeCell ref="Z47:AE47"/>
    <mergeCell ref="AF47:AK47"/>
    <mergeCell ref="E48:F48"/>
    <mergeCell ref="G48:J48"/>
    <mergeCell ref="K48:M48"/>
    <mergeCell ref="P48:S48"/>
    <mergeCell ref="T48:U48"/>
    <mergeCell ref="X48:Y48"/>
    <mergeCell ref="Z48:AE48"/>
    <mergeCell ref="AF48:AK48"/>
    <mergeCell ref="E47:F47"/>
    <mergeCell ref="G47:J47"/>
    <mergeCell ref="K47:M47"/>
    <mergeCell ref="P47:S47"/>
    <mergeCell ref="T47:U47"/>
    <mergeCell ref="X47:Y47"/>
    <mergeCell ref="Z49:AE49"/>
    <mergeCell ref="AF49:AK49"/>
    <mergeCell ref="E50:F50"/>
    <mergeCell ref="G50:J50"/>
    <mergeCell ref="K50:M50"/>
    <mergeCell ref="P50:S50"/>
    <mergeCell ref="T50:U50"/>
    <mergeCell ref="X50:Y50"/>
    <mergeCell ref="Z50:AE50"/>
    <mergeCell ref="AF50:AK50"/>
    <mergeCell ref="E49:F49"/>
    <mergeCell ref="G49:J49"/>
    <mergeCell ref="K49:M49"/>
    <mergeCell ref="P49:S49"/>
    <mergeCell ref="T49:U49"/>
    <mergeCell ref="X49:Y49"/>
    <mergeCell ref="Z51:AE51"/>
    <mergeCell ref="AF51:AK51"/>
    <mergeCell ref="E52:F52"/>
    <mergeCell ref="G52:J52"/>
    <mergeCell ref="K52:M52"/>
    <mergeCell ref="P52:S52"/>
    <mergeCell ref="T52:U52"/>
    <mergeCell ref="X52:Y52"/>
    <mergeCell ref="Z52:AE52"/>
    <mergeCell ref="AF52:AK52"/>
    <mergeCell ref="E51:F51"/>
    <mergeCell ref="G51:J51"/>
    <mergeCell ref="K51:M51"/>
    <mergeCell ref="P51:S51"/>
    <mergeCell ref="T51:U51"/>
    <mergeCell ref="X51:Y51"/>
    <mergeCell ref="Z53:AE53"/>
    <mergeCell ref="AF53:AK53"/>
    <mergeCell ref="E54:F54"/>
    <mergeCell ref="G54:J54"/>
    <mergeCell ref="K54:M54"/>
    <mergeCell ref="P54:S54"/>
    <mergeCell ref="T54:U54"/>
    <mergeCell ref="X54:Y54"/>
    <mergeCell ref="Z54:AE54"/>
    <mergeCell ref="AF54:AK54"/>
    <mergeCell ref="E53:F53"/>
    <mergeCell ref="G53:J53"/>
    <mergeCell ref="K53:M53"/>
    <mergeCell ref="P53:S53"/>
    <mergeCell ref="T53:U53"/>
    <mergeCell ref="X53:Y53"/>
    <mergeCell ref="Z55:AE55"/>
    <mergeCell ref="AF55:AK55"/>
    <mergeCell ref="E56:F56"/>
    <mergeCell ref="G56:J56"/>
    <mergeCell ref="K56:M56"/>
    <mergeCell ref="P56:S56"/>
    <mergeCell ref="T56:U56"/>
    <mergeCell ref="X56:Y56"/>
    <mergeCell ref="Z56:AE56"/>
    <mergeCell ref="AF56:AK56"/>
    <mergeCell ref="E55:F55"/>
    <mergeCell ref="G55:J55"/>
    <mergeCell ref="K55:M55"/>
    <mergeCell ref="P55:S55"/>
    <mergeCell ref="T55:U55"/>
    <mergeCell ref="X55:Y55"/>
    <mergeCell ref="X57:Y57"/>
    <mergeCell ref="Z57:AE57"/>
    <mergeCell ref="AF57:AK57"/>
    <mergeCell ref="E58:F58"/>
    <mergeCell ref="G58:J58"/>
    <mergeCell ref="K58:M58"/>
    <mergeCell ref="E57:F57"/>
    <mergeCell ref="G57:J57"/>
    <mergeCell ref="K57:M57"/>
    <mergeCell ref="P57:S57"/>
    <mergeCell ref="T57:U57"/>
    <mergeCell ref="V57:W57"/>
    <mergeCell ref="E61:F61"/>
    <mergeCell ref="G61:J61"/>
    <mergeCell ref="K61:M61"/>
    <mergeCell ref="E62:F62"/>
    <mergeCell ref="G62:J62"/>
    <mergeCell ref="K62:M62"/>
    <mergeCell ref="E59:F59"/>
    <mergeCell ref="G59:J59"/>
    <mergeCell ref="K59:M59"/>
    <mergeCell ref="E60:F60"/>
    <mergeCell ref="G60:J60"/>
    <mergeCell ref="K60:M60"/>
    <mergeCell ref="E65:F65"/>
    <mergeCell ref="G65:J65"/>
    <mergeCell ref="K65:M65"/>
    <mergeCell ref="E66:F66"/>
    <mergeCell ref="G66:J66"/>
    <mergeCell ref="K66:M66"/>
    <mergeCell ref="E63:F63"/>
    <mergeCell ref="G63:J63"/>
    <mergeCell ref="K63:M63"/>
    <mergeCell ref="E64:F64"/>
    <mergeCell ref="G64:J64"/>
    <mergeCell ref="K64:M64"/>
    <mergeCell ref="E69:F69"/>
    <mergeCell ref="G69:J69"/>
    <mergeCell ref="K69:M69"/>
    <mergeCell ref="E70:F70"/>
    <mergeCell ref="G70:J70"/>
    <mergeCell ref="K70:M70"/>
    <mergeCell ref="E67:F67"/>
    <mergeCell ref="G67:J67"/>
    <mergeCell ref="K67:M67"/>
    <mergeCell ref="E68:F68"/>
    <mergeCell ref="G68:J68"/>
    <mergeCell ref="K68:M68"/>
    <mergeCell ref="E73:F73"/>
    <mergeCell ref="G73:J73"/>
    <mergeCell ref="K73:M73"/>
    <mergeCell ref="E74:F74"/>
    <mergeCell ref="G74:J74"/>
    <mergeCell ref="K74:M74"/>
    <mergeCell ref="E71:F71"/>
    <mergeCell ref="G71:J71"/>
    <mergeCell ref="K71:M71"/>
    <mergeCell ref="E72:F72"/>
    <mergeCell ref="G72:J72"/>
    <mergeCell ref="K72:M72"/>
    <mergeCell ref="E77:F77"/>
    <mergeCell ref="G77:J77"/>
    <mergeCell ref="K77:M77"/>
    <mergeCell ref="E78:F78"/>
    <mergeCell ref="G78:J78"/>
    <mergeCell ref="K78:M78"/>
    <mergeCell ref="E75:F75"/>
    <mergeCell ref="G75:J75"/>
    <mergeCell ref="K75:M75"/>
    <mergeCell ref="E76:F76"/>
    <mergeCell ref="G76:J76"/>
    <mergeCell ref="K76:M76"/>
    <mergeCell ref="E81:F81"/>
    <mergeCell ref="G81:J81"/>
    <mergeCell ref="K81:M81"/>
    <mergeCell ref="E82:F82"/>
    <mergeCell ref="G82:J82"/>
    <mergeCell ref="K82:M82"/>
    <mergeCell ref="E79:F79"/>
    <mergeCell ref="G79:J79"/>
    <mergeCell ref="K79:M79"/>
    <mergeCell ref="E80:F80"/>
    <mergeCell ref="G80:J80"/>
    <mergeCell ref="K80:M80"/>
    <mergeCell ref="AE90:AE91"/>
    <mergeCell ref="E91:F91"/>
    <mergeCell ref="G91:H91"/>
    <mergeCell ref="I91:J91"/>
    <mergeCell ref="L91:R91"/>
    <mergeCell ref="S91:Y91"/>
    <mergeCell ref="E83:M83"/>
    <mergeCell ref="E86:M87"/>
    <mergeCell ref="E89:Y89"/>
    <mergeCell ref="AA89:AE89"/>
    <mergeCell ref="E90:F90"/>
    <mergeCell ref="G90:H90"/>
    <mergeCell ref="I90:J90"/>
    <mergeCell ref="L90:R90"/>
    <mergeCell ref="S90:Y90"/>
    <mergeCell ref="AA90:AD91"/>
    <mergeCell ref="E93:F93"/>
    <mergeCell ref="G93:H93"/>
    <mergeCell ref="I93:J93"/>
    <mergeCell ref="L93:R93"/>
    <mergeCell ref="S93:Y93"/>
    <mergeCell ref="AA93:AD93"/>
    <mergeCell ref="E92:F92"/>
    <mergeCell ref="G92:H92"/>
    <mergeCell ref="I92:J92"/>
    <mergeCell ref="L92:R92"/>
    <mergeCell ref="S92:Y92"/>
    <mergeCell ref="AA92:AD92"/>
    <mergeCell ref="E95:F95"/>
    <mergeCell ref="G95:H95"/>
    <mergeCell ref="I95:J95"/>
    <mergeCell ref="L95:R95"/>
    <mergeCell ref="S95:Y95"/>
    <mergeCell ref="AA95:AD95"/>
    <mergeCell ref="E94:F94"/>
    <mergeCell ref="G94:H94"/>
    <mergeCell ref="I94:J94"/>
    <mergeCell ref="L94:R94"/>
    <mergeCell ref="S94:Y94"/>
    <mergeCell ref="AA94:AD94"/>
    <mergeCell ref="E97:F97"/>
    <mergeCell ref="G97:H97"/>
    <mergeCell ref="I97:J97"/>
    <mergeCell ref="L97:R97"/>
    <mergeCell ref="S97:Y97"/>
    <mergeCell ref="AA97:AD97"/>
    <mergeCell ref="E96:F96"/>
    <mergeCell ref="G96:H96"/>
    <mergeCell ref="I96:J96"/>
    <mergeCell ref="L96:R96"/>
    <mergeCell ref="S96:Y96"/>
    <mergeCell ref="AA96:AD96"/>
    <mergeCell ref="E99:F99"/>
    <mergeCell ref="G99:H99"/>
    <mergeCell ref="I99:J99"/>
    <mergeCell ref="L99:R99"/>
    <mergeCell ref="S99:Y99"/>
    <mergeCell ref="AA99:AD99"/>
    <mergeCell ref="E98:F98"/>
    <mergeCell ref="G98:H98"/>
    <mergeCell ref="I98:J98"/>
    <mergeCell ref="L98:R98"/>
    <mergeCell ref="S98:Y98"/>
    <mergeCell ref="AA98:AD98"/>
    <mergeCell ref="E101:F101"/>
    <mergeCell ref="G101:H101"/>
    <mergeCell ref="I101:J101"/>
    <mergeCell ref="L101:R101"/>
    <mergeCell ref="S101:Y101"/>
    <mergeCell ref="AA101:AD101"/>
    <mergeCell ref="E100:F100"/>
    <mergeCell ref="G100:H100"/>
    <mergeCell ref="I100:J100"/>
    <mergeCell ref="L100:R100"/>
    <mergeCell ref="S100:Y100"/>
    <mergeCell ref="AA100:AD100"/>
    <mergeCell ref="E103:F103"/>
    <mergeCell ref="G103:H103"/>
    <mergeCell ref="I103:J103"/>
    <mergeCell ref="L103:R103"/>
    <mergeCell ref="S103:Y103"/>
    <mergeCell ref="AA103:AD103"/>
    <mergeCell ref="E102:F102"/>
    <mergeCell ref="G102:H102"/>
    <mergeCell ref="I102:J102"/>
    <mergeCell ref="L102:R102"/>
    <mergeCell ref="S102:Y102"/>
    <mergeCell ref="AA102:AD102"/>
    <mergeCell ref="E106:J106"/>
    <mergeCell ref="K106:R106"/>
    <mergeCell ref="E105:F105"/>
    <mergeCell ref="G105:H105"/>
    <mergeCell ref="I105:J105"/>
    <mergeCell ref="L105:R105"/>
    <mergeCell ref="S105:Y105"/>
    <mergeCell ref="AA105:AD105"/>
    <mergeCell ref="E104:F104"/>
    <mergeCell ref="G104:H104"/>
    <mergeCell ref="I104:J104"/>
    <mergeCell ref="L104:R104"/>
    <mergeCell ref="S104:Y104"/>
    <mergeCell ref="AA104:AD104"/>
  </mergeCells>
  <conditionalFormatting sqref="X27:Y36">
    <cfRule type="cellIs" dxfId="10" priority="2" operator="lessThan">
      <formula>0</formula>
    </cfRule>
  </conditionalFormatting>
  <conditionalFormatting sqref="X42:Y56">
    <cfRule type="cellIs" dxfId="9" priority="3" operator="lessThan">
      <formula>0</formula>
    </cfRule>
  </conditionalFormatting>
  <conditionalFormatting sqref="AE92:AE101">
    <cfRule type="dataBar" priority="1">
      <dataBar>
        <cfvo type="min"/>
        <cfvo type="max"/>
        <color theme="6" tint="0.39997558519241921"/>
      </dataBar>
      <extLst>
        <ext xmlns:x14="http://schemas.microsoft.com/office/spreadsheetml/2009/9/main" uri="{B025F937-C7B1-47D3-B67F-A62EFF666E3E}">
          <x14:id>{60C63586-B715-4C3D-A33B-6A33D58C502E}</x14:id>
        </ext>
      </extLst>
    </cfRule>
  </conditionalFormatting>
  <dataValidations count="1">
    <dataValidation allowBlank="1" showInputMessage="1" showErrorMessage="1" prompt="Nhập dữ liệu" sqref="E60:F82 E95:F105 K60:M82 I91:Y105 K27:N36 N42:N82" xr:uid="{00000000-0002-0000-0D00-000000000000}"/>
  </dataValidations>
  <hyperlinks>
    <hyperlink ref="F4" location="'T8'!E7" display="Phần 1" xr:uid="{00000000-0004-0000-0D00-000000000000}"/>
    <hyperlink ref="G4" location="'T8'!E87" display="Phần 2" xr:uid="{00000000-0004-0000-0D00-000001000000}"/>
    <hyperlink ref="H4" location="'T8'!E109" display="Phần 3" xr:uid="{00000000-0004-0000-0D00-000002000000}"/>
  </hyperlinks>
  <pageMargins left="0.7" right="0.7" top="0.75" bottom="0.75" header="0.3" footer="0.3"/>
  <pageSetup scale="31" orientation="portrait" r:id="rId1"/>
  <drawing r:id="rId2"/>
  <extLst>
    <ext xmlns:x14="http://schemas.microsoft.com/office/spreadsheetml/2009/9/main" uri="{78C0D931-6437-407d-A8EE-F0AAD7539E65}">
      <x14:conditionalFormattings>
        <x14:conditionalFormatting xmlns:xm="http://schemas.microsoft.com/office/excel/2006/main">
          <x14:cfRule type="dataBar" id="{60C63586-B715-4C3D-A33B-6A33D58C502E}">
            <x14:dataBar minLength="0" maxLength="100" gradient="0">
              <x14:cfvo type="autoMin"/>
              <x14:cfvo type="autoMax"/>
              <x14:negativeFillColor rgb="FFFF0000"/>
              <x14:axisColor rgb="FF000000"/>
            </x14:dataBar>
          </x14:cfRule>
          <xm:sqref>AE92:AE101</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prompt="Chọn dữ liệu" xr:uid="{00000000-0002-0000-0D00-000001000000}">
          <x14:formula1>
            <xm:f>'Từ khóa'!$F$12:$F$26</xm:f>
          </x14:formula1>
          <xm:sqref>G42:J82</xm:sqref>
        </x14:dataValidation>
        <x14:dataValidation type="list" allowBlank="1" showInputMessage="1" showErrorMessage="1" prompt="Chọn dữ liệu" xr:uid="{00000000-0002-0000-0D00-000002000000}">
          <x14:formula1>
            <xm:f>'Từ khóa'!$M$12:$M$19</xm:f>
          </x14:formula1>
          <xm:sqref>G27:J36</xm:sqref>
        </x14:dataValidation>
        <x14:dataValidation type="list" allowBlank="1" showInputMessage="1" showErrorMessage="1" prompt="Chọn dữ liệu" xr:uid="{00000000-0002-0000-0D00-000003000000}">
          <x14:formula1>
            <xm:f>'Từ khóa'!$S$12:$S$21</xm:f>
          </x14:formula1>
          <xm:sqref>G91:H105</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K106"/>
  <sheetViews>
    <sheetView showGridLines="0" zoomScale="80" zoomScaleNormal="80" workbookViewId="0">
      <pane xSplit="4" ySplit="4" topLeftCell="E81" activePane="bottomRight" state="frozen"/>
      <selection pane="topRight" activeCell="E1" sqref="E1"/>
      <selection pane="bottomLeft" activeCell="A5" sqref="A5"/>
      <selection pane="bottomRight" activeCell="S91" sqref="S91:Y93"/>
    </sheetView>
  </sheetViews>
  <sheetFormatPr defaultColWidth="9.19921875" defaultRowHeight="14.25" x14ac:dyDescent="0.45"/>
  <cols>
    <col min="1" max="3" width="9.19921875" style="1"/>
    <col min="4" max="5" width="9.19921875" style="4"/>
    <col min="6" max="9" width="13.19921875" style="4" customWidth="1"/>
    <col min="10" max="14" width="9.19921875" style="4"/>
    <col min="15" max="15" width="13.19921875" style="4" customWidth="1"/>
    <col min="16" max="16384" width="9.19921875" style="4"/>
  </cols>
  <sheetData>
    <row r="1" spans="1:27" s="2" customFormat="1" ht="15" customHeight="1" x14ac:dyDescent="0.45">
      <c r="A1" s="1"/>
      <c r="B1" s="1"/>
      <c r="C1" s="1"/>
      <c r="E1" s="353" t="s">
        <v>335</v>
      </c>
      <c r="F1" s="353"/>
      <c r="G1" s="353"/>
      <c r="H1" s="353"/>
      <c r="I1" s="353"/>
      <c r="J1" s="353"/>
      <c r="K1" s="353"/>
    </row>
    <row r="2" spans="1:27" s="2" customFormat="1" ht="15" customHeight="1" x14ac:dyDescent="0.45">
      <c r="A2" s="1"/>
      <c r="B2" s="1"/>
      <c r="C2" s="1"/>
      <c r="E2" s="353"/>
      <c r="F2" s="353"/>
      <c r="G2" s="353"/>
      <c r="H2" s="353"/>
      <c r="I2" s="353"/>
      <c r="J2" s="353"/>
      <c r="K2" s="353"/>
    </row>
    <row r="3" spans="1:27" s="2" customFormat="1" ht="14.65" thickBot="1" x14ac:dyDescent="0.5">
      <c r="A3" s="1"/>
      <c r="B3" s="1"/>
      <c r="C3" s="1"/>
      <c r="E3" s="353"/>
      <c r="F3" s="353"/>
      <c r="G3" s="353"/>
      <c r="H3" s="353"/>
      <c r="I3" s="353"/>
      <c r="J3" s="353"/>
      <c r="K3" s="353"/>
      <c r="L3" s="3" t="s">
        <v>45</v>
      </c>
    </row>
    <row r="4" spans="1:27" ht="14.65" thickBot="1" x14ac:dyDescent="0.5">
      <c r="F4" s="154" t="s">
        <v>132</v>
      </c>
      <c r="G4" s="154" t="s">
        <v>133</v>
      </c>
      <c r="H4" s="154" t="s">
        <v>134</v>
      </c>
    </row>
    <row r="5" spans="1:27" ht="15" customHeight="1" x14ac:dyDescent="0.45">
      <c r="F5" s="6"/>
      <c r="G5" s="6"/>
      <c r="H5" s="6"/>
      <c r="I5" s="6"/>
      <c r="J5" s="6"/>
      <c r="K5" s="6"/>
      <c r="L5" s="6"/>
      <c r="M5" s="6"/>
      <c r="N5" s="6"/>
      <c r="O5" s="6"/>
      <c r="P5" s="6"/>
      <c r="Q5" s="6"/>
      <c r="R5" s="6"/>
      <c r="S5" s="6"/>
      <c r="T5" s="6"/>
      <c r="U5" s="6"/>
      <c r="V5" s="6"/>
      <c r="W5" s="6"/>
      <c r="X5" s="6"/>
      <c r="Y5" s="6"/>
      <c r="Z5" s="6"/>
      <c r="AA5" s="6"/>
    </row>
    <row r="6" spans="1:27" ht="15" customHeight="1" x14ac:dyDescent="0.45">
      <c r="E6" s="532" t="s">
        <v>135</v>
      </c>
      <c r="F6" s="532"/>
      <c r="G6" s="532"/>
      <c r="H6" s="532"/>
      <c r="I6" s="532"/>
      <c r="J6" s="532"/>
      <c r="K6" s="532"/>
      <c r="L6" s="532"/>
      <c r="M6" s="532"/>
      <c r="N6" s="5"/>
      <c r="O6" s="5"/>
      <c r="P6" s="5"/>
      <c r="Q6" s="5"/>
      <c r="R6" s="5"/>
      <c r="S6" s="6"/>
      <c r="T6" s="6"/>
      <c r="U6" s="6"/>
      <c r="V6" s="6"/>
      <c r="W6" s="6"/>
      <c r="X6" s="6"/>
      <c r="Y6" s="6"/>
      <c r="Z6" s="6"/>
      <c r="AA6" s="6"/>
    </row>
    <row r="7" spans="1:27" s="8" customFormat="1" ht="15" customHeight="1" thickBot="1" x14ac:dyDescent="0.5">
      <c r="A7" s="7"/>
      <c r="B7" s="7"/>
      <c r="C7" s="7"/>
      <c r="E7" s="533"/>
      <c r="F7" s="533"/>
      <c r="G7" s="533"/>
      <c r="H7" s="533"/>
      <c r="I7" s="533"/>
      <c r="J7" s="533"/>
      <c r="K7" s="533"/>
      <c r="L7" s="533"/>
      <c r="M7" s="533"/>
      <c r="N7" s="9"/>
      <c r="O7" s="9"/>
      <c r="P7" s="9"/>
      <c r="Q7" s="9"/>
      <c r="R7" s="9"/>
      <c r="S7" s="10"/>
      <c r="T7" s="10"/>
      <c r="U7" s="10"/>
      <c r="V7" s="10"/>
      <c r="W7" s="10"/>
      <c r="X7" s="10"/>
      <c r="Y7" s="10"/>
      <c r="Z7" s="10"/>
      <c r="AA7" s="10"/>
    </row>
    <row r="8" spans="1:27" ht="15" customHeight="1" x14ac:dyDescent="0.45">
      <c r="E8" s="6"/>
      <c r="F8" s="6"/>
      <c r="G8" s="6"/>
      <c r="H8" s="6"/>
      <c r="I8" s="6"/>
      <c r="J8" s="6"/>
      <c r="K8" s="6"/>
      <c r="L8" s="6"/>
      <c r="M8" s="6"/>
      <c r="N8" s="6"/>
      <c r="O8" s="6"/>
      <c r="P8" s="6"/>
      <c r="Q8" s="6"/>
      <c r="R8" s="6"/>
      <c r="S8" s="6"/>
      <c r="T8" s="6"/>
      <c r="U8" s="6"/>
      <c r="V8" s="6"/>
      <c r="W8" s="6"/>
      <c r="X8" s="6"/>
      <c r="Y8" s="6"/>
      <c r="Z8" s="6"/>
      <c r="AA8" s="6"/>
    </row>
    <row r="9" spans="1:27" ht="15" customHeight="1" x14ac:dyDescent="0.45">
      <c r="E9" s="632" t="s">
        <v>124</v>
      </c>
      <c r="F9" s="632"/>
      <c r="G9" s="632"/>
      <c r="H9" s="632"/>
      <c r="I9" s="708">
        <f>N37</f>
        <v>27</v>
      </c>
    </row>
    <row r="10" spans="1:27" ht="15" customHeight="1" x14ac:dyDescent="0.45">
      <c r="E10" s="632"/>
      <c r="F10" s="632"/>
      <c r="G10" s="632"/>
      <c r="H10" s="632"/>
      <c r="I10" s="708"/>
    </row>
    <row r="11" spans="1:27" ht="15" customHeight="1" x14ac:dyDescent="0.45">
      <c r="E11" s="632"/>
      <c r="F11" s="632"/>
      <c r="G11" s="632"/>
      <c r="H11" s="632"/>
      <c r="I11" s="708"/>
    </row>
    <row r="12" spans="1:27" ht="15" customHeight="1" x14ac:dyDescent="0.45">
      <c r="E12" s="632"/>
      <c r="F12" s="632"/>
      <c r="G12" s="632"/>
      <c r="H12" s="632"/>
      <c r="I12" s="708"/>
    </row>
    <row r="13" spans="1:27" x14ac:dyDescent="0.45">
      <c r="E13" s="89"/>
      <c r="F13" s="89"/>
      <c r="G13" s="89"/>
      <c r="I13" s="89"/>
    </row>
    <row r="14" spans="1:27" ht="15" customHeight="1" x14ac:dyDescent="0.45">
      <c r="E14" s="633" t="s">
        <v>136</v>
      </c>
      <c r="F14" s="633"/>
      <c r="G14" s="633"/>
      <c r="H14" s="633"/>
      <c r="I14" s="708">
        <f>N83</f>
        <v>17.45</v>
      </c>
    </row>
    <row r="15" spans="1:27" ht="15" customHeight="1" x14ac:dyDescent="0.45">
      <c r="E15" s="633"/>
      <c r="F15" s="633"/>
      <c r="G15" s="633"/>
      <c r="H15" s="633"/>
      <c r="I15" s="708"/>
    </row>
    <row r="16" spans="1:27" ht="15" customHeight="1" x14ac:dyDescent="0.45">
      <c r="E16" s="633"/>
      <c r="F16" s="633"/>
      <c r="G16" s="633"/>
      <c r="H16" s="633"/>
      <c r="I16" s="708"/>
    </row>
    <row r="17" spans="5:37" ht="15" customHeight="1" x14ac:dyDescent="0.45">
      <c r="E17" s="633"/>
      <c r="F17" s="633"/>
      <c r="G17" s="633"/>
      <c r="H17" s="633"/>
      <c r="I17" s="708"/>
    </row>
    <row r="18" spans="5:37" x14ac:dyDescent="0.45">
      <c r="E18" s="89"/>
      <c r="F18" s="89"/>
      <c r="G18" s="89"/>
      <c r="I18" s="89"/>
    </row>
    <row r="19" spans="5:37" ht="15" customHeight="1" x14ac:dyDescent="0.45">
      <c r="E19" s="634" t="s">
        <v>96</v>
      </c>
      <c r="F19" s="634"/>
      <c r="G19" s="634"/>
      <c r="H19" s="634"/>
      <c r="I19" s="708">
        <f>I9-I14</f>
        <v>9.5500000000000007</v>
      </c>
    </row>
    <row r="20" spans="5:37" ht="15" customHeight="1" x14ac:dyDescent="0.45">
      <c r="E20" s="634"/>
      <c r="F20" s="634"/>
      <c r="G20" s="634"/>
      <c r="H20" s="634"/>
      <c r="I20" s="708"/>
    </row>
    <row r="21" spans="5:37" ht="15" customHeight="1" x14ac:dyDescent="0.45">
      <c r="E21" s="634"/>
      <c r="F21" s="634"/>
      <c r="G21" s="634"/>
      <c r="H21" s="634"/>
      <c r="I21" s="708"/>
    </row>
    <row r="22" spans="5:37" ht="15" customHeight="1" x14ac:dyDescent="0.45">
      <c r="E22" s="634"/>
      <c r="F22" s="634"/>
      <c r="G22" s="634"/>
      <c r="H22" s="634"/>
      <c r="I22" s="708"/>
    </row>
    <row r="24" spans="5:37" ht="14.65" thickBot="1" x14ac:dyDescent="0.5">
      <c r="E24" s="6"/>
      <c r="F24" s="6"/>
      <c r="G24" s="6"/>
      <c r="H24" s="6"/>
    </row>
    <row r="25" spans="5:37" ht="15.75" customHeight="1" thickBot="1" x14ac:dyDescent="0.6">
      <c r="E25" s="626" t="s">
        <v>143</v>
      </c>
      <c r="F25" s="627"/>
      <c r="G25" s="627"/>
      <c r="H25" s="627"/>
      <c r="I25" s="627"/>
      <c r="J25" s="627"/>
      <c r="K25" s="627"/>
      <c r="L25" s="627"/>
      <c r="M25" s="627"/>
      <c r="N25" s="628"/>
      <c r="P25" s="626" t="s">
        <v>144</v>
      </c>
      <c r="Q25" s="627"/>
      <c r="R25" s="627"/>
      <c r="S25" s="627"/>
      <c r="T25" s="627"/>
      <c r="U25" s="627"/>
      <c r="V25" s="627"/>
      <c r="W25" s="627"/>
      <c r="X25" s="627"/>
      <c r="Y25" s="627"/>
      <c r="Z25" s="627"/>
      <c r="AA25" s="627"/>
      <c r="AB25" s="627"/>
      <c r="AC25" s="627"/>
      <c r="AD25" s="627"/>
      <c r="AE25" s="627"/>
      <c r="AF25" s="627"/>
      <c r="AG25" s="627"/>
      <c r="AH25" s="627"/>
      <c r="AI25" s="627"/>
      <c r="AJ25" s="627"/>
      <c r="AK25" s="628"/>
    </row>
    <row r="26" spans="5:37" ht="15" customHeight="1" x14ac:dyDescent="0.45">
      <c r="E26" s="644" t="s">
        <v>146</v>
      </c>
      <c r="F26" s="645"/>
      <c r="G26" s="647" t="s">
        <v>346</v>
      </c>
      <c r="H26" s="647"/>
      <c r="I26" s="647"/>
      <c r="J26" s="647"/>
      <c r="K26" s="647" t="s">
        <v>345</v>
      </c>
      <c r="L26" s="647"/>
      <c r="M26" s="647"/>
      <c r="N26" s="134" t="s">
        <v>148</v>
      </c>
      <c r="P26" s="706" t="s">
        <v>147</v>
      </c>
      <c r="Q26" s="707"/>
      <c r="R26" s="707"/>
      <c r="S26" s="707"/>
      <c r="T26" s="707" t="s">
        <v>149</v>
      </c>
      <c r="U26" s="707"/>
      <c r="V26" s="707" t="s">
        <v>150</v>
      </c>
      <c r="W26" s="707"/>
      <c r="X26" s="707" t="s">
        <v>151</v>
      </c>
      <c r="Y26" s="707"/>
      <c r="Z26" s="652" t="s">
        <v>152</v>
      </c>
      <c r="AA26" s="652"/>
      <c r="AB26" s="652"/>
      <c r="AC26" s="652"/>
      <c r="AD26" s="652"/>
      <c r="AE26" s="652"/>
      <c r="AF26" s="652" t="s">
        <v>153</v>
      </c>
      <c r="AG26" s="652"/>
      <c r="AH26" s="652"/>
      <c r="AI26" s="652"/>
      <c r="AJ26" s="652"/>
      <c r="AK26" s="659"/>
    </row>
    <row r="27" spans="5:37" ht="15" x14ac:dyDescent="0.45">
      <c r="E27" s="687">
        <v>44819</v>
      </c>
      <c r="F27" s="688"/>
      <c r="G27" s="643" t="s">
        <v>21</v>
      </c>
      <c r="H27" s="643"/>
      <c r="I27" s="643"/>
      <c r="J27" s="643"/>
      <c r="K27" s="646"/>
      <c r="L27" s="646"/>
      <c r="M27" s="646"/>
      <c r="N27" s="135">
        <v>20</v>
      </c>
      <c r="P27" s="694" t="str">
        <f>'Từ khóa'!M12</f>
        <v>Lương từ công ty</v>
      </c>
      <c r="Q27" s="695"/>
      <c r="R27" s="695"/>
      <c r="S27" s="695"/>
      <c r="T27" s="696">
        <f>'Kế hoạch thu nhập và chi tiêu'!L11</f>
        <v>20</v>
      </c>
      <c r="U27" s="696"/>
      <c r="V27" s="152"/>
      <c r="W27" s="153">
        <f t="shared" ref="W27:W34" ca="1" si="0">SUMIF($G$27:$J$36,P27,$N$27:$N$36)</f>
        <v>20</v>
      </c>
      <c r="X27" s="696">
        <f t="shared" ref="X27:X34" ca="1" si="1">W27-T27</f>
        <v>0</v>
      </c>
      <c r="Y27" s="696"/>
      <c r="Z27" s="646"/>
      <c r="AA27" s="646"/>
      <c r="AB27" s="646"/>
      <c r="AC27" s="646"/>
      <c r="AD27" s="646"/>
      <c r="AE27" s="646"/>
      <c r="AF27" s="646"/>
      <c r="AG27" s="646"/>
      <c r="AH27" s="646"/>
      <c r="AI27" s="646"/>
      <c r="AJ27" s="646"/>
      <c r="AK27" s="658"/>
    </row>
    <row r="28" spans="5:37" ht="15" x14ac:dyDescent="0.45">
      <c r="E28" s="687">
        <v>44824</v>
      </c>
      <c r="F28" s="688">
        <v>44612</v>
      </c>
      <c r="G28" s="643" t="s">
        <v>372</v>
      </c>
      <c r="H28" s="643"/>
      <c r="I28" s="643"/>
      <c r="J28" s="643"/>
      <c r="K28" s="646"/>
      <c r="L28" s="646"/>
      <c r="M28" s="646"/>
      <c r="N28" s="135">
        <v>5</v>
      </c>
      <c r="P28" s="694" t="str">
        <f>'Từ khóa'!M13</f>
        <v>Thu nhập khác</v>
      </c>
      <c r="Q28" s="695"/>
      <c r="R28" s="695"/>
      <c r="S28" s="695"/>
      <c r="T28" s="696">
        <f>'Kế hoạch thu nhập và chi tiêu'!L12</f>
        <v>10</v>
      </c>
      <c r="U28" s="696"/>
      <c r="V28" s="152"/>
      <c r="W28" s="153">
        <f t="shared" ca="1" si="0"/>
        <v>7</v>
      </c>
      <c r="X28" s="696">
        <f t="shared" ca="1" si="1"/>
        <v>-3</v>
      </c>
      <c r="Y28" s="696"/>
      <c r="Z28" s="646"/>
      <c r="AA28" s="646"/>
      <c r="AB28" s="646"/>
      <c r="AC28" s="646"/>
      <c r="AD28" s="646"/>
      <c r="AE28" s="646"/>
      <c r="AF28" s="646"/>
      <c r="AG28" s="646"/>
      <c r="AH28" s="646"/>
      <c r="AI28" s="646"/>
      <c r="AJ28" s="646"/>
      <c r="AK28" s="658"/>
    </row>
    <row r="29" spans="5:37" ht="15" x14ac:dyDescent="0.45">
      <c r="E29" s="687">
        <v>44832</v>
      </c>
      <c r="F29" s="688">
        <v>44620</v>
      </c>
      <c r="G29" s="643" t="s">
        <v>372</v>
      </c>
      <c r="H29" s="643"/>
      <c r="I29" s="643"/>
      <c r="J29" s="643"/>
      <c r="K29" s="646"/>
      <c r="L29" s="646"/>
      <c r="M29" s="646"/>
      <c r="N29" s="135">
        <v>1</v>
      </c>
      <c r="P29" s="694">
        <f>'Từ khóa'!M14</f>
        <v>0</v>
      </c>
      <c r="Q29" s="695"/>
      <c r="R29" s="695"/>
      <c r="S29" s="695"/>
      <c r="T29" s="696">
        <f>'Kế hoạch thu nhập và chi tiêu'!L13</f>
        <v>0</v>
      </c>
      <c r="U29" s="696"/>
      <c r="V29" s="152"/>
      <c r="W29" s="153">
        <f t="shared" ca="1" si="0"/>
        <v>0</v>
      </c>
      <c r="X29" s="696">
        <f t="shared" ca="1" si="1"/>
        <v>0</v>
      </c>
      <c r="Y29" s="696"/>
      <c r="Z29" s="646"/>
      <c r="AA29" s="646"/>
      <c r="AB29" s="646"/>
      <c r="AC29" s="646"/>
      <c r="AD29" s="646"/>
      <c r="AE29" s="646"/>
      <c r="AF29" s="646"/>
      <c r="AG29" s="646"/>
      <c r="AH29" s="646"/>
      <c r="AI29" s="646"/>
      <c r="AJ29" s="646"/>
      <c r="AK29" s="658"/>
    </row>
    <row r="30" spans="5:37" ht="15" x14ac:dyDescent="0.45">
      <c r="E30" s="687">
        <v>44833</v>
      </c>
      <c r="F30" s="688">
        <v>44620</v>
      </c>
      <c r="G30" s="643" t="s">
        <v>372</v>
      </c>
      <c r="H30" s="643"/>
      <c r="I30" s="643"/>
      <c r="J30" s="643"/>
      <c r="K30" s="646"/>
      <c r="L30" s="646"/>
      <c r="M30" s="646"/>
      <c r="N30" s="135">
        <v>1</v>
      </c>
      <c r="P30" s="694">
        <f>'Từ khóa'!M15</f>
        <v>0</v>
      </c>
      <c r="Q30" s="695"/>
      <c r="R30" s="695"/>
      <c r="S30" s="695"/>
      <c r="T30" s="696">
        <f>'Kế hoạch thu nhập và chi tiêu'!L14</f>
        <v>0</v>
      </c>
      <c r="U30" s="696"/>
      <c r="V30" s="152"/>
      <c r="W30" s="153">
        <f t="shared" ca="1" si="0"/>
        <v>0</v>
      </c>
      <c r="X30" s="696">
        <f t="shared" ca="1" si="1"/>
        <v>0</v>
      </c>
      <c r="Y30" s="696"/>
      <c r="Z30" s="646"/>
      <c r="AA30" s="646"/>
      <c r="AB30" s="646"/>
      <c r="AC30" s="646"/>
      <c r="AD30" s="646"/>
      <c r="AE30" s="646"/>
      <c r="AF30" s="646"/>
      <c r="AG30" s="646"/>
      <c r="AH30" s="646"/>
      <c r="AI30" s="646"/>
      <c r="AJ30" s="646"/>
      <c r="AK30" s="658"/>
    </row>
    <row r="31" spans="5:37" ht="15" x14ac:dyDescent="0.45">
      <c r="E31" s="687"/>
      <c r="F31" s="688"/>
      <c r="G31" s="643"/>
      <c r="H31" s="643"/>
      <c r="I31" s="643"/>
      <c r="J31" s="643"/>
      <c r="K31" s="646"/>
      <c r="L31" s="646"/>
      <c r="M31" s="646"/>
      <c r="N31" s="135"/>
      <c r="P31" s="694">
        <f>'Từ khóa'!M16</f>
        <v>0</v>
      </c>
      <c r="Q31" s="695"/>
      <c r="R31" s="695"/>
      <c r="S31" s="695"/>
      <c r="T31" s="696">
        <f>'Kế hoạch thu nhập và chi tiêu'!L15</f>
        <v>0</v>
      </c>
      <c r="U31" s="696"/>
      <c r="V31" s="152"/>
      <c r="W31" s="153">
        <f t="shared" ca="1" si="0"/>
        <v>0</v>
      </c>
      <c r="X31" s="696">
        <f t="shared" ca="1" si="1"/>
        <v>0</v>
      </c>
      <c r="Y31" s="696"/>
      <c r="Z31" s="646"/>
      <c r="AA31" s="646"/>
      <c r="AB31" s="646"/>
      <c r="AC31" s="646"/>
      <c r="AD31" s="646"/>
      <c r="AE31" s="646"/>
      <c r="AF31" s="646"/>
      <c r="AG31" s="646"/>
      <c r="AH31" s="646"/>
      <c r="AI31" s="646"/>
      <c r="AJ31" s="646"/>
      <c r="AK31" s="658"/>
    </row>
    <row r="32" spans="5:37" ht="15" x14ac:dyDescent="0.45">
      <c r="E32" s="687"/>
      <c r="F32" s="688"/>
      <c r="G32" s="643"/>
      <c r="H32" s="643"/>
      <c r="I32" s="643"/>
      <c r="J32" s="643"/>
      <c r="K32" s="646"/>
      <c r="L32" s="646"/>
      <c r="M32" s="646"/>
      <c r="N32" s="135"/>
      <c r="P32" s="694">
        <f>'Từ khóa'!M17</f>
        <v>0</v>
      </c>
      <c r="Q32" s="695"/>
      <c r="R32" s="695"/>
      <c r="S32" s="695"/>
      <c r="T32" s="696">
        <f>'Kế hoạch thu nhập và chi tiêu'!L16</f>
        <v>0</v>
      </c>
      <c r="U32" s="696"/>
      <c r="V32" s="152"/>
      <c r="W32" s="153">
        <f t="shared" ca="1" si="0"/>
        <v>0</v>
      </c>
      <c r="X32" s="696">
        <f t="shared" ca="1" si="1"/>
        <v>0</v>
      </c>
      <c r="Y32" s="696"/>
      <c r="Z32" s="646"/>
      <c r="AA32" s="646"/>
      <c r="AB32" s="646"/>
      <c r="AC32" s="646"/>
      <c r="AD32" s="646"/>
      <c r="AE32" s="646"/>
      <c r="AF32" s="646"/>
      <c r="AG32" s="646"/>
      <c r="AH32" s="646"/>
      <c r="AI32" s="646"/>
      <c r="AJ32" s="646"/>
      <c r="AK32" s="658"/>
    </row>
    <row r="33" spans="5:37" ht="15" x14ac:dyDescent="0.45">
      <c r="E33" s="687"/>
      <c r="F33" s="688"/>
      <c r="G33" s="643"/>
      <c r="H33" s="643"/>
      <c r="I33" s="643"/>
      <c r="J33" s="643"/>
      <c r="K33" s="646"/>
      <c r="L33" s="646"/>
      <c r="M33" s="646"/>
      <c r="N33" s="135"/>
      <c r="P33" s="694">
        <f>'Từ khóa'!M18</f>
        <v>0</v>
      </c>
      <c r="Q33" s="695"/>
      <c r="R33" s="695"/>
      <c r="S33" s="695"/>
      <c r="T33" s="696">
        <f>'Kế hoạch thu nhập và chi tiêu'!L17</f>
        <v>0</v>
      </c>
      <c r="U33" s="696"/>
      <c r="V33" s="152"/>
      <c r="W33" s="153">
        <f t="shared" ca="1" si="0"/>
        <v>0</v>
      </c>
      <c r="X33" s="696">
        <f t="shared" ca="1" si="1"/>
        <v>0</v>
      </c>
      <c r="Y33" s="696"/>
      <c r="Z33" s="646"/>
      <c r="AA33" s="646"/>
      <c r="AB33" s="646"/>
      <c r="AC33" s="646"/>
      <c r="AD33" s="646"/>
      <c r="AE33" s="646"/>
      <c r="AF33" s="646"/>
      <c r="AG33" s="646"/>
      <c r="AH33" s="646"/>
      <c r="AI33" s="646"/>
      <c r="AJ33" s="646"/>
      <c r="AK33" s="658"/>
    </row>
    <row r="34" spans="5:37" ht="15" x14ac:dyDescent="0.45">
      <c r="E34" s="687"/>
      <c r="F34" s="688"/>
      <c r="G34" s="643"/>
      <c r="H34" s="643"/>
      <c r="I34" s="643"/>
      <c r="J34" s="643"/>
      <c r="K34" s="646"/>
      <c r="L34" s="646"/>
      <c r="M34" s="646"/>
      <c r="N34" s="135"/>
      <c r="P34" s="694">
        <f>'Từ khóa'!M19</f>
        <v>0</v>
      </c>
      <c r="Q34" s="695"/>
      <c r="R34" s="695"/>
      <c r="S34" s="695"/>
      <c r="T34" s="696">
        <f>'Kế hoạch thu nhập và chi tiêu'!L18</f>
        <v>0</v>
      </c>
      <c r="U34" s="696"/>
      <c r="V34" s="152"/>
      <c r="W34" s="153">
        <f t="shared" ca="1" si="0"/>
        <v>0</v>
      </c>
      <c r="X34" s="696">
        <f t="shared" ca="1" si="1"/>
        <v>0</v>
      </c>
      <c r="Y34" s="696"/>
      <c r="Z34" s="646"/>
      <c r="AA34" s="646"/>
      <c r="AB34" s="646"/>
      <c r="AC34" s="646"/>
      <c r="AD34" s="646"/>
      <c r="AE34" s="646"/>
      <c r="AF34" s="646"/>
      <c r="AG34" s="646"/>
      <c r="AH34" s="646"/>
      <c r="AI34" s="646"/>
      <c r="AJ34" s="646"/>
      <c r="AK34" s="658"/>
    </row>
    <row r="35" spans="5:37" ht="15" x14ac:dyDescent="0.45">
      <c r="E35" s="687"/>
      <c r="F35" s="688"/>
      <c r="G35" s="643"/>
      <c r="H35" s="643"/>
      <c r="I35" s="643"/>
      <c r="J35" s="643"/>
      <c r="K35" s="646"/>
      <c r="L35" s="646"/>
      <c r="M35" s="646"/>
      <c r="N35" s="135"/>
      <c r="P35" s="694"/>
      <c r="Q35" s="695"/>
      <c r="R35" s="695"/>
      <c r="S35" s="695"/>
      <c r="T35" s="697"/>
      <c r="U35" s="698"/>
      <c r="V35" s="152"/>
      <c r="W35" s="153"/>
      <c r="X35" s="696"/>
      <c r="Y35" s="696"/>
      <c r="Z35" s="646"/>
      <c r="AA35" s="646"/>
      <c r="AB35" s="646"/>
      <c r="AC35" s="646"/>
      <c r="AD35" s="646"/>
      <c r="AE35" s="646"/>
      <c r="AF35" s="646"/>
      <c r="AG35" s="646"/>
      <c r="AH35" s="646"/>
      <c r="AI35" s="646"/>
      <c r="AJ35" s="646"/>
      <c r="AK35" s="658"/>
    </row>
    <row r="36" spans="5:37" ht="15" x14ac:dyDescent="0.45">
      <c r="E36" s="687"/>
      <c r="F36" s="688"/>
      <c r="G36" s="643"/>
      <c r="H36" s="643"/>
      <c r="I36" s="643"/>
      <c r="J36" s="643"/>
      <c r="K36" s="646"/>
      <c r="L36" s="646"/>
      <c r="M36" s="646"/>
      <c r="N36" s="135"/>
      <c r="P36" s="694"/>
      <c r="Q36" s="695"/>
      <c r="R36" s="695"/>
      <c r="S36" s="695"/>
      <c r="T36" s="697"/>
      <c r="U36" s="698"/>
      <c r="V36" s="152"/>
      <c r="W36" s="153"/>
      <c r="X36" s="696"/>
      <c r="Y36" s="696"/>
      <c r="Z36" s="646"/>
      <c r="AA36" s="646"/>
      <c r="AB36" s="646"/>
      <c r="AC36" s="646"/>
      <c r="AD36" s="646"/>
      <c r="AE36" s="646"/>
      <c r="AF36" s="646"/>
      <c r="AG36" s="646"/>
      <c r="AH36" s="646"/>
      <c r="AI36" s="646"/>
      <c r="AJ36" s="646"/>
      <c r="AK36" s="658"/>
    </row>
    <row r="37" spans="5:37" ht="16.5" customHeight="1" thickBot="1" x14ac:dyDescent="0.6">
      <c r="E37" s="648" t="s">
        <v>124</v>
      </c>
      <c r="F37" s="649"/>
      <c r="G37" s="649"/>
      <c r="H37" s="649"/>
      <c r="I37" s="649"/>
      <c r="J37" s="649"/>
      <c r="K37" s="649"/>
      <c r="L37" s="649"/>
      <c r="M37" s="650"/>
      <c r="N37" s="144">
        <f>SUBTOTAL(109,'T9'!$N$27:$N$36)</f>
        <v>27</v>
      </c>
      <c r="P37" s="701" t="s">
        <v>124</v>
      </c>
      <c r="Q37" s="702"/>
      <c r="R37" s="702"/>
      <c r="S37" s="703"/>
      <c r="T37" s="704">
        <f>SUM(T27:U36)</f>
        <v>30</v>
      </c>
      <c r="U37" s="705"/>
      <c r="V37" s="704">
        <f ca="1">SUM(W27:W36)</f>
        <v>27</v>
      </c>
      <c r="W37" s="705"/>
      <c r="X37" s="704">
        <f t="shared" ref="X37" ca="1" si="2">SUM(X27:Y36)</f>
        <v>-3</v>
      </c>
      <c r="Y37" s="705"/>
      <c r="Z37" s="660"/>
      <c r="AA37" s="660"/>
      <c r="AB37" s="660"/>
      <c r="AC37" s="660"/>
      <c r="AD37" s="660"/>
      <c r="AE37" s="660"/>
      <c r="AF37" s="660"/>
      <c r="AG37" s="660"/>
      <c r="AH37" s="660"/>
      <c r="AI37" s="660"/>
      <c r="AJ37" s="660"/>
      <c r="AK37" s="661"/>
    </row>
    <row r="39" spans="5:37" ht="14.65" thickBot="1" x14ac:dyDescent="0.5"/>
    <row r="40" spans="5:37" ht="15.75" customHeight="1" x14ac:dyDescent="0.55000000000000004">
      <c r="E40" s="623" t="s">
        <v>320</v>
      </c>
      <c r="F40" s="624"/>
      <c r="G40" s="624"/>
      <c r="H40" s="624"/>
      <c r="I40" s="624"/>
      <c r="J40" s="624"/>
      <c r="K40" s="624"/>
      <c r="L40" s="624"/>
      <c r="M40" s="624"/>
      <c r="N40" s="625"/>
      <c r="P40" s="623" t="s">
        <v>321</v>
      </c>
      <c r="Q40" s="624"/>
      <c r="R40" s="624"/>
      <c r="S40" s="624"/>
      <c r="T40" s="624"/>
      <c r="U40" s="624"/>
      <c r="V40" s="624"/>
      <c r="W40" s="624"/>
      <c r="X40" s="624"/>
      <c r="Y40" s="624"/>
      <c r="Z40" s="624"/>
      <c r="AA40" s="624"/>
      <c r="AB40" s="624"/>
      <c r="AC40" s="624"/>
      <c r="AD40" s="624"/>
      <c r="AE40" s="624"/>
      <c r="AF40" s="624"/>
      <c r="AG40" s="624"/>
      <c r="AH40" s="624"/>
      <c r="AI40" s="624"/>
      <c r="AJ40" s="624"/>
      <c r="AK40" s="625"/>
    </row>
    <row r="41" spans="5:37" ht="15" x14ac:dyDescent="0.45">
      <c r="E41" s="664" t="s">
        <v>146</v>
      </c>
      <c r="F41" s="665"/>
      <c r="G41" s="666" t="s">
        <v>347</v>
      </c>
      <c r="H41" s="666"/>
      <c r="I41" s="666"/>
      <c r="J41" s="666"/>
      <c r="K41" s="666" t="s">
        <v>345</v>
      </c>
      <c r="L41" s="666"/>
      <c r="M41" s="666"/>
      <c r="N41" s="136" t="s">
        <v>148</v>
      </c>
      <c r="P41" s="699" t="s">
        <v>147</v>
      </c>
      <c r="Q41" s="700"/>
      <c r="R41" s="700"/>
      <c r="S41" s="700"/>
      <c r="T41" s="700" t="s">
        <v>149</v>
      </c>
      <c r="U41" s="700"/>
      <c r="V41" s="700" t="s">
        <v>150</v>
      </c>
      <c r="W41" s="700"/>
      <c r="X41" s="700" t="s">
        <v>151</v>
      </c>
      <c r="Y41" s="700"/>
      <c r="Z41" s="666" t="s">
        <v>152</v>
      </c>
      <c r="AA41" s="666"/>
      <c r="AB41" s="666"/>
      <c r="AC41" s="666"/>
      <c r="AD41" s="666"/>
      <c r="AE41" s="666"/>
      <c r="AF41" s="666" t="s">
        <v>153</v>
      </c>
      <c r="AG41" s="666"/>
      <c r="AH41" s="666"/>
      <c r="AI41" s="666"/>
      <c r="AJ41" s="666"/>
      <c r="AK41" s="667"/>
    </row>
    <row r="42" spans="5:37" ht="15" customHeight="1" x14ac:dyDescent="0.55000000000000004">
      <c r="E42" s="687">
        <v>44805</v>
      </c>
      <c r="F42" s="688">
        <v>44593</v>
      </c>
      <c r="G42" s="640" t="s">
        <v>5</v>
      </c>
      <c r="H42" s="641"/>
      <c r="I42" s="641"/>
      <c r="J42" s="642"/>
      <c r="K42" s="640"/>
      <c r="L42" s="641"/>
      <c r="M42" s="642"/>
      <c r="N42" s="137">
        <v>2.2000000000000002</v>
      </c>
      <c r="P42" s="694" t="str">
        <f>'Từ khóa'!F12</f>
        <v>Mua thực phẩm</v>
      </c>
      <c r="Q42" s="695"/>
      <c r="R42" s="695"/>
      <c r="S42" s="695"/>
      <c r="T42" s="696">
        <f>'Kế hoạch thu nhập và chi tiêu'!L26</f>
        <v>5</v>
      </c>
      <c r="U42" s="696"/>
      <c r="V42" s="152"/>
      <c r="W42" s="153">
        <f t="shared" ref="W42:W56" ca="1" si="3">SUMIF($G$42:$J$82,P42,$N$42:$N$82)</f>
        <v>4.2</v>
      </c>
      <c r="X42" s="697">
        <f t="shared" ref="X42:X56" ca="1" si="4">T42-W42</f>
        <v>0.79999999999999982</v>
      </c>
      <c r="Y42" s="698"/>
      <c r="Z42" s="646"/>
      <c r="AA42" s="646"/>
      <c r="AB42" s="646"/>
      <c r="AC42" s="646"/>
      <c r="AD42" s="646"/>
      <c r="AE42" s="646"/>
      <c r="AF42" s="646"/>
      <c r="AG42" s="646"/>
      <c r="AH42" s="646"/>
      <c r="AI42" s="646"/>
      <c r="AJ42" s="646"/>
      <c r="AK42" s="658"/>
    </row>
    <row r="43" spans="5:37" ht="15" customHeight="1" x14ac:dyDescent="0.55000000000000004">
      <c r="E43" s="687">
        <v>44805</v>
      </c>
      <c r="F43" s="688">
        <v>44593</v>
      </c>
      <c r="G43" s="640" t="s">
        <v>6</v>
      </c>
      <c r="H43" s="641" t="s">
        <v>6</v>
      </c>
      <c r="I43" s="641" t="s">
        <v>6</v>
      </c>
      <c r="J43" s="642" t="s">
        <v>6</v>
      </c>
      <c r="K43" s="640"/>
      <c r="L43" s="641"/>
      <c r="M43" s="642"/>
      <c r="N43" s="138">
        <v>1</v>
      </c>
      <c r="P43" s="694" t="str">
        <f>'Từ khóa'!F13</f>
        <v>Mua đồ dùng trong nhà</v>
      </c>
      <c r="Q43" s="695"/>
      <c r="R43" s="695"/>
      <c r="S43" s="695"/>
      <c r="T43" s="696">
        <v>1.5</v>
      </c>
      <c r="U43" s="696"/>
      <c r="V43" s="152"/>
      <c r="W43" s="153">
        <f t="shared" ca="1" si="3"/>
        <v>1.3</v>
      </c>
      <c r="X43" s="697">
        <f t="shared" ca="1" si="4"/>
        <v>0.19999999999999996</v>
      </c>
      <c r="Y43" s="698"/>
      <c r="Z43" s="646"/>
      <c r="AA43" s="646"/>
      <c r="AB43" s="646"/>
      <c r="AC43" s="646"/>
      <c r="AD43" s="646"/>
      <c r="AE43" s="646"/>
      <c r="AF43" s="646"/>
      <c r="AG43" s="646"/>
      <c r="AH43" s="646"/>
      <c r="AI43" s="646"/>
      <c r="AJ43" s="646"/>
      <c r="AK43" s="658"/>
    </row>
    <row r="44" spans="5:37" ht="15" customHeight="1" x14ac:dyDescent="0.55000000000000004">
      <c r="E44" s="687">
        <v>44806</v>
      </c>
      <c r="F44" s="688">
        <v>44594</v>
      </c>
      <c r="G44" s="640" t="s">
        <v>10</v>
      </c>
      <c r="H44" s="641" t="s">
        <v>10</v>
      </c>
      <c r="I44" s="641" t="s">
        <v>10</v>
      </c>
      <c r="J44" s="642" t="s">
        <v>10</v>
      </c>
      <c r="K44" s="640" t="s">
        <v>159</v>
      </c>
      <c r="L44" s="641" t="s">
        <v>159</v>
      </c>
      <c r="M44" s="642" t="s">
        <v>159</v>
      </c>
      <c r="N44" s="138">
        <v>1</v>
      </c>
      <c r="P44" s="694" t="str">
        <f>'Từ khóa'!F14</f>
        <v>Đi ăn ở ngoài</v>
      </c>
      <c r="Q44" s="695"/>
      <c r="R44" s="695"/>
      <c r="S44" s="695"/>
      <c r="T44" s="696">
        <v>1</v>
      </c>
      <c r="U44" s="696"/>
      <c r="V44" s="152"/>
      <c r="W44" s="153">
        <f t="shared" ca="1" si="3"/>
        <v>1</v>
      </c>
      <c r="X44" s="697">
        <f t="shared" ca="1" si="4"/>
        <v>0</v>
      </c>
      <c r="Y44" s="698"/>
      <c r="Z44" s="646"/>
      <c r="AA44" s="646"/>
      <c r="AB44" s="646"/>
      <c r="AC44" s="646"/>
      <c r="AD44" s="646"/>
      <c r="AE44" s="646"/>
      <c r="AF44" s="646"/>
      <c r="AG44" s="646"/>
      <c r="AH44" s="646"/>
      <c r="AI44" s="646"/>
      <c r="AJ44" s="646"/>
      <c r="AK44" s="658"/>
    </row>
    <row r="45" spans="5:37" ht="15" customHeight="1" x14ac:dyDescent="0.55000000000000004">
      <c r="E45" s="687">
        <v>44807</v>
      </c>
      <c r="F45" s="688">
        <v>44595</v>
      </c>
      <c r="G45" s="640" t="s">
        <v>10</v>
      </c>
      <c r="H45" s="641" t="s">
        <v>10</v>
      </c>
      <c r="I45" s="641" t="s">
        <v>10</v>
      </c>
      <c r="J45" s="642" t="s">
        <v>10</v>
      </c>
      <c r="K45" s="640" t="s">
        <v>161</v>
      </c>
      <c r="L45" s="641" t="s">
        <v>161</v>
      </c>
      <c r="M45" s="642" t="s">
        <v>161</v>
      </c>
      <c r="N45" s="138">
        <v>1</v>
      </c>
      <c r="P45" s="694" t="str">
        <f>'Từ khóa'!F15</f>
        <v>Chi tiền phát triển bản thân</v>
      </c>
      <c r="Q45" s="695"/>
      <c r="R45" s="695"/>
      <c r="S45" s="695"/>
      <c r="T45" s="696">
        <v>0.8</v>
      </c>
      <c r="U45" s="696"/>
      <c r="V45" s="152"/>
      <c r="W45" s="153">
        <f t="shared" ca="1" si="3"/>
        <v>0.8</v>
      </c>
      <c r="X45" s="697">
        <f t="shared" ca="1" si="4"/>
        <v>0</v>
      </c>
      <c r="Y45" s="698"/>
      <c r="Z45" s="646"/>
      <c r="AA45" s="646"/>
      <c r="AB45" s="646"/>
      <c r="AC45" s="646"/>
      <c r="AD45" s="646"/>
      <c r="AE45" s="646"/>
      <c r="AF45" s="646"/>
      <c r="AG45" s="646"/>
      <c r="AH45" s="646"/>
      <c r="AI45" s="646"/>
      <c r="AJ45" s="646"/>
      <c r="AK45" s="658"/>
    </row>
    <row r="46" spans="5:37" ht="15" customHeight="1" x14ac:dyDescent="0.55000000000000004">
      <c r="E46" s="687">
        <v>44808</v>
      </c>
      <c r="F46" s="688">
        <v>44596</v>
      </c>
      <c r="G46" s="640" t="s">
        <v>10</v>
      </c>
      <c r="H46" s="641" t="s">
        <v>10</v>
      </c>
      <c r="I46" s="641" t="s">
        <v>10</v>
      </c>
      <c r="J46" s="642" t="s">
        <v>10</v>
      </c>
      <c r="K46" s="640" t="s">
        <v>162</v>
      </c>
      <c r="L46" s="641" t="s">
        <v>162</v>
      </c>
      <c r="M46" s="642" t="s">
        <v>162</v>
      </c>
      <c r="N46" s="138">
        <v>0.3</v>
      </c>
      <c r="P46" s="694" t="str">
        <f>'Từ khóa'!F16</f>
        <v>Chi tiền bảo hiểm</v>
      </c>
      <c r="Q46" s="695"/>
      <c r="R46" s="695"/>
      <c r="S46" s="695"/>
      <c r="T46" s="696">
        <v>0.5</v>
      </c>
      <c r="U46" s="696"/>
      <c r="V46" s="152"/>
      <c r="W46" s="153">
        <f t="shared" ca="1" si="3"/>
        <v>0</v>
      </c>
      <c r="X46" s="697">
        <f t="shared" ca="1" si="4"/>
        <v>0.5</v>
      </c>
      <c r="Y46" s="698"/>
      <c r="Z46" s="646"/>
      <c r="AA46" s="646"/>
      <c r="AB46" s="646"/>
      <c r="AC46" s="646"/>
      <c r="AD46" s="646"/>
      <c r="AE46" s="646"/>
      <c r="AF46" s="646"/>
      <c r="AG46" s="646"/>
      <c r="AH46" s="646"/>
      <c r="AI46" s="646"/>
      <c r="AJ46" s="646"/>
      <c r="AK46" s="658"/>
    </row>
    <row r="47" spans="5:37" ht="15" customHeight="1" x14ac:dyDescent="0.55000000000000004">
      <c r="E47" s="687">
        <v>44809</v>
      </c>
      <c r="F47" s="688">
        <v>44597</v>
      </c>
      <c r="G47" s="640" t="s">
        <v>10</v>
      </c>
      <c r="H47" s="641" t="s">
        <v>10</v>
      </c>
      <c r="I47" s="641" t="s">
        <v>10</v>
      </c>
      <c r="J47" s="642" t="s">
        <v>10</v>
      </c>
      <c r="K47" s="640" t="s">
        <v>163</v>
      </c>
      <c r="L47" s="641" t="s">
        <v>163</v>
      </c>
      <c r="M47" s="642" t="s">
        <v>163</v>
      </c>
      <c r="N47" s="138">
        <v>0.2</v>
      </c>
      <c r="P47" s="694" t="str">
        <f>'Từ khóa'!F17</f>
        <v>Chi tiền điện, nước, internet, điện thoại, xăng xe</v>
      </c>
      <c r="Q47" s="695"/>
      <c r="R47" s="695"/>
      <c r="S47" s="695"/>
      <c r="T47" s="696">
        <v>2.6</v>
      </c>
      <c r="U47" s="696"/>
      <c r="V47" s="152"/>
      <c r="W47" s="153">
        <f t="shared" ca="1" si="3"/>
        <v>2.5499999999999998</v>
      </c>
      <c r="X47" s="697">
        <f t="shared" ca="1" si="4"/>
        <v>5.0000000000000266E-2</v>
      </c>
      <c r="Y47" s="698"/>
      <c r="Z47" s="646"/>
      <c r="AA47" s="646"/>
      <c r="AB47" s="646"/>
      <c r="AC47" s="646"/>
      <c r="AD47" s="646"/>
      <c r="AE47" s="646"/>
      <c r="AF47" s="646"/>
      <c r="AG47" s="646"/>
      <c r="AH47" s="646"/>
      <c r="AI47" s="646"/>
      <c r="AJ47" s="646"/>
      <c r="AK47" s="658"/>
    </row>
    <row r="48" spans="5:37" ht="15" customHeight="1" x14ac:dyDescent="0.55000000000000004">
      <c r="E48" s="687">
        <v>44811</v>
      </c>
      <c r="F48" s="688">
        <v>44599</v>
      </c>
      <c r="G48" s="640" t="s">
        <v>10</v>
      </c>
      <c r="H48" s="641" t="s">
        <v>10</v>
      </c>
      <c r="I48" s="641" t="s">
        <v>10</v>
      </c>
      <c r="J48" s="642" t="s">
        <v>10</v>
      </c>
      <c r="K48" s="640" t="s">
        <v>164</v>
      </c>
      <c r="L48" s="641" t="s">
        <v>164</v>
      </c>
      <c r="M48" s="642" t="s">
        <v>164</v>
      </c>
      <c r="N48" s="138">
        <v>0.05</v>
      </c>
      <c r="P48" s="694" t="str">
        <f>'Từ khóa'!F18</f>
        <v>Chi tiền giải trí, quà tặng</v>
      </c>
      <c r="Q48" s="695"/>
      <c r="R48" s="695"/>
      <c r="S48" s="695"/>
      <c r="T48" s="696">
        <v>0.3</v>
      </c>
      <c r="U48" s="696"/>
      <c r="V48" s="152"/>
      <c r="W48" s="153">
        <f t="shared" ca="1" si="3"/>
        <v>0.3</v>
      </c>
      <c r="X48" s="697">
        <f t="shared" ca="1" si="4"/>
        <v>0</v>
      </c>
      <c r="Y48" s="698"/>
      <c r="Z48" s="646"/>
      <c r="AA48" s="646"/>
      <c r="AB48" s="646"/>
      <c r="AC48" s="646"/>
      <c r="AD48" s="646"/>
      <c r="AE48" s="646"/>
      <c r="AF48" s="646"/>
      <c r="AG48" s="646"/>
      <c r="AH48" s="646"/>
      <c r="AI48" s="646"/>
      <c r="AJ48" s="646"/>
      <c r="AK48" s="658"/>
    </row>
    <row r="49" spans="5:37" ht="15" customHeight="1" x14ac:dyDescent="0.55000000000000004">
      <c r="E49" s="687">
        <v>44813</v>
      </c>
      <c r="F49" s="688">
        <v>44601</v>
      </c>
      <c r="G49" s="640" t="s">
        <v>7</v>
      </c>
      <c r="H49" s="641" t="s">
        <v>7</v>
      </c>
      <c r="I49" s="641" t="s">
        <v>7</v>
      </c>
      <c r="J49" s="642" t="s">
        <v>7</v>
      </c>
      <c r="K49" s="640"/>
      <c r="L49" s="641"/>
      <c r="M49" s="642"/>
      <c r="N49" s="138">
        <v>1</v>
      </c>
      <c r="P49" s="694" t="str">
        <f>'Từ khóa'!F19</f>
        <v>Chi tiền cho con</v>
      </c>
      <c r="Q49" s="695"/>
      <c r="R49" s="695"/>
      <c r="S49" s="695"/>
      <c r="T49" s="696">
        <v>0.3</v>
      </c>
      <c r="U49" s="696"/>
      <c r="V49" s="152"/>
      <c r="W49" s="153">
        <f t="shared" ca="1" si="3"/>
        <v>0.3</v>
      </c>
      <c r="X49" s="697">
        <f t="shared" ca="1" si="4"/>
        <v>0</v>
      </c>
      <c r="Y49" s="698"/>
      <c r="Z49" s="646"/>
      <c r="AA49" s="646"/>
      <c r="AB49" s="646"/>
      <c r="AC49" s="646"/>
      <c r="AD49" s="646"/>
      <c r="AE49" s="646"/>
      <c r="AF49" s="646"/>
      <c r="AG49" s="646"/>
      <c r="AH49" s="646"/>
      <c r="AI49" s="646"/>
      <c r="AJ49" s="646"/>
      <c r="AK49" s="658"/>
    </row>
    <row r="50" spans="5:37" ht="15" customHeight="1" x14ac:dyDescent="0.55000000000000004">
      <c r="E50" s="687">
        <v>44815</v>
      </c>
      <c r="F50" s="688">
        <v>44603</v>
      </c>
      <c r="G50" s="640" t="s">
        <v>8</v>
      </c>
      <c r="H50" s="641" t="s">
        <v>8</v>
      </c>
      <c r="I50" s="641" t="s">
        <v>8</v>
      </c>
      <c r="J50" s="642" t="s">
        <v>8</v>
      </c>
      <c r="K50" s="640" t="s">
        <v>23</v>
      </c>
      <c r="L50" s="641" t="s">
        <v>23</v>
      </c>
      <c r="M50" s="642" t="s">
        <v>23</v>
      </c>
      <c r="N50" s="138">
        <v>0.5</v>
      </c>
      <c r="P50" s="694" t="str">
        <f>'Từ khóa'!F20</f>
        <v>Chi tiền trả nợ</v>
      </c>
      <c r="Q50" s="695"/>
      <c r="R50" s="695"/>
      <c r="S50" s="695"/>
      <c r="T50" s="696">
        <f>'Kế hoạch thu nhập và chi tiêu'!L34</f>
        <v>6.5</v>
      </c>
      <c r="U50" s="696"/>
      <c r="V50" s="152"/>
      <c r="W50" s="153">
        <f t="shared" ca="1" si="3"/>
        <v>6.5</v>
      </c>
      <c r="X50" s="697">
        <f t="shared" ca="1" si="4"/>
        <v>0</v>
      </c>
      <c r="Y50" s="698"/>
      <c r="Z50" s="646"/>
      <c r="AA50" s="646"/>
      <c r="AB50" s="646"/>
      <c r="AC50" s="646"/>
      <c r="AD50" s="646"/>
      <c r="AE50" s="646"/>
      <c r="AF50" s="646"/>
      <c r="AG50" s="646"/>
      <c r="AH50" s="646"/>
      <c r="AI50" s="646"/>
      <c r="AJ50" s="646"/>
      <c r="AK50" s="658"/>
    </row>
    <row r="51" spans="5:37" ht="15" customHeight="1" x14ac:dyDescent="0.55000000000000004">
      <c r="E51" s="687">
        <v>44816</v>
      </c>
      <c r="F51" s="688">
        <v>44604</v>
      </c>
      <c r="G51" s="640" t="s">
        <v>8</v>
      </c>
      <c r="H51" s="641" t="s">
        <v>8</v>
      </c>
      <c r="I51" s="641" t="s">
        <v>8</v>
      </c>
      <c r="J51" s="642" t="s">
        <v>8</v>
      </c>
      <c r="K51" s="640" t="s">
        <v>397</v>
      </c>
      <c r="L51" s="641" t="s">
        <v>165</v>
      </c>
      <c r="M51" s="642" t="s">
        <v>165</v>
      </c>
      <c r="N51" s="138">
        <v>0.3</v>
      </c>
      <c r="P51" s="694" t="str">
        <f>'Từ khóa'!F21</f>
        <v>Chi tiền cho tặng gia đình</v>
      </c>
      <c r="Q51" s="695"/>
      <c r="R51" s="695"/>
      <c r="S51" s="695"/>
      <c r="T51" s="696">
        <f>'Kế hoạch thu nhập và chi tiêu'!L35</f>
        <v>1</v>
      </c>
      <c r="U51" s="696"/>
      <c r="V51" s="152"/>
      <c r="W51" s="153">
        <f t="shared" ca="1" si="3"/>
        <v>0.5</v>
      </c>
      <c r="X51" s="697">
        <f t="shared" ca="1" si="4"/>
        <v>0.5</v>
      </c>
      <c r="Y51" s="698"/>
      <c r="Z51" s="646"/>
      <c r="AA51" s="646"/>
      <c r="AB51" s="646"/>
      <c r="AC51" s="646"/>
      <c r="AD51" s="646"/>
      <c r="AE51" s="646"/>
      <c r="AF51" s="646"/>
      <c r="AG51" s="646"/>
      <c r="AH51" s="646"/>
      <c r="AI51" s="646"/>
      <c r="AJ51" s="646"/>
      <c r="AK51" s="658"/>
    </row>
    <row r="52" spans="5:37" ht="15" customHeight="1" x14ac:dyDescent="0.55000000000000004">
      <c r="E52" s="687">
        <v>44824</v>
      </c>
      <c r="F52" s="688">
        <v>44612</v>
      </c>
      <c r="G52" s="640" t="s">
        <v>11</v>
      </c>
      <c r="H52" s="641"/>
      <c r="I52" s="641"/>
      <c r="J52" s="642"/>
      <c r="K52" s="640"/>
      <c r="L52" s="641"/>
      <c r="M52" s="642"/>
      <c r="N52" s="138">
        <v>0.3</v>
      </c>
      <c r="P52" s="694" t="str">
        <f>'Từ khóa'!F22</f>
        <v>Chi tiêu 1</v>
      </c>
      <c r="Q52" s="695"/>
      <c r="R52" s="695"/>
      <c r="S52" s="695"/>
      <c r="T52" s="696">
        <f>'Kế hoạch thu nhập và chi tiêu'!L36</f>
        <v>0</v>
      </c>
      <c r="U52" s="696"/>
      <c r="V52" s="152"/>
      <c r="W52" s="153">
        <f t="shared" ca="1" si="3"/>
        <v>0</v>
      </c>
      <c r="X52" s="697">
        <f t="shared" ca="1" si="4"/>
        <v>0</v>
      </c>
      <c r="Y52" s="698"/>
      <c r="Z52" s="646"/>
      <c r="AA52" s="646"/>
      <c r="AB52" s="646"/>
      <c r="AC52" s="646"/>
      <c r="AD52" s="646"/>
      <c r="AE52" s="646"/>
      <c r="AF52" s="646"/>
      <c r="AG52" s="646"/>
      <c r="AH52" s="646"/>
      <c r="AI52" s="646"/>
      <c r="AJ52" s="646"/>
      <c r="AK52" s="658"/>
    </row>
    <row r="53" spans="5:37" ht="15" customHeight="1" x14ac:dyDescent="0.55000000000000004">
      <c r="E53" s="687">
        <v>44826</v>
      </c>
      <c r="F53" s="688" t="s">
        <v>174</v>
      </c>
      <c r="G53" s="640" t="s">
        <v>5</v>
      </c>
      <c r="H53" s="641"/>
      <c r="I53" s="641"/>
      <c r="J53" s="642"/>
      <c r="K53" s="640"/>
      <c r="L53" s="641"/>
      <c r="M53" s="642"/>
      <c r="N53" s="138">
        <v>1</v>
      </c>
      <c r="P53" s="694" t="str">
        <f>'Từ khóa'!F23</f>
        <v>Chi tiêu 2</v>
      </c>
      <c r="Q53" s="695"/>
      <c r="R53" s="695"/>
      <c r="S53" s="695"/>
      <c r="T53" s="696">
        <f>'Kế hoạch thu nhập và chi tiêu'!L37</f>
        <v>0</v>
      </c>
      <c r="U53" s="696"/>
      <c r="V53" s="152"/>
      <c r="W53" s="153">
        <f t="shared" ca="1" si="3"/>
        <v>0</v>
      </c>
      <c r="X53" s="697">
        <f t="shared" ca="1" si="4"/>
        <v>0</v>
      </c>
      <c r="Y53" s="698"/>
      <c r="Z53" s="646"/>
      <c r="AA53" s="646"/>
      <c r="AB53" s="646"/>
      <c r="AC53" s="646"/>
      <c r="AD53" s="646"/>
      <c r="AE53" s="646"/>
      <c r="AF53" s="646"/>
      <c r="AG53" s="646"/>
      <c r="AH53" s="646"/>
      <c r="AI53" s="646"/>
      <c r="AJ53" s="646"/>
      <c r="AK53" s="658"/>
    </row>
    <row r="54" spans="5:37" ht="15" customHeight="1" x14ac:dyDescent="0.55000000000000004">
      <c r="E54" s="687">
        <v>44827</v>
      </c>
      <c r="F54" s="688">
        <v>44615</v>
      </c>
      <c r="G54" s="640" t="s">
        <v>13</v>
      </c>
      <c r="H54" s="641"/>
      <c r="I54" s="641"/>
      <c r="J54" s="642"/>
      <c r="K54" s="640"/>
      <c r="L54" s="641"/>
      <c r="M54" s="642"/>
      <c r="N54" s="138">
        <v>6.5</v>
      </c>
      <c r="P54" s="694" t="str">
        <f>'Từ khóa'!F24</f>
        <v>Chi tiêu 3</v>
      </c>
      <c r="Q54" s="695"/>
      <c r="R54" s="695"/>
      <c r="S54" s="695"/>
      <c r="T54" s="696">
        <f>'Kế hoạch thu nhập và chi tiêu'!L38</f>
        <v>0</v>
      </c>
      <c r="U54" s="696"/>
      <c r="V54" s="152"/>
      <c r="W54" s="153">
        <f t="shared" ca="1" si="3"/>
        <v>0</v>
      </c>
      <c r="X54" s="697">
        <f t="shared" ca="1" si="4"/>
        <v>0</v>
      </c>
      <c r="Y54" s="698"/>
      <c r="Z54" s="646"/>
      <c r="AA54" s="646"/>
      <c r="AB54" s="646"/>
      <c r="AC54" s="646"/>
      <c r="AD54" s="646"/>
      <c r="AE54" s="646"/>
      <c r="AF54" s="646"/>
      <c r="AG54" s="646"/>
      <c r="AH54" s="646"/>
      <c r="AI54" s="646"/>
      <c r="AJ54" s="646"/>
      <c r="AK54" s="658"/>
    </row>
    <row r="55" spans="5:37" ht="15" customHeight="1" x14ac:dyDescent="0.55000000000000004">
      <c r="E55" s="687">
        <v>44828</v>
      </c>
      <c r="F55" s="688">
        <v>44616</v>
      </c>
      <c r="G55" s="640" t="s">
        <v>12</v>
      </c>
      <c r="H55" s="641"/>
      <c r="I55" s="641"/>
      <c r="J55" s="642"/>
      <c r="K55" s="640"/>
      <c r="L55" s="641"/>
      <c r="M55" s="642"/>
      <c r="N55" s="138">
        <v>0.3</v>
      </c>
      <c r="P55" s="694" t="str">
        <f>'Từ khóa'!F25</f>
        <v>Chi tiêu 4</v>
      </c>
      <c r="Q55" s="695"/>
      <c r="R55" s="695"/>
      <c r="S55" s="695"/>
      <c r="T55" s="696">
        <f>'Kế hoạch thu nhập và chi tiêu'!L39</f>
        <v>0</v>
      </c>
      <c r="U55" s="696"/>
      <c r="V55" s="152"/>
      <c r="W55" s="153">
        <f t="shared" ca="1" si="3"/>
        <v>0</v>
      </c>
      <c r="X55" s="697">
        <f t="shared" ca="1" si="4"/>
        <v>0</v>
      </c>
      <c r="Y55" s="698"/>
      <c r="Z55" s="646"/>
      <c r="AA55" s="646"/>
      <c r="AB55" s="646"/>
      <c r="AC55" s="646"/>
      <c r="AD55" s="646"/>
      <c r="AE55" s="646"/>
      <c r="AF55" s="646"/>
      <c r="AG55" s="646"/>
      <c r="AH55" s="646"/>
      <c r="AI55" s="646"/>
      <c r="AJ55" s="646"/>
      <c r="AK55" s="658"/>
    </row>
    <row r="56" spans="5:37" ht="15" customHeight="1" x14ac:dyDescent="0.55000000000000004">
      <c r="E56" s="687">
        <v>44829</v>
      </c>
      <c r="F56" s="688">
        <v>44617</v>
      </c>
      <c r="G56" s="640" t="s">
        <v>14</v>
      </c>
      <c r="H56" s="641"/>
      <c r="I56" s="641"/>
      <c r="J56" s="642"/>
      <c r="K56" s="640"/>
      <c r="L56" s="641"/>
      <c r="M56" s="642"/>
      <c r="N56" s="138">
        <v>0.5</v>
      </c>
      <c r="P56" s="694" t="str">
        <f>'Từ khóa'!F26</f>
        <v>Chi tiêu 5</v>
      </c>
      <c r="Q56" s="695"/>
      <c r="R56" s="695"/>
      <c r="S56" s="695"/>
      <c r="T56" s="696">
        <f>'Kế hoạch thu nhập và chi tiêu'!L40</f>
        <v>0</v>
      </c>
      <c r="U56" s="696"/>
      <c r="V56" s="152"/>
      <c r="W56" s="153">
        <f t="shared" ca="1" si="3"/>
        <v>0</v>
      </c>
      <c r="X56" s="697">
        <f t="shared" ca="1" si="4"/>
        <v>0</v>
      </c>
      <c r="Y56" s="698"/>
      <c r="Z56" s="646"/>
      <c r="AA56" s="646"/>
      <c r="AB56" s="646"/>
      <c r="AC56" s="646"/>
      <c r="AD56" s="646"/>
      <c r="AE56" s="646"/>
      <c r="AF56" s="646"/>
      <c r="AG56" s="646"/>
      <c r="AH56" s="646"/>
      <c r="AI56" s="646"/>
      <c r="AJ56" s="646"/>
      <c r="AK56" s="658"/>
    </row>
    <row r="57" spans="5:37" ht="15.75" customHeight="1" thickBot="1" x14ac:dyDescent="0.6">
      <c r="E57" s="687">
        <v>44830</v>
      </c>
      <c r="F57" s="688">
        <v>44618</v>
      </c>
      <c r="G57" s="640" t="s">
        <v>5</v>
      </c>
      <c r="H57" s="641"/>
      <c r="I57" s="641"/>
      <c r="J57" s="642"/>
      <c r="K57" s="640"/>
      <c r="L57" s="641"/>
      <c r="M57" s="642"/>
      <c r="N57" s="138">
        <v>1</v>
      </c>
      <c r="P57" s="691" t="s">
        <v>317</v>
      </c>
      <c r="Q57" s="692"/>
      <c r="R57" s="692"/>
      <c r="S57" s="693"/>
      <c r="T57" s="689">
        <f>SUM(T42:U56)</f>
        <v>19.5</v>
      </c>
      <c r="U57" s="690"/>
      <c r="V57" s="689">
        <f ca="1">SUM(W42:W56)</f>
        <v>17.450000000000003</v>
      </c>
      <c r="W57" s="690"/>
      <c r="X57" s="689">
        <f t="shared" ref="X57" ca="1" si="5">SUM(X42:Y56)</f>
        <v>2.0499999999999998</v>
      </c>
      <c r="Y57" s="690"/>
      <c r="Z57" s="669"/>
      <c r="AA57" s="669"/>
      <c r="AB57" s="669"/>
      <c r="AC57" s="669"/>
      <c r="AD57" s="669"/>
      <c r="AE57" s="669"/>
      <c r="AF57" s="669"/>
      <c r="AG57" s="669"/>
      <c r="AH57" s="669"/>
      <c r="AI57" s="669"/>
      <c r="AJ57" s="669"/>
      <c r="AK57" s="670"/>
    </row>
    <row r="58" spans="5:37" ht="15.75" customHeight="1" x14ac:dyDescent="0.55000000000000004">
      <c r="E58" s="687">
        <v>44831</v>
      </c>
      <c r="F58" s="688">
        <v>44619</v>
      </c>
      <c r="G58" s="640" t="s">
        <v>6</v>
      </c>
      <c r="H58" s="641"/>
      <c r="I58" s="641"/>
      <c r="J58" s="642"/>
      <c r="K58" s="640"/>
      <c r="L58" s="641"/>
      <c r="M58" s="642"/>
      <c r="N58" s="139">
        <v>0.2</v>
      </c>
      <c r="Q58" s="6"/>
      <c r="R58" s="6"/>
      <c r="S58" s="6"/>
      <c r="T58" s="6"/>
    </row>
    <row r="59" spans="5:37" ht="15.75" customHeight="1" x14ac:dyDescent="0.55000000000000004">
      <c r="E59" s="687">
        <v>44832</v>
      </c>
      <c r="F59" s="688" t="s">
        <v>174</v>
      </c>
      <c r="G59" s="640" t="s">
        <v>6</v>
      </c>
      <c r="H59" s="641"/>
      <c r="I59" s="641"/>
      <c r="J59" s="642"/>
      <c r="K59" s="640"/>
      <c r="L59" s="641"/>
      <c r="M59" s="642"/>
      <c r="N59" s="140">
        <v>0.1</v>
      </c>
      <c r="Q59" s="6"/>
      <c r="R59" s="6"/>
      <c r="S59" s="6"/>
      <c r="T59" s="6"/>
    </row>
    <row r="60" spans="5:37" ht="15" x14ac:dyDescent="0.55000000000000004">
      <c r="E60" s="638"/>
      <c r="F60" s="639"/>
      <c r="G60" s="640"/>
      <c r="H60" s="641"/>
      <c r="I60" s="641"/>
      <c r="J60" s="642"/>
      <c r="K60" s="640"/>
      <c r="L60" s="641"/>
      <c r="M60" s="642"/>
      <c r="N60" s="140"/>
    </row>
    <row r="61" spans="5:37" ht="15" x14ac:dyDescent="0.55000000000000004">
      <c r="E61" s="638"/>
      <c r="F61" s="639"/>
      <c r="G61" s="640"/>
      <c r="H61" s="641"/>
      <c r="I61" s="641"/>
      <c r="J61" s="642"/>
      <c r="K61" s="640"/>
      <c r="L61" s="641"/>
      <c r="M61" s="642"/>
      <c r="N61" s="140"/>
    </row>
    <row r="62" spans="5:37" ht="15" x14ac:dyDescent="0.55000000000000004">
      <c r="E62" s="638"/>
      <c r="F62" s="639"/>
      <c r="G62" s="640"/>
      <c r="H62" s="641"/>
      <c r="I62" s="641"/>
      <c r="J62" s="642"/>
      <c r="K62" s="640"/>
      <c r="L62" s="641"/>
      <c r="M62" s="642"/>
      <c r="N62" s="140"/>
    </row>
    <row r="63" spans="5:37" ht="15" x14ac:dyDescent="0.55000000000000004">
      <c r="E63" s="638"/>
      <c r="F63" s="639"/>
      <c r="G63" s="640"/>
      <c r="H63" s="641"/>
      <c r="I63" s="641"/>
      <c r="J63" s="642"/>
      <c r="K63" s="640"/>
      <c r="L63" s="641"/>
      <c r="M63" s="642"/>
      <c r="N63" s="140"/>
    </row>
    <row r="64" spans="5:37" ht="15" x14ac:dyDescent="0.55000000000000004">
      <c r="E64" s="638"/>
      <c r="F64" s="639"/>
      <c r="G64" s="640"/>
      <c r="H64" s="641"/>
      <c r="I64" s="641"/>
      <c r="J64" s="642"/>
      <c r="K64" s="640"/>
      <c r="L64" s="641"/>
      <c r="M64" s="642"/>
      <c r="N64" s="140"/>
    </row>
    <row r="65" spans="5:14" ht="15" x14ac:dyDescent="0.55000000000000004">
      <c r="E65" s="638"/>
      <c r="F65" s="639"/>
      <c r="G65" s="640"/>
      <c r="H65" s="641"/>
      <c r="I65" s="641"/>
      <c r="J65" s="642"/>
      <c r="K65" s="640"/>
      <c r="L65" s="641"/>
      <c r="M65" s="642"/>
      <c r="N65" s="140"/>
    </row>
    <row r="66" spans="5:14" ht="15" x14ac:dyDescent="0.55000000000000004">
      <c r="E66" s="638"/>
      <c r="F66" s="639"/>
      <c r="G66" s="640"/>
      <c r="H66" s="641"/>
      <c r="I66" s="641"/>
      <c r="J66" s="642"/>
      <c r="K66" s="640"/>
      <c r="L66" s="641"/>
      <c r="M66" s="642"/>
      <c r="N66" s="140"/>
    </row>
    <row r="67" spans="5:14" ht="15" x14ac:dyDescent="0.55000000000000004">
      <c r="E67" s="638"/>
      <c r="F67" s="639"/>
      <c r="G67" s="640"/>
      <c r="H67" s="641"/>
      <c r="I67" s="641"/>
      <c r="J67" s="642"/>
      <c r="K67" s="640"/>
      <c r="L67" s="641"/>
      <c r="M67" s="642"/>
      <c r="N67" s="140"/>
    </row>
    <row r="68" spans="5:14" ht="15" x14ac:dyDescent="0.55000000000000004">
      <c r="E68" s="638"/>
      <c r="F68" s="639"/>
      <c r="G68" s="640"/>
      <c r="H68" s="641"/>
      <c r="I68" s="641"/>
      <c r="J68" s="642"/>
      <c r="K68" s="640"/>
      <c r="L68" s="641"/>
      <c r="M68" s="642"/>
      <c r="N68" s="140"/>
    </row>
    <row r="69" spans="5:14" ht="15" x14ac:dyDescent="0.55000000000000004">
      <c r="E69" s="638"/>
      <c r="F69" s="639"/>
      <c r="G69" s="640"/>
      <c r="H69" s="641"/>
      <c r="I69" s="641"/>
      <c r="J69" s="642"/>
      <c r="K69" s="640"/>
      <c r="L69" s="641"/>
      <c r="M69" s="642"/>
      <c r="N69" s="140"/>
    </row>
    <row r="70" spans="5:14" ht="15" x14ac:dyDescent="0.55000000000000004">
      <c r="E70" s="638"/>
      <c r="F70" s="639"/>
      <c r="G70" s="640"/>
      <c r="H70" s="641"/>
      <c r="I70" s="641"/>
      <c r="J70" s="642"/>
      <c r="K70" s="640"/>
      <c r="L70" s="641"/>
      <c r="M70" s="642"/>
      <c r="N70" s="140"/>
    </row>
    <row r="71" spans="5:14" ht="15" x14ac:dyDescent="0.55000000000000004">
      <c r="E71" s="638"/>
      <c r="F71" s="639"/>
      <c r="G71" s="640"/>
      <c r="H71" s="641"/>
      <c r="I71" s="641"/>
      <c r="J71" s="642"/>
      <c r="K71" s="640"/>
      <c r="L71" s="641"/>
      <c r="M71" s="642"/>
      <c r="N71" s="140"/>
    </row>
    <row r="72" spans="5:14" ht="15" x14ac:dyDescent="0.55000000000000004">
      <c r="E72" s="638"/>
      <c r="F72" s="639"/>
      <c r="G72" s="640"/>
      <c r="H72" s="641"/>
      <c r="I72" s="641"/>
      <c r="J72" s="642"/>
      <c r="K72" s="640"/>
      <c r="L72" s="641"/>
      <c r="M72" s="642"/>
      <c r="N72" s="140"/>
    </row>
    <row r="73" spans="5:14" ht="15" x14ac:dyDescent="0.55000000000000004">
      <c r="E73" s="638"/>
      <c r="F73" s="639"/>
      <c r="G73" s="640"/>
      <c r="H73" s="641"/>
      <c r="I73" s="641"/>
      <c r="J73" s="642"/>
      <c r="K73" s="640"/>
      <c r="L73" s="641"/>
      <c r="M73" s="642"/>
      <c r="N73" s="140"/>
    </row>
    <row r="74" spans="5:14" ht="15" x14ac:dyDescent="0.55000000000000004">
      <c r="E74" s="638"/>
      <c r="F74" s="639"/>
      <c r="G74" s="640"/>
      <c r="H74" s="641"/>
      <c r="I74" s="641"/>
      <c r="J74" s="642"/>
      <c r="K74" s="640"/>
      <c r="L74" s="641"/>
      <c r="M74" s="642"/>
      <c r="N74" s="140"/>
    </row>
    <row r="75" spans="5:14" ht="15" x14ac:dyDescent="0.55000000000000004">
      <c r="E75" s="638"/>
      <c r="F75" s="639"/>
      <c r="G75" s="640"/>
      <c r="H75" s="641"/>
      <c r="I75" s="641"/>
      <c r="J75" s="642"/>
      <c r="K75" s="640"/>
      <c r="L75" s="641"/>
      <c r="M75" s="642"/>
      <c r="N75" s="140"/>
    </row>
    <row r="76" spans="5:14" ht="15" x14ac:dyDescent="0.55000000000000004">
      <c r="E76" s="638"/>
      <c r="F76" s="639"/>
      <c r="G76" s="640"/>
      <c r="H76" s="641"/>
      <c r="I76" s="641"/>
      <c r="J76" s="642"/>
      <c r="K76" s="640"/>
      <c r="L76" s="641"/>
      <c r="M76" s="642"/>
      <c r="N76" s="140"/>
    </row>
    <row r="77" spans="5:14" ht="15" x14ac:dyDescent="0.55000000000000004">
      <c r="E77" s="638"/>
      <c r="F77" s="639"/>
      <c r="G77" s="640"/>
      <c r="H77" s="641"/>
      <c r="I77" s="641"/>
      <c r="J77" s="642"/>
      <c r="K77" s="640"/>
      <c r="L77" s="641"/>
      <c r="M77" s="642"/>
      <c r="N77" s="140"/>
    </row>
    <row r="78" spans="5:14" ht="15" x14ac:dyDescent="0.55000000000000004">
      <c r="E78" s="638"/>
      <c r="F78" s="639"/>
      <c r="G78" s="640"/>
      <c r="H78" s="641"/>
      <c r="I78" s="641"/>
      <c r="J78" s="642"/>
      <c r="K78" s="640"/>
      <c r="L78" s="641"/>
      <c r="M78" s="642"/>
      <c r="N78" s="140"/>
    </row>
    <row r="79" spans="5:14" ht="15" x14ac:dyDescent="0.55000000000000004">
      <c r="E79" s="638"/>
      <c r="F79" s="639"/>
      <c r="G79" s="640"/>
      <c r="H79" s="641"/>
      <c r="I79" s="641"/>
      <c r="J79" s="642"/>
      <c r="K79" s="640"/>
      <c r="L79" s="641"/>
      <c r="M79" s="642"/>
      <c r="N79" s="140"/>
    </row>
    <row r="80" spans="5:14" ht="15" x14ac:dyDescent="0.55000000000000004">
      <c r="E80" s="638"/>
      <c r="F80" s="639"/>
      <c r="G80" s="640"/>
      <c r="H80" s="641"/>
      <c r="I80" s="641"/>
      <c r="J80" s="642"/>
      <c r="K80" s="640"/>
      <c r="L80" s="641"/>
      <c r="M80" s="642"/>
      <c r="N80" s="140"/>
    </row>
    <row r="81" spans="1:31" ht="15" x14ac:dyDescent="0.55000000000000004">
      <c r="E81" s="638"/>
      <c r="F81" s="639"/>
      <c r="G81" s="640"/>
      <c r="H81" s="641"/>
      <c r="I81" s="641"/>
      <c r="J81" s="642"/>
      <c r="K81" s="640"/>
      <c r="L81" s="641"/>
      <c r="M81" s="642"/>
      <c r="N81" s="140"/>
    </row>
    <row r="82" spans="1:31" ht="15" x14ac:dyDescent="0.55000000000000004">
      <c r="E82" s="638"/>
      <c r="F82" s="639"/>
      <c r="G82" s="640"/>
      <c r="H82" s="641"/>
      <c r="I82" s="641"/>
      <c r="J82" s="642"/>
      <c r="K82" s="640"/>
      <c r="L82" s="641"/>
      <c r="M82" s="642"/>
      <c r="N82" s="140"/>
    </row>
    <row r="83" spans="1:31" ht="15.4" thickBot="1" x14ac:dyDescent="0.6">
      <c r="E83" s="671" t="s">
        <v>317</v>
      </c>
      <c r="F83" s="672"/>
      <c r="G83" s="672"/>
      <c r="H83" s="672"/>
      <c r="I83" s="672"/>
      <c r="J83" s="672"/>
      <c r="K83" s="672"/>
      <c r="L83" s="672"/>
      <c r="M83" s="673"/>
      <c r="N83" s="143">
        <f>SUM(N42:N82)</f>
        <v>17.45</v>
      </c>
    </row>
    <row r="86" spans="1:31" ht="15" customHeight="1" x14ac:dyDescent="0.45">
      <c r="E86" s="532" t="s">
        <v>348</v>
      </c>
      <c r="F86" s="532"/>
      <c r="G86" s="532"/>
      <c r="H86" s="532"/>
      <c r="I86" s="532"/>
      <c r="J86" s="532"/>
      <c r="K86" s="532"/>
      <c r="L86" s="532"/>
      <c r="M86" s="532"/>
      <c r="N86" s="5"/>
      <c r="O86" s="5"/>
      <c r="P86" s="5"/>
      <c r="Q86" s="5"/>
      <c r="R86" s="5"/>
      <c r="S86" s="6"/>
      <c r="T86" s="6"/>
      <c r="U86" s="6"/>
      <c r="V86" s="6"/>
      <c r="W86" s="6"/>
      <c r="X86" s="6"/>
      <c r="Y86" s="6"/>
      <c r="Z86" s="6"/>
      <c r="AA86" s="6"/>
    </row>
    <row r="87" spans="1:31" s="8" customFormat="1" ht="15" customHeight="1" thickBot="1" x14ac:dyDescent="0.5">
      <c r="A87" s="7"/>
      <c r="B87" s="7"/>
      <c r="C87" s="7"/>
      <c r="E87" s="533"/>
      <c r="F87" s="533"/>
      <c r="G87" s="533"/>
      <c r="H87" s="533"/>
      <c r="I87" s="533"/>
      <c r="J87" s="533"/>
      <c r="K87" s="533"/>
      <c r="L87" s="533"/>
      <c r="M87" s="533"/>
      <c r="N87" s="9"/>
      <c r="O87" s="9"/>
      <c r="P87" s="9"/>
      <c r="Q87" s="9"/>
      <c r="R87" s="9"/>
      <c r="S87" s="10"/>
      <c r="T87" s="10"/>
      <c r="U87" s="10"/>
      <c r="V87" s="10"/>
      <c r="W87" s="10"/>
      <c r="X87" s="10"/>
      <c r="Y87" s="10"/>
      <c r="Z87" s="10"/>
      <c r="AA87" s="10"/>
    </row>
    <row r="88" spans="1:31" ht="14.65" thickBot="1" x14ac:dyDescent="0.5"/>
    <row r="89" spans="1:31" ht="14.65" thickBot="1" x14ac:dyDescent="0.5">
      <c r="E89" s="620" t="s">
        <v>350</v>
      </c>
      <c r="F89" s="621"/>
      <c r="G89" s="621"/>
      <c r="H89" s="621"/>
      <c r="I89" s="621"/>
      <c r="J89" s="621"/>
      <c r="K89" s="621"/>
      <c r="L89" s="621"/>
      <c r="M89" s="621"/>
      <c r="N89" s="621"/>
      <c r="O89" s="621"/>
      <c r="P89" s="621"/>
      <c r="Q89" s="621"/>
      <c r="R89" s="621"/>
      <c r="S89" s="621"/>
      <c r="T89" s="621"/>
      <c r="U89" s="621"/>
      <c r="V89" s="621"/>
      <c r="W89" s="621"/>
      <c r="X89" s="621"/>
      <c r="Y89" s="622"/>
      <c r="AA89" s="629" t="s">
        <v>353</v>
      </c>
      <c r="AB89" s="630"/>
      <c r="AC89" s="630"/>
      <c r="AD89" s="630"/>
      <c r="AE89" s="631"/>
    </row>
    <row r="90" spans="1:31" x14ac:dyDescent="0.45">
      <c r="E90" s="615" t="s">
        <v>146</v>
      </c>
      <c r="F90" s="350"/>
      <c r="G90" s="350" t="s">
        <v>349</v>
      </c>
      <c r="H90" s="350"/>
      <c r="I90" s="350" t="s">
        <v>345</v>
      </c>
      <c r="J90" s="350"/>
      <c r="K90" s="133" t="s">
        <v>148</v>
      </c>
      <c r="L90" s="350" t="s">
        <v>166</v>
      </c>
      <c r="M90" s="350"/>
      <c r="N90" s="350"/>
      <c r="O90" s="350"/>
      <c r="P90" s="350"/>
      <c r="Q90" s="350"/>
      <c r="R90" s="350"/>
      <c r="S90" s="350" t="s">
        <v>352</v>
      </c>
      <c r="T90" s="350"/>
      <c r="U90" s="350"/>
      <c r="V90" s="350"/>
      <c r="W90" s="350"/>
      <c r="X90" s="350"/>
      <c r="Y90" s="614"/>
      <c r="AA90" s="685" t="s">
        <v>147</v>
      </c>
      <c r="AB90" s="686"/>
      <c r="AC90" s="686"/>
      <c r="AD90" s="686"/>
      <c r="AE90" s="684" t="s">
        <v>324</v>
      </c>
    </row>
    <row r="91" spans="1:31" ht="15" x14ac:dyDescent="0.45">
      <c r="E91" s="680">
        <v>44815</v>
      </c>
      <c r="F91" s="681"/>
      <c r="G91" s="555" t="s">
        <v>23</v>
      </c>
      <c r="H91" s="555"/>
      <c r="I91" s="555" t="s">
        <v>167</v>
      </c>
      <c r="J91" s="555"/>
      <c r="K91" s="149">
        <v>0.5</v>
      </c>
      <c r="L91" s="619" t="s">
        <v>168</v>
      </c>
      <c r="M91" s="619"/>
      <c r="N91" s="619"/>
      <c r="O91" s="619"/>
      <c r="P91" s="619"/>
      <c r="Q91" s="619"/>
      <c r="R91" s="619"/>
      <c r="S91" s="555"/>
      <c r="T91" s="555"/>
      <c r="U91" s="555"/>
      <c r="V91" s="555"/>
      <c r="W91" s="555"/>
      <c r="X91" s="555"/>
      <c r="Y91" s="556"/>
      <c r="AA91" s="685"/>
      <c r="AB91" s="686"/>
      <c r="AC91" s="686"/>
      <c r="AD91" s="686"/>
      <c r="AE91" s="684"/>
    </row>
    <row r="92" spans="1:31" ht="15" x14ac:dyDescent="0.45">
      <c r="E92" s="680">
        <v>44816</v>
      </c>
      <c r="F92" s="681"/>
      <c r="G92" s="557" t="s">
        <v>24</v>
      </c>
      <c r="H92" s="557"/>
      <c r="I92" s="557" t="s">
        <v>380</v>
      </c>
      <c r="J92" s="557"/>
      <c r="K92" s="150">
        <v>0.3</v>
      </c>
      <c r="L92" s="606" t="s">
        <v>168</v>
      </c>
      <c r="M92" s="606"/>
      <c r="N92" s="606"/>
      <c r="O92" s="606"/>
      <c r="P92" s="606"/>
      <c r="Q92" s="606"/>
      <c r="R92" s="606"/>
      <c r="S92" s="557"/>
      <c r="T92" s="557"/>
      <c r="U92" s="557"/>
      <c r="V92" s="557"/>
      <c r="W92" s="557"/>
      <c r="X92" s="557"/>
      <c r="Y92" s="558"/>
      <c r="AA92" s="682" t="str">
        <f>'Từ khóa'!S12:S12</f>
        <v>Mua sách</v>
      </c>
      <c r="AB92" s="683"/>
      <c r="AC92" s="683"/>
      <c r="AD92" s="683"/>
      <c r="AE92" s="145">
        <f ca="1">SUMIF($G$91:$H$105,AA92,$K$91:$K$105)</f>
        <v>0.5</v>
      </c>
    </row>
    <row r="93" spans="1:31" ht="15" x14ac:dyDescent="0.45">
      <c r="E93" s="680"/>
      <c r="F93" s="681"/>
      <c r="G93" s="557"/>
      <c r="H93" s="557"/>
      <c r="I93" s="557"/>
      <c r="J93" s="557"/>
      <c r="K93" s="150"/>
      <c r="L93" s="606"/>
      <c r="M93" s="606"/>
      <c r="N93" s="606"/>
      <c r="O93" s="606"/>
      <c r="P93" s="606"/>
      <c r="Q93" s="606"/>
      <c r="R93" s="606"/>
      <c r="S93" s="557"/>
      <c r="T93" s="557"/>
      <c r="U93" s="557"/>
      <c r="V93" s="557"/>
      <c r="W93" s="557"/>
      <c r="X93" s="557"/>
      <c r="Y93" s="558"/>
      <c r="AA93" s="678" t="str">
        <f>'Từ khóa'!S13:S13</f>
        <v>Khóa học ngắn hạn</v>
      </c>
      <c r="AB93" s="679"/>
      <c r="AC93" s="679"/>
      <c r="AD93" s="679"/>
      <c r="AE93" s="146">
        <f t="shared" ref="AE93:AE101" ca="1" si="6">SUMIF($G$91:$H$105,AA93,$K$91:$K$105)</f>
        <v>0.3</v>
      </c>
    </row>
    <row r="94" spans="1:31" ht="15" x14ac:dyDescent="0.45">
      <c r="E94" s="680"/>
      <c r="F94" s="681"/>
      <c r="G94" s="557"/>
      <c r="H94" s="557"/>
      <c r="I94" s="557"/>
      <c r="J94" s="557"/>
      <c r="K94" s="150"/>
      <c r="L94" s="606"/>
      <c r="M94" s="606"/>
      <c r="N94" s="606"/>
      <c r="O94" s="606"/>
      <c r="P94" s="606"/>
      <c r="Q94" s="606"/>
      <c r="R94" s="606"/>
      <c r="S94" s="557"/>
      <c r="T94" s="557"/>
      <c r="U94" s="557"/>
      <c r="V94" s="557"/>
      <c r="W94" s="557"/>
      <c r="X94" s="557"/>
      <c r="Y94" s="558"/>
      <c r="AA94" s="678" t="str">
        <f>'Từ khóa'!S14:S14</f>
        <v>Khóa học dài hạn</v>
      </c>
      <c r="AB94" s="679"/>
      <c r="AC94" s="679"/>
      <c r="AD94" s="679"/>
      <c r="AE94" s="146">
        <f t="shared" ca="1" si="6"/>
        <v>0</v>
      </c>
    </row>
    <row r="95" spans="1:31" x14ac:dyDescent="0.45">
      <c r="E95" s="604"/>
      <c r="F95" s="605"/>
      <c r="G95" s="557"/>
      <c r="H95" s="557"/>
      <c r="I95" s="557"/>
      <c r="J95" s="557"/>
      <c r="K95" s="150"/>
      <c r="L95" s="606"/>
      <c r="M95" s="606"/>
      <c r="N95" s="606"/>
      <c r="O95" s="606"/>
      <c r="P95" s="606"/>
      <c r="Q95" s="606"/>
      <c r="R95" s="606"/>
      <c r="S95" s="557"/>
      <c r="T95" s="557"/>
      <c r="U95" s="557"/>
      <c r="V95" s="557"/>
      <c r="W95" s="557"/>
      <c r="X95" s="557"/>
      <c r="Y95" s="558"/>
      <c r="AA95" s="678" t="e">
        <f>'Từ khóa'!#REF!</f>
        <v>#REF!</v>
      </c>
      <c r="AB95" s="679"/>
      <c r="AC95" s="679"/>
      <c r="AD95" s="679"/>
      <c r="AE95" s="146">
        <f t="shared" ca="1" si="6"/>
        <v>0</v>
      </c>
    </row>
    <row r="96" spans="1:31" x14ac:dyDescent="0.45">
      <c r="E96" s="604"/>
      <c r="F96" s="605"/>
      <c r="G96" s="557"/>
      <c r="H96" s="557"/>
      <c r="I96" s="557"/>
      <c r="J96" s="557"/>
      <c r="K96" s="150"/>
      <c r="L96" s="606"/>
      <c r="M96" s="606"/>
      <c r="N96" s="606"/>
      <c r="O96" s="606"/>
      <c r="P96" s="606"/>
      <c r="Q96" s="606"/>
      <c r="R96" s="606"/>
      <c r="S96" s="557"/>
      <c r="T96" s="557"/>
      <c r="U96" s="557"/>
      <c r="V96" s="557"/>
      <c r="W96" s="557"/>
      <c r="X96" s="557"/>
      <c r="Y96" s="558"/>
      <c r="AA96" s="678" t="str">
        <f>'Từ khóa'!S15:S15</f>
        <v>Tham gia các buổi diễn thuyết</v>
      </c>
      <c r="AB96" s="679"/>
      <c r="AC96" s="679"/>
      <c r="AD96" s="679"/>
      <c r="AE96" s="146">
        <f t="shared" ca="1" si="6"/>
        <v>0</v>
      </c>
    </row>
    <row r="97" spans="5:31" x14ac:dyDescent="0.45">
      <c r="E97" s="604"/>
      <c r="F97" s="605"/>
      <c r="G97" s="557"/>
      <c r="H97" s="557"/>
      <c r="I97" s="557"/>
      <c r="J97" s="557"/>
      <c r="K97" s="150"/>
      <c r="L97" s="606"/>
      <c r="M97" s="606"/>
      <c r="N97" s="606"/>
      <c r="O97" s="606"/>
      <c r="P97" s="606"/>
      <c r="Q97" s="606"/>
      <c r="R97" s="606"/>
      <c r="S97" s="557"/>
      <c r="T97" s="557"/>
      <c r="U97" s="557"/>
      <c r="V97" s="557"/>
      <c r="W97" s="557"/>
      <c r="X97" s="557"/>
      <c r="Y97" s="558"/>
      <c r="AA97" s="678" t="str">
        <f>'Từ khóa'!S16:S16</f>
        <v>Chi phát triển bản thân khác</v>
      </c>
      <c r="AB97" s="679"/>
      <c r="AC97" s="679"/>
      <c r="AD97" s="679"/>
      <c r="AE97" s="146">
        <f t="shared" ca="1" si="6"/>
        <v>0</v>
      </c>
    </row>
    <row r="98" spans="5:31" x14ac:dyDescent="0.45">
      <c r="E98" s="604"/>
      <c r="F98" s="605"/>
      <c r="G98" s="557"/>
      <c r="H98" s="557"/>
      <c r="I98" s="557"/>
      <c r="J98" s="557"/>
      <c r="K98" s="150"/>
      <c r="L98" s="606"/>
      <c r="M98" s="606"/>
      <c r="N98" s="606"/>
      <c r="O98" s="606"/>
      <c r="P98" s="606"/>
      <c r="Q98" s="606"/>
      <c r="R98" s="606"/>
      <c r="S98" s="557"/>
      <c r="T98" s="557"/>
      <c r="U98" s="557"/>
      <c r="V98" s="557"/>
      <c r="W98" s="557"/>
      <c r="X98" s="557"/>
      <c r="Y98" s="558"/>
      <c r="AA98" s="678">
        <f>'Từ khóa'!S18:S18</f>
        <v>0</v>
      </c>
      <c r="AB98" s="679"/>
      <c r="AC98" s="679"/>
      <c r="AD98" s="679"/>
      <c r="AE98" s="146">
        <f t="shared" ca="1" si="6"/>
        <v>0</v>
      </c>
    </row>
    <row r="99" spans="5:31" x14ac:dyDescent="0.45">
      <c r="E99" s="604"/>
      <c r="F99" s="605"/>
      <c r="G99" s="557"/>
      <c r="H99" s="557"/>
      <c r="I99" s="557"/>
      <c r="J99" s="557"/>
      <c r="K99" s="150"/>
      <c r="L99" s="606"/>
      <c r="M99" s="606"/>
      <c r="N99" s="606"/>
      <c r="O99" s="606"/>
      <c r="P99" s="606"/>
      <c r="Q99" s="606"/>
      <c r="R99" s="606"/>
      <c r="S99" s="557"/>
      <c r="T99" s="557"/>
      <c r="U99" s="557"/>
      <c r="V99" s="557"/>
      <c r="W99" s="557"/>
      <c r="X99" s="557"/>
      <c r="Y99" s="558"/>
      <c r="AA99" s="678">
        <f>'Từ khóa'!S19:S19</f>
        <v>0</v>
      </c>
      <c r="AB99" s="679"/>
      <c r="AC99" s="679"/>
      <c r="AD99" s="679"/>
      <c r="AE99" s="146">
        <f t="shared" ca="1" si="6"/>
        <v>0</v>
      </c>
    </row>
    <row r="100" spans="5:31" x14ac:dyDescent="0.45">
      <c r="E100" s="604"/>
      <c r="F100" s="605"/>
      <c r="G100" s="557"/>
      <c r="H100" s="557"/>
      <c r="I100" s="557"/>
      <c r="J100" s="557"/>
      <c r="K100" s="150"/>
      <c r="L100" s="606"/>
      <c r="M100" s="606"/>
      <c r="N100" s="606"/>
      <c r="O100" s="606"/>
      <c r="P100" s="606"/>
      <c r="Q100" s="606"/>
      <c r="R100" s="606"/>
      <c r="S100" s="557"/>
      <c r="T100" s="557"/>
      <c r="U100" s="557"/>
      <c r="V100" s="557"/>
      <c r="W100" s="557"/>
      <c r="X100" s="557"/>
      <c r="Y100" s="558"/>
      <c r="AA100" s="678">
        <f>'Từ khóa'!S20:S20</f>
        <v>0</v>
      </c>
      <c r="AB100" s="679"/>
      <c r="AC100" s="679"/>
      <c r="AD100" s="679"/>
      <c r="AE100" s="146">
        <f t="shared" ca="1" si="6"/>
        <v>0</v>
      </c>
    </row>
    <row r="101" spans="5:31" ht="14.65" thickBot="1" x14ac:dyDescent="0.5">
      <c r="E101" s="604"/>
      <c r="F101" s="605"/>
      <c r="G101" s="557"/>
      <c r="H101" s="557"/>
      <c r="I101" s="557"/>
      <c r="J101" s="557"/>
      <c r="K101" s="150"/>
      <c r="L101" s="606"/>
      <c r="M101" s="606"/>
      <c r="N101" s="606"/>
      <c r="O101" s="606"/>
      <c r="P101" s="606"/>
      <c r="Q101" s="606"/>
      <c r="R101" s="606"/>
      <c r="S101" s="557"/>
      <c r="T101" s="557"/>
      <c r="U101" s="557"/>
      <c r="V101" s="557"/>
      <c r="W101" s="557"/>
      <c r="X101" s="557"/>
      <c r="Y101" s="558"/>
      <c r="AA101" s="676">
        <f>'Từ khóa'!S21:S21</f>
        <v>0</v>
      </c>
      <c r="AB101" s="677"/>
      <c r="AC101" s="677"/>
      <c r="AD101" s="677"/>
      <c r="AE101" s="147">
        <f t="shared" ca="1" si="6"/>
        <v>0</v>
      </c>
    </row>
    <row r="102" spans="5:31" ht="14.65" thickBot="1" x14ac:dyDescent="0.5">
      <c r="E102" s="604"/>
      <c r="F102" s="605"/>
      <c r="G102" s="557"/>
      <c r="H102" s="557"/>
      <c r="I102" s="557"/>
      <c r="J102" s="557"/>
      <c r="K102" s="150"/>
      <c r="L102" s="606"/>
      <c r="M102" s="606"/>
      <c r="N102" s="606"/>
      <c r="O102" s="606"/>
      <c r="P102" s="606"/>
      <c r="Q102" s="606"/>
      <c r="R102" s="606"/>
      <c r="S102" s="557"/>
      <c r="T102" s="557"/>
      <c r="U102" s="557"/>
      <c r="V102" s="557"/>
      <c r="W102" s="557"/>
      <c r="X102" s="557"/>
      <c r="Y102" s="558"/>
      <c r="AA102" s="598" t="s">
        <v>351</v>
      </c>
      <c r="AB102" s="599"/>
      <c r="AC102" s="599"/>
      <c r="AD102" s="599"/>
      <c r="AE102" s="262">
        <f ca="1">SUM(AE92:AE101)</f>
        <v>0.8</v>
      </c>
    </row>
    <row r="103" spans="5:31" x14ac:dyDescent="0.45">
      <c r="E103" s="604"/>
      <c r="F103" s="605"/>
      <c r="G103" s="557"/>
      <c r="H103" s="557"/>
      <c r="I103" s="557"/>
      <c r="J103" s="557"/>
      <c r="K103" s="150"/>
      <c r="L103" s="606"/>
      <c r="M103" s="606"/>
      <c r="N103" s="606"/>
      <c r="O103" s="606"/>
      <c r="P103" s="606"/>
      <c r="Q103" s="606"/>
      <c r="R103" s="606"/>
      <c r="S103" s="557"/>
      <c r="T103" s="557"/>
      <c r="U103" s="557"/>
      <c r="V103" s="557"/>
      <c r="W103" s="557"/>
      <c r="X103" s="557"/>
      <c r="Y103" s="558"/>
      <c r="AA103" s="600"/>
      <c r="AB103" s="600"/>
      <c r="AC103" s="600"/>
      <c r="AD103" s="600"/>
    </row>
    <row r="104" spans="5:31" x14ac:dyDescent="0.45">
      <c r="E104" s="604"/>
      <c r="F104" s="605"/>
      <c r="G104" s="557"/>
      <c r="H104" s="557"/>
      <c r="I104" s="557"/>
      <c r="J104" s="557"/>
      <c r="K104" s="150"/>
      <c r="L104" s="606"/>
      <c r="M104" s="606"/>
      <c r="N104" s="606"/>
      <c r="O104" s="606"/>
      <c r="P104" s="606"/>
      <c r="Q104" s="606"/>
      <c r="R104" s="606"/>
      <c r="S104" s="557"/>
      <c r="T104" s="557"/>
      <c r="U104" s="557"/>
      <c r="V104" s="557"/>
      <c r="W104" s="557"/>
      <c r="X104" s="557"/>
      <c r="Y104" s="558"/>
      <c r="AA104" s="600"/>
      <c r="AB104" s="600"/>
      <c r="AC104" s="600"/>
      <c r="AD104" s="600"/>
    </row>
    <row r="105" spans="5:31" ht="14.65" thickBot="1" x14ac:dyDescent="0.5">
      <c r="E105" s="607"/>
      <c r="F105" s="608"/>
      <c r="G105" s="546"/>
      <c r="H105" s="546"/>
      <c r="I105" s="546"/>
      <c r="J105" s="546"/>
      <c r="K105" s="151"/>
      <c r="L105" s="609"/>
      <c r="M105" s="609"/>
      <c r="N105" s="609"/>
      <c r="O105" s="609"/>
      <c r="P105" s="609"/>
      <c r="Q105" s="609"/>
      <c r="R105" s="609"/>
      <c r="S105" s="546"/>
      <c r="T105" s="546"/>
      <c r="U105" s="546"/>
      <c r="V105" s="546"/>
      <c r="W105" s="546"/>
      <c r="X105" s="546"/>
      <c r="Y105" s="547"/>
      <c r="AA105" s="600"/>
      <c r="AB105" s="600"/>
      <c r="AC105" s="600"/>
      <c r="AD105" s="600"/>
    </row>
    <row r="106" spans="5:31" ht="14.65" thickBot="1" x14ac:dyDescent="0.5">
      <c r="E106" s="601" t="s">
        <v>351</v>
      </c>
      <c r="F106" s="602"/>
      <c r="G106" s="602"/>
      <c r="H106" s="602"/>
      <c r="I106" s="602"/>
      <c r="J106" s="602"/>
      <c r="K106" s="603">
        <f>SUM(K91:K105)</f>
        <v>0.8</v>
      </c>
      <c r="L106" s="603"/>
      <c r="M106" s="603"/>
      <c r="N106" s="603"/>
      <c r="O106" s="603"/>
      <c r="P106" s="603"/>
      <c r="Q106" s="603"/>
      <c r="R106" s="603"/>
      <c r="S106" s="141"/>
      <c r="T106" s="141"/>
      <c r="U106" s="141"/>
      <c r="V106" s="141"/>
      <c r="W106" s="141"/>
      <c r="X106" s="141"/>
      <c r="Y106" s="142"/>
    </row>
  </sheetData>
  <sheetProtection algorithmName="SHA-512" hashValue="C1qK4nypatWU2Rkyk43Ypv3JGAuI16Ue0X6zVjmH6TzJzkfJIuKISW1LMjruPJvw0nf48w5j9KFVk9yxTRDsGg==" saltValue="IkPb8m8NCjYbZ9xHX0bHmw==" spinCount="100000" sheet="1" formatCells="0" formatColumns="0" formatRows="0" insertColumns="0" insertRows="0" insertHyperlinks="0" deleteColumns="0" deleteRows="0" sort="0" autoFilter="0" pivotTables="0"/>
  <mergeCells count="423">
    <mergeCell ref="E106:J106"/>
    <mergeCell ref="K106:R106"/>
    <mergeCell ref="E105:F105"/>
    <mergeCell ref="G105:H105"/>
    <mergeCell ref="I105:J105"/>
    <mergeCell ref="L105:R105"/>
    <mergeCell ref="S105:Y105"/>
    <mergeCell ref="AA105:AD105"/>
    <mergeCell ref="E104:F104"/>
    <mergeCell ref="G104:H104"/>
    <mergeCell ref="I104:J104"/>
    <mergeCell ref="L104:R104"/>
    <mergeCell ref="S104:Y104"/>
    <mergeCell ref="AA104:AD104"/>
    <mergeCell ref="E103:F103"/>
    <mergeCell ref="G103:H103"/>
    <mergeCell ref="I103:J103"/>
    <mergeCell ref="L103:R103"/>
    <mergeCell ref="S103:Y103"/>
    <mergeCell ref="AA103:AD103"/>
    <mergeCell ref="E102:F102"/>
    <mergeCell ref="G102:H102"/>
    <mergeCell ref="I102:J102"/>
    <mergeCell ref="L102:R102"/>
    <mergeCell ref="S102:Y102"/>
    <mergeCell ref="AA102:AD102"/>
    <mergeCell ref="E101:F101"/>
    <mergeCell ref="G101:H101"/>
    <mergeCell ref="I101:J101"/>
    <mergeCell ref="L101:R101"/>
    <mergeCell ref="S101:Y101"/>
    <mergeCell ref="AA101:AD101"/>
    <mergeCell ref="E100:F100"/>
    <mergeCell ref="G100:H100"/>
    <mergeCell ref="I100:J100"/>
    <mergeCell ref="L100:R100"/>
    <mergeCell ref="S100:Y100"/>
    <mergeCell ref="AA100:AD100"/>
    <mergeCell ref="E99:F99"/>
    <mergeCell ref="G99:H99"/>
    <mergeCell ref="I99:J99"/>
    <mergeCell ref="L99:R99"/>
    <mergeCell ref="S99:Y99"/>
    <mergeCell ref="AA99:AD99"/>
    <mergeCell ref="E98:F98"/>
    <mergeCell ref="G98:H98"/>
    <mergeCell ref="I98:J98"/>
    <mergeCell ref="L98:R98"/>
    <mergeCell ref="S98:Y98"/>
    <mergeCell ref="AA98:AD98"/>
    <mergeCell ref="E97:F97"/>
    <mergeCell ref="G97:H97"/>
    <mergeCell ref="I97:J97"/>
    <mergeCell ref="L97:R97"/>
    <mergeCell ref="S97:Y97"/>
    <mergeCell ref="AA97:AD97"/>
    <mergeCell ref="E96:F96"/>
    <mergeCell ref="G96:H96"/>
    <mergeCell ref="I96:J96"/>
    <mergeCell ref="L96:R96"/>
    <mergeCell ref="S96:Y96"/>
    <mergeCell ref="AA96:AD96"/>
    <mergeCell ref="E95:F95"/>
    <mergeCell ref="G95:H95"/>
    <mergeCell ref="I95:J95"/>
    <mergeCell ref="L95:R95"/>
    <mergeCell ref="S95:Y95"/>
    <mergeCell ref="AA95:AD95"/>
    <mergeCell ref="E94:F94"/>
    <mergeCell ref="G94:H94"/>
    <mergeCell ref="I94:J94"/>
    <mergeCell ref="L94:R94"/>
    <mergeCell ref="S94:Y94"/>
    <mergeCell ref="AA94:AD94"/>
    <mergeCell ref="E93:F93"/>
    <mergeCell ref="G93:H93"/>
    <mergeCell ref="I93:J93"/>
    <mergeCell ref="L93:R93"/>
    <mergeCell ref="S93:Y93"/>
    <mergeCell ref="AA93:AD93"/>
    <mergeCell ref="E92:F92"/>
    <mergeCell ref="G92:H92"/>
    <mergeCell ref="I92:J92"/>
    <mergeCell ref="L92:R92"/>
    <mergeCell ref="S92:Y92"/>
    <mergeCell ref="AA92:AD92"/>
    <mergeCell ref="AE90:AE91"/>
    <mergeCell ref="E91:F91"/>
    <mergeCell ref="G91:H91"/>
    <mergeCell ref="I91:J91"/>
    <mergeCell ref="L91:R91"/>
    <mergeCell ref="S91:Y91"/>
    <mergeCell ref="E83:M83"/>
    <mergeCell ref="E86:M87"/>
    <mergeCell ref="E89:Y89"/>
    <mergeCell ref="AA89:AE89"/>
    <mergeCell ref="E90:F90"/>
    <mergeCell ref="G90:H90"/>
    <mergeCell ref="I90:J90"/>
    <mergeCell ref="L90:R90"/>
    <mergeCell ref="S90:Y90"/>
    <mergeCell ref="AA90:AD91"/>
    <mergeCell ref="E81:F81"/>
    <mergeCell ref="G81:J81"/>
    <mergeCell ref="K81:M81"/>
    <mergeCell ref="E82:F82"/>
    <mergeCell ref="G82:J82"/>
    <mergeCell ref="K82:M82"/>
    <mergeCell ref="E79:F79"/>
    <mergeCell ref="G79:J79"/>
    <mergeCell ref="K79:M79"/>
    <mergeCell ref="E80:F80"/>
    <mergeCell ref="G80:J80"/>
    <mergeCell ref="K80:M80"/>
    <mergeCell ref="E77:F77"/>
    <mergeCell ref="G77:J77"/>
    <mergeCell ref="K77:M77"/>
    <mergeCell ref="E78:F78"/>
    <mergeCell ref="G78:J78"/>
    <mergeCell ref="K78:M78"/>
    <mergeCell ref="E75:F75"/>
    <mergeCell ref="G75:J75"/>
    <mergeCell ref="K75:M75"/>
    <mergeCell ref="E76:F76"/>
    <mergeCell ref="G76:J76"/>
    <mergeCell ref="K76:M76"/>
    <mergeCell ref="E73:F73"/>
    <mergeCell ref="G73:J73"/>
    <mergeCell ref="K73:M73"/>
    <mergeCell ref="E74:F74"/>
    <mergeCell ref="G74:J74"/>
    <mergeCell ref="K74:M74"/>
    <mergeCell ref="E71:F71"/>
    <mergeCell ref="G71:J71"/>
    <mergeCell ref="K71:M71"/>
    <mergeCell ref="E72:F72"/>
    <mergeCell ref="G72:J72"/>
    <mergeCell ref="K72:M72"/>
    <mergeCell ref="E69:F69"/>
    <mergeCell ref="G69:J69"/>
    <mergeCell ref="K69:M69"/>
    <mergeCell ref="E70:F70"/>
    <mergeCell ref="G70:J70"/>
    <mergeCell ref="K70:M70"/>
    <mergeCell ref="E67:F67"/>
    <mergeCell ref="G67:J67"/>
    <mergeCell ref="K67:M67"/>
    <mergeCell ref="E68:F68"/>
    <mergeCell ref="G68:J68"/>
    <mergeCell ref="K68:M68"/>
    <mergeCell ref="E65:F65"/>
    <mergeCell ref="G65:J65"/>
    <mergeCell ref="K65:M65"/>
    <mergeCell ref="E66:F66"/>
    <mergeCell ref="G66:J66"/>
    <mergeCell ref="K66:M66"/>
    <mergeCell ref="E63:F63"/>
    <mergeCell ref="G63:J63"/>
    <mergeCell ref="K63:M63"/>
    <mergeCell ref="E64:F64"/>
    <mergeCell ref="G64:J64"/>
    <mergeCell ref="K64:M64"/>
    <mergeCell ref="E61:F61"/>
    <mergeCell ref="G61:J61"/>
    <mergeCell ref="K61:M61"/>
    <mergeCell ref="E62:F62"/>
    <mergeCell ref="G62:J62"/>
    <mergeCell ref="K62:M62"/>
    <mergeCell ref="E59:F59"/>
    <mergeCell ref="G59:J59"/>
    <mergeCell ref="K59:M59"/>
    <mergeCell ref="E60:F60"/>
    <mergeCell ref="G60:J60"/>
    <mergeCell ref="K60:M60"/>
    <mergeCell ref="X57:Y57"/>
    <mergeCell ref="Z57:AE57"/>
    <mergeCell ref="AF57:AK57"/>
    <mergeCell ref="E58:F58"/>
    <mergeCell ref="G58:J58"/>
    <mergeCell ref="K58:M58"/>
    <mergeCell ref="E57:F57"/>
    <mergeCell ref="G57:J57"/>
    <mergeCell ref="K57:M57"/>
    <mergeCell ref="P57:S57"/>
    <mergeCell ref="T57:U57"/>
    <mergeCell ref="V57:W57"/>
    <mergeCell ref="Z55:AE55"/>
    <mergeCell ref="AF55:AK55"/>
    <mergeCell ref="E56:F56"/>
    <mergeCell ref="G56:J56"/>
    <mergeCell ref="K56:M56"/>
    <mergeCell ref="P56:S56"/>
    <mergeCell ref="T56:U56"/>
    <mergeCell ref="X56:Y56"/>
    <mergeCell ref="Z56:AE56"/>
    <mergeCell ref="AF56:AK56"/>
    <mergeCell ref="E55:F55"/>
    <mergeCell ref="G55:J55"/>
    <mergeCell ref="K55:M55"/>
    <mergeCell ref="P55:S55"/>
    <mergeCell ref="T55:U55"/>
    <mergeCell ref="X55:Y55"/>
    <mergeCell ref="Z53:AE53"/>
    <mergeCell ref="AF53:AK53"/>
    <mergeCell ref="E54:F54"/>
    <mergeCell ref="G54:J54"/>
    <mergeCell ref="K54:M54"/>
    <mergeCell ref="P54:S54"/>
    <mergeCell ref="T54:U54"/>
    <mergeCell ref="X54:Y54"/>
    <mergeCell ref="Z54:AE54"/>
    <mergeCell ref="AF54:AK54"/>
    <mergeCell ref="E53:F53"/>
    <mergeCell ref="G53:J53"/>
    <mergeCell ref="K53:M53"/>
    <mergeCell ref="P53:S53"/>
    <mergeCell ref="T53:U53"/>
    <mergeCell ref="X53:Y53"/>
    <mergeCell ref="Z51:AE51"/>
    <mergeCell ref="AF51:AK51"/>
    <mergeCell ref="E52:F52"/>
    <mergeCell ref="G52:J52"/>
    <mergeCell ref="K52:M52"/>
    <mergeCell ref="P52:S52"/>
    <mergeCell ref="T52:U52"/>
    <mergeCell ref="X52:Y52"/>
    <mergeCell ref="Z52:AE52"/>
    <mergeCell ref="AF52:AK52"/>
    <mergeCell ref="E51:F51"/>
    <mergeCell ref="G51:J51"/>
    <mergeCell ref="K51:M51"/>
    <mergeCell ref="P51:S51"/>
    <mergeCell ref="T51:U51"/>
    <mergeCell ref="X51:Y51"/>
    <mergeCell ref="Z49:AE49"/>
    <mergeCell ref="AF49:AK49"/>
    <mergeCell ref="E50:F50"/>
    <mergeCell ref="G50:J50"/>
    <mergeCell ref="K50:M50"/>
    <mergeCell ref="P50:S50"/>
    <mergeCell ref="T50:U50"/>
    <mergeCell ref="X50:Y50"/>
    <mergeCell ref="Z50:AE50"/>
    <mergeCell ref="AF50:AK50"/>
    <mergeCell ref="E49:F49"/>
    <mergeCell ref="G49:J49"/>
    <mergeCell ref="K49:M49"/>
    <mergeCell ref="P49:S49"/>
    <mergeCell ref="T49:U49"/>
    <mergeCell ref="X49:Y49"/>
    <mergeCell ref="Z47:AE47"/>
    <mergeCell ref="AF47:AK47"/>
    <mergeCell ref="E48:F48"/>
    <mergeCell ref="G48:J48"/>
    <mergeCell ref="K48:M48"/>
    <mergeCell ref="P48:S48"/>
    <mergeCell ref="T48:U48"/>
    <mergeCell ref="X48:Y48"/>
    <mergeCell ref="Z48:AE48"/>
    <mergeCell ref="AF48:AK48"/>
    <mergeCell ref="E47:F47"/>
    <mergeCell ref="G47:J47"/>
    <mergeCell ref="K47:M47"/>
    <mergeCell ref="P47:S47"/>
    <mergeCell ref="T47:U47"/>
    <mergeCell ref="X47:Y47"/>
    <mergeCell ref="Z45:AE45"/>
    <mergeCell ref="AF45:AK45"/>
    <mergeCell ref="E46:F46"/>
    <mergeCell ref="G46:J46"/>
    <mergeCell ref="K46:M46"/>
    <mergeCell ref="P46:S46"/>
    <mergeCell ref="T46:U46"/>
    <mergeCell ref="X46:Y46"/>
    <mergeCell ref="Z46:AE46"/>
    <mergeCell ref="AF46:AK46"/>
    <mergeCell ref="E45:F45"/>
    <mergeCell ref="G45:J45"/>
    <mergeCell ref="K45:M45"/>
    <mergeCell ref="P45:S45"/>
    <mergeCell ref="T45:U45"/>
    <mergeCell ref="X45:Y45"/>
    <mergeCell ref="E44:F44"/>
    <mergeCell ref="G44:J44"/>
    <mergeCell ref="K44:M44"/>
    <mergeCell ref="P44:S44"/>
    <mergeCell ref="T44:U44"/>
    <mergeCell ref="X44:Y44"/>
    <mergeCell ref="Z44:AE44"/>
    <mergeCell ref="AF44:AK44"/>
    <mergeCell ref="E43:F43"/>
    <mergeCell ref="G43:J43"/>
    <mergeCell ref="K43:M43"/>
    <mergeCell ref="P43:S43"/>
    <mergeCell ref="T43:U43"/>
    <mergeCell ref="X43:Y43"/>
    <mergeCell ref="E42:F42"/>
    <mergeCell ref="G42:J42"/>
    <mergeCell ref="K42:M42"/>
    <mergeCell ref="P42:S42"/>
    <mergeCell ref="T42:U42"/>
    <mergeCell ref="X42:Y42"/>
    <mergeCell ref="Z42:AE42"/>
    <mergeCell ref="AF42:AK42"/>
    <mergeCell ref="Z43:AE43"/>
    <mergeCell ref="AF43:AK43"/>
    <mergeCell ref="AF37:AK37"/>
    <mergeCell ref="E40:N40"/>
    <mergeCell ref="P40:AK40"/>
    <mergeCell ref="E41:F41"/>
    <mergeCell ref="G41:J41"/>
    <mergeCell ref="K41:M41"/>
    <mergeCell ref="P41:S41"/>
    <mergeCell ref="T41:U41"/>
    <mergeCell ref="V41:W41"/>
    <mergeCell ref="X41:Y41"/>
    <mergeCell ref="E37:M37"/>
    <mergeCell ref="P37:S37"/>
    <mergeCell ref="T37:U37"/>
    <mergeCell ref="V37:W37"/>
    <mergeCell ref="X37:Y37"/>
    <mergeCell ref="Z37:AE37"/>
    <mergeCell ref="Z41:AE41"/>
    <mergeCell ref="AF41:AK41"/>
    <mergeCell ref="Z35:AE35"/>
    <mergeCell ref="AF35:AK35"/>
    <mergeCell ref="E36:F36"/>
    <mergeCell ref="G36:J36"/>
    <mergeCell ref="K36:M36"/>
    <mergeCell ref="P36:S36"/>
    <mergeCell ref="T36:U36"/>
    <mergeCell ref="X36:Y36"/>
    <mergeCell ref="Z36:AE36"/>
    <mergeCell ref="AF36:AK36"/>
    <mergeCell ref="E35:F35"/>
    <mergeCell ref="G35:J35"/>
    <mergeCell ref="K35:M35"/>
    <mergeCell ref="P35:S35"/>
    <mergeCell ref="T35:U35"/>
    <mergeCell ref="X35:Y35"/>
    <mergeCell ref="Z33:AE33"/>
    <mergeCell ref="AF33:AK33"/>
    <mergeCell ref="E34:F34"/>
    <mergeCell ref="G34:J34"/>
    <mergeCell ref="K34:M34"/>
    <mergeCell ref="P34:S34"/>
    <mergeCell ref="T34:U34"/>
    <mergeCell ref="X34:Y34"/>
    <mergeCell ref="Z34:AE34"/>
    <mergeCell ref="AF34:AK34"/>
    <mergeCell ref="E33:F33"/>
    <mergeCell ref="G33:J33"/>
    <mergeCell ref="K33:M33"/>
    <mergeCell ref="P33:S33"/>
    <mergeCell ref="T33:U33"/>
    <mergeCell ref="X33:Y33"/>
    <mergeCell ref="Z31:AE31"/>
    <mergeCell ref="AF31:AK31"/>
    <mergeCell ref="E32:F32"/>
    <mergeCell ref="G32:J32"/>
    <mergeCell ref="K32:M32"/>
    <mergeCell ref="P32:S32"/>
    <mergeCell ref="T32:U32"/>
    <mergeCell ref="X32:Y32"/>
    <mergeCell ref="Z32:AE32"/>
    <mergeCell ref="AF32:AK32"/>
    <mergeCell ref="E31:F31"/>
    <mergeCell ref="G31:J31"/>
    <mergeCell ref="K31:M31"/>
    <mergeCell ref="P31:S31"/>
    <mergeCell ref="T31:U31"/>
    <mergeCell ref="X31:Y31"/>
    <mergeCell ref="Z29:AE29"/>
    <mergeCell ref="AF29:AK29"/>
    <mergeCell ref="E30:F30"/>
    <mergeCell ref="G30:J30"/>
    <mergeCell ref="K30:M30"/>
    <mergeCell ref="P30:S30"/>
    <mergeCell ref="T30:U30"/>
    <mergeCell ref="X30:Y30"/>
    <mergeCell ref="Z30:AE30"/>
    <mergeCell ref="AF30:AK30"/>
    <mergeCell ref="E29:F29"/>
    <mergeCell ref="G29:J29"/>
    <mergeCell ref="K29:M29"/>
    <mergeCell ref="P29:S29"/>
    <mergeCell ref="T29:U29"/>
    <mergeCell ref="X29:Y29"/>
    <mergeCell ref="E27:F27"/>
    <mergeCell ref="G27:J27"/>
    <mergeCell ref="K27:M27"/>
    <mergeCell ref="P27:S27"/>
    <mergeCell ref="T27:U27"/>
    <mergeCell ref="X27:Y27"/>
    <mergeCell ref="Z27:AE27"/>
    <mergeCell ref="AF27:AK27"/>
    <mergeCell ref="E28:F28"/>
    <mergeCell ref="G28:J28"/>
    <mergeCell ref="K28:M28"/>
    <mergeCell ref="P28:S28"/>
    <mergeCell ref="T28:U28"/>
    <mergeCell ref="X28:Y28"/>
    <mergeCell ref="Z28:AE28"/>
    <mergeCell ref="AF28:AK28"/>
    <mergeCell ref="P25:AK25"/>
    <mergeCell ref="E26:F26"/>
    <mergeCell ref="G26:J26"/>
    <mergeCell ref="K26:M26"/>
    <mergeCell ref="P26:S26"/>
    <mergeCell ref="T26:U26"/>
    <mergeCell ref="V26:W26"/>
    <mergeCell ref="X26:Y26"/>
    <mergeCell ref="Z26:AE26"/>
    <mergeCell ref="AF26:AK26"/>
    <mergeCell ref="E1:K3"/>
    <mergeCell ref="E6:M7"/>
    <mergeCell ref="E9:H12"/>
    <mergeCell ref="I9:I12"/>
    <mergeCell ref="E14:H17"/>
    <mergeCell ref="I14:I17"/>
    <mergeCell ref="E19:H22"/>
    <mergeCell ref="I19:I22"/>
    <mergeCell ref="E25:N25"/>
  </mergeCells>
  <conditionalFormatting sqref="X27:Y36">
    <cfRule type="cellIs" dxfId="8" priority="2" operator="lessThan">
      <formula>0</formula>
    </cfRule>
  </conditionalFormatting>
  <conditionalFormatting sqref="X42:Y56">
    <cfRule type="cellIs" dxfId="7" priority="3" operator="lessThan">
      <formula>0</formula>
    </cfRule>
  </conditionalFormatting>
  <conditionalFormatting sqref="AE92:AE101">
    <cfRule type="dataBar" priority="1">
      <dataBar>
        <cfvo type="min"/>
        <cfvo type="max"/>
        <color theme="6" tint="0.39997558519241921"/>
      </dataBar>
      <extLst>
        <ext xmlns:x14="http://schemas.microsoft.com/office/spreadsheetml/2009/9/main" uri="{B025F937-C7B1-47D3-B67F-A62EFF666E3E}">
          <x14:id>{6C16B6C2-AD7B-4AAC-8AC6-07A0339DA6A0}</x14:id>
        </ext>
      </extLst>
    </cfRule>
  </conditionalFormatting>
  <dataValidations count="1">
    <dataValidation allowBlank="1" showInputMessage="1" showErrorMessage="1" prompt="Nhập dữ liệu" sqref="E60:F82 E95:F105 K60:M82 K27:N36 I91:Y105 N42:N82" xr:uid="{00000000-0002-0000-0E00-000000000000}"/>
  </dataValidations>
  <hyperlinks>
    <hyperlink ref="F4" location="'T9'!E7" display="Phần 1" xr:uid="{00000000-0004-0000-0E00-000000000000}"/>
    <hyperlink ref="G4" location="'T9'!E87" display="Phần 2" xr:uid="{00000000-0004-0000-0E00-000001000000}"/>
    <hyperlink ref="H4" location="'T9'!E109" display="Phần 3" xr:uid="{00000000-0004-0000-0E00-000002000000}"/>
  </hyperlinks>
  <pageMargins left="0.7" right="0.7" top="0.75" bottom="0.75" header="0.3" footer="0.3"/>
  <pageSetup scale="31" orientation="portrait" r:id="rId1"/>
  <drawing r:id="rId2"/>
  <extLst>
    <ext xmlns:x14="http://schemas.microsoft.com/office/spreadsheetml/2009/9/main" uri="{78C0D931-6437-407d-A8EE-F0AAD7539E65}">
      <x14:conditionalFormattings>
        <x14:conditionalFormatting xmlns:xm="http://schemas.microsoft.com/office/excel/2006/main">
          <x14:cfRule type="dataBar" id="{6C16B6C2-AD7B-4AAC-8AC6-07A0339DA6A0}">
            <x14:dataBar minLength="0" maxLength="100" gradient="0">
              <x14:cfvo type="autoMin"/>
              <x14:cfvo type="autoMax"/>
              <x14:negativeFillColor rgb="FFFF0000"/>
              <x14:axisColor rgb="FF000000"/>
            </x14:dataBar>
          </x14:cfRule>
          <xm:sqref>AE92:AE101</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prompt="Chọn dữ liệu" xr:uid="{00000000-0002-0000-0E00-000001000000}">
          <x14:formula1>
            <xm:f>'Từ khóa'!$M$12:$M$19</xm:f>
          </x14:formula1>
          <xm:sqref>G27:J36</xm:sqref>
        </x14:dataValidation>
        <x14:dataValidation type="list" allowBlank="1" showInputMessage="1" showErrorMessage="1" prompt="Chọn dữ liệu" xr:uid="{00000000-0002-0000-0E00-000002000000}">
          <x14:formula1>
            <xm:f>'Từ khóa'!$F$12:$F$26</xm:f>
          </x14:formula1>
          <xm:sqref>G42:J82</xm:sqref>
        </x14:dataValidation>
        <x14:dataValidation type="list" allowBlank="1" showInputMessage="1" showErrorMessage="1" prompt="Chọn dữ liệu" xr:uid="{00000000-0002-0000-0E00-000003000000}">
          <x14:formula1>
            <xm:f>'Từ khóa'!$S$12:$S$21</xm:f>
          </x14:formula1>
          <xm:sqref>G91:H105</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K106"/>
  <sheetViews>
    <sheetView showGridLines="0" zoomScale="80" zoomScaleNormal="80" workbookViewId="0">
      <pane xSplit="4" ySplit="4" topLeftCell="E78" activePane="bottomRight" state="frozen"/>
      <selection pane="topRight" activeCell="E1" sqref="E1"/>
      <selection pane="bottomLeft" activeCell="A5" sqref="A5"/>
      <selection pane="bottomRight" activeCell="S91" sqref="S91:Y95"/>
    </sheetView>
  </sheetViews>
  <sheetFormatPr defaultColWidth="9.19921875" defaultRowHeight="14.25" x14ac:dyDescent="0.45"/>
  <cols>
    <col min="1" max="3" width="9.19921875" style="1"/>
    <col min="4" max="5" width="9.19921875" style="4"/>
    <col min="6" max="9" width="13.19921875" style="4" customWidth="1"/>
    <col min="10" max="14" width="9.19921875" style="4"/>
    <col min="15" max="15" width="13.19921875" style="4" customWidth="1"/>
    <col min="16" max="16384" width="9.19921875" style="4"/>
  </cols>
  <sheetData>
    <row r="1" spans="1:27" s="2" customFormat="1" ht="15" customHeight="1" x14ac:dyDescent="0.45">
      <c r="A1" s="1"/>
      <c r="B1" s="1"/>
      <c r="C1" s="1"/>
      <c r="E1" s="353" t="s">
        <v>336</v>
      </c>
      <c r="F1" s="353"/>
      <c r="G1" s="353"/>
      <c r="H1" s="353"/>
      <c r="I1" s="353"/>
      <c r="J1" s="353"/>
      <c r="K1" s="353"/>
    </row>
    <row r="2" spans="1:27" s="2" customFormat="1" ht="15" customHeight="1" x14ac:dyDescent="0.45">
      <c r="A2" s="1"/>
      <c r="B2" s="1"/>
      <c r="C2" s="1"/>
      <c r="E2" s="353"/>
      <c r="F2" s="353"/>
      <c r="G2" s="353"/>
      <c r="H2" s="353"/>
      <c r="I2" s="353"/>
      <c r="J2" s="353"/>
      <c r="K2" s="353"/>
    </row>
    <row r="3" spans="1:27" s="2" customFormat="1" ht="14.65" thickBot="1" x14ac:dyDescent="0.5">
      <c r="A3" s="1"/>
      <c r="B3" s="1"/>
      <c r="C3" s="1"/>
      <c r="E3" s="353"/>
      <c r="F3" s="353"/>
      <c r="G3" s="353"/>
      <c r="H3" s="353"/>
      <c r="I3" s="353"/>
      <c r="J3" s="353"/>
      <c r="K3" s="353"/>
      <c r="L3" s="3" t="s">
        <v>45</v>
      </c>
    </row>
    <row r="4" spans="1:27" ht="14.65" thickBot="1" x14ac:dyDescent="0.5">
      <c r="F4" s="154" t="s">
        <v>132</v>
      </c>
      <c r="G4" s="154" t="s">
        <v>133</v>
      </c>
      <c r="H4" s="154" t="s">
        <v>134</v>
      </c>
    </row>
    <row r="5" spans="1:27" ht="15" customHeight="1" x14ac:dyDescent="0.45">
      <c r="F5" s="6"/>
      <c r="G5" s="6"/>
      <c r="H5" s="6"/>
      <c r="I5" s="6"/>
      <c r="J5" s="6"/>
      <c r="K5" s="6"/>
      <c r="L5" s="6"/>
      <c r="M5" s="6"/>
      <c r="N5" s="6"/>
      <c r="O5" s="6"/>
      <c r="P5" s="6"/>
      <c r="Q5" s="6"/>
      <c r="R5" s="6"/>
      <c r="S5" s="6"/>
      <c r="T5" s="6"/>
      <c r="U5" s="6"/>
      <c r="V5" s="6"/>
      <c r="W5" s="6"/>
      <c r="X5" s="6"/>
      <c r="Y5" s="6"/>
      <c r="Z5" s="6"/>
      <c r="AA5" s="6"/>
    </row>
    <row r="6" spans="1:27" ht="15" customHeight="1" x14ac:dyDescent="0.45">
      <c r="E6" s="532" t="s">
        <v>135</v>
      </c>
      <c r="F6" s="532"/>
      <c r="G6" s="532"/>
      <c r="H6" s="532"/>
      <c r="I6" s="532"/>
      <c r="J6" s="532"/>
      <c r="K6" s="532"/>
      <c r="L6" s="532"/>
      <c r="M6" s="532"/>
      <c r="N6" s="5"/>
      <c r="O6" s="5"/>
      <c r="P6" s="5"/>
      <c r="Q6" s="5"/>
      <c r="R6" s="5"/>
      <c r="S6" s="6"/>
      <c r="T6" s="6"/>
      <c r="U6" s="6"/>
      <c r="V6" s="6"/>
      <c r="W6" s="6"/>
      <c r="X6" s="6"/>
      <c r="Y6" s="6"/>
      <c r="Z6" s="6"/>
      <c r="AA6" s="6"/>
    </row>
    <row r="7" spans="1:27" s="8" customFormat="1" ht="15" customHeight="1" thickBot="1" x14ac:dyDescent="0.5">
      <c r="A7" s="7"/>
      <c r="B7" s="7"/>
      <c r="C7" s="7"/>
      <c r="E7" s="533"/>
      <c r="F7" s="533"/>
      <c r="G7" s="533"/>
      <c r="H7" s="533"/>
      <c r="I7" s="533"/>
      <c r="J7" s="533"/>
      <c r="K7" s="533"/>
      <c r="L7" s="533"/>
      <c r="M7" s="533"/>
      <c r="N7" s="9"/>
      <c r="O7" s="9"/>
      <c r="P7" s="9"/>
      <c r="Q7" s="9"/>
      <c r="R7" s="9"/>
      <c r="S7" s="10"/>
      <c r="T7" s="10"/>
      <c r="U7" s="10"/>
      <c r="V7" s="10"/>
      <c r="W7" s="10"/>
      <c r="X7" s="10"/>
      <c r="Y7" s="10"/>
      <c r="Z7" s="10"/>
      <c r="AA7" s="10"/>
    </row>
    <row r="8" spans="1:27" ht="15" customHeight="1" x14ac:dyDescent="0.45">
      <c r="E8" s="6"/>
      <c r="F8" s="6"/>
      <c r="G8" s="6"/>
      <c r="H8" s="6"/>
      <c r="I8" s="6"/>
      <c r="J8" s="6"/>
      <c r="K8" s="6"/>
      <c r="L8" s="6"/>
      <c r="M8" s="6"/>
      <c r="N8" s="6"/>
      <c r="O8" s="6"/>
      <c r="P8" s="6"/>
      <c r="Q8" s="6"/>
      <c r="R8" s="6"/>
      <c r="S8" s="6"/>
      <c r="T8" s="6"/>
      <c r="U8" s="6"/>
      <c r="V8" s="6"/>
      <c r="W8" s="6"/>
      <c r="X8" s="6"/>
      <c r="Y8" s="6"/>
      <c r="Z8" s="6"/>
      <c r="AA8" s="6"/>
    </row>
    <row r="9" spans="1:27" ht="15" customHeight="1" x14ac:dyDescent="0.45">
      <c r="E9" s="632" t="s">
        <v>124</v>
      </c>
      <c r="F9" s="632"/>
      <c r="G9" s="632"/>
      <c r="H9" s="632"/>
      <c r="I9" s="708">
        <f>N37</f>
        <v>28</v>
      </c>
    </row>
    <row r="10" spans="1:27" ht="15" customHeight="1" x14ac:dyDescent="0.45">
      <c r="E10" s="632"/>
      <c r="F10" s="632"/>
      <c r="G10" s="632"/>
      <c r="H10" s="632"/>
      <c r="I10" s="708"/>
    </row>
    <row r="11" spans="1:27" ht="15" customHeight="1" x14ac:dyDescent="0.45">
      <c r="E11" s="632"/>
      <c r="F11" s="632"/>
      <c r="G11" s="632"/>
      <c r="H11" s="632"/>
      <c r="I11" s="708"/>
    </row>
    <row r="12" spans="1:27" ht="15" customHeight="1" x14ac:dyDescent="0.45">
      <c r="E12" s="632"/>
      <c r="F12" s="632"/>
      <c r="G12" s="632"/>
      <c r="H12" s="632"/>
      <c r="I12" s="708"/>
    </row>
    <row r="13" spans="1:27" x14ac:dyDescent="0.45">
      <c r="E13" s="89"/>
      <c r="F13" s="89"/>
      <c r="G13" s="89"/>
      <c r="I13" s="89"/>
    </row>
    <row r="14" spans="1:27" ht="15" customHeight="1" x14ac:dyDescent="0.45">
      <c r="E14" s="633" t="s">
        <v>136</v>
      </c>
      <c r="F14" s="633"/>
      <c r="G14" s="633"/>
      <c r="H14" s="633"/>
      <c r="I14" s="708">
        <f>N83</f>
        <v>17.95</v>
      </c>
    </row>
    <row r="15" spans="1:27" ht="15" customHeight="1" x14ac:dyDescent="0.45">
      <c r="E15" s="633"/>
      <c r="F15" s="633"/>
      <c r="G15" s="633"/>
      <c r="H15" s="633"/>
      <c r="I15" s="708"/>
    </row>
    <row r="16" spans="1:27" ht="15" customHeight="1" x14ac:dyDescent="0.45">
      <c r="E16" s="633"/>
      <c r="F16" s="633"/>
      <c r="G16" s="633"/>
      <c r="H16" s="633"/>
      <c r="I16" s="708"/>
    </row>
    <row r="17" spans="5:37" ht="15" customHeight="1" x14ac:dyDescent="0.45">
      <c r="E17" s="633"/>
      <c r="F17" s="633"/>
      <c r="G17" s="633"/>
      <c r="H17" s="633"/>
      <c r="I17" s="708"/>
    </row>
    <row r="18" spans="5:37" x14ac:dyDescent="0.45">
      <c r="E18" s="89"/>
      <c r="F18" s="89"/>
      <c r="G18" s="89"/>
      <c r="I18" s="89"/>
    </row>
    <row r="19" spans="5:37" ht="15" customHeight="1" x14ac:dyDescent="0.45">
      <c r="E19" s="634" t="s">
        <v>96</v>
      </c>
      <c r="F19" s="634"/>
      <c r="G19" s="634"/>
      <c r="H19" s="634"/>
      <c r="I19" s="708">
        <f>I9-I14</f>
        <v>10.050000000000001</v>
      </c>
    </row>
    <row r="20" spans="5:37" ht="15" customHeight="1" x14ac:dyDescent="0.45">
      <c r="E20" s="634"/>
      <c r="F20" s="634"/>
      <c r="G20" s="634"/>
      <c r="H20" s="634"/>
      <c r="I20" s="708"/>
    </row>
    <row r="21" spans="5:37" ht="15" customHeight="1" x14ac:dyDescent="0.45">
      <c r="E21" s="634"/>
      <c r="F21" s="634"/>
      <c r="G21" s="634"/>
      <c r="H21" s="634"/>
      <c r="I21" s="708"/>
    </row>
    <row r="22" spans="5:37" ht="15" customHeight="1" x14ac:dyDescent="0.45">
      <c r="E22" s="634"/>
      <c r="F22" s="634"/>
      <c r="G22" s="634"/>
      <c r="H22" s="634"/>
      <c r="I22" s="708"/>
    </row>
    <row r="24" spans="5:37" ht="14.65" thickBot="1" x14ac:dyDescent="0.5">
      <c r="E24" s="6"/>
      <c r="F24" s="6"/>
      <c r="G24" s="6"/>
      <c r="H24" s="6"/>
    </row>
    <row r="25" spans="5:37" ht="15.75" customHeight="1" thickBot="1" x14ac:dyDescent="0.6">
      <c r="E25" s="626" t="s">
        <v>143</v>
      </c>
      <c r="F25" s="627"/>
      <c r="G25" s="627"/>
      <c r="H25" s="627"/>
      <c r="I25" s="627"/>
      <c r="J25" s="627"/>
      <c r="K25" s="627"/>
      <c r="L25" s="627"/>
      <c r="M25" s="627"/>
      <c r="N25" s="628"/>
      <c r="P25" s="626" t="s">
        <v>144</v>
      </c>
      <c r="Q25" s="627"/>
      <c r="R25" s="627"/>
      <c r="S25" s="627"/>
      <c r="T25" s="627"/>
      <c r="U25" s="627"/>
      <c r="V25" s="627"/>
      <c r="W25" s="627"/>
      <c r="X25" s="627"/>
      <c r="Y25" s="627"/>
      <c r="Z25" s="627"/>
      <c r="AA25" s="627"/>
      <c r="AB25" s="627"/>
      <c r="AC25" s="627"/>
      <c r="AD25" s="627"/>
      <c r="AE25" s="627"/>
      <c r="AF25" s="627"/>
      <c r="AG25" s="627"/>
      <c r="AH25" s="627"/>
      <c r="AI25" s="627"/>
      <c r="AJ25" s="627"/>
      <c r="AK25" s="628"/>
    </row>
    <row r="26" spans="5:37" ht="15" customHeight="1" x14ac:dyDescent="0.45">
      <c r="E26" s="644" t="s">
        <v>146</v>
      </c>
      <c r="F26" s="645"/>
      <c r="G26" s="647" t="s">
        <v>346</v>
      </c>
      <c r="H26" s="647"/>
      <c r="I26" s="647"/>
      <c r="J26" s="647"/>
      <c r="K26" s="647" t="s">
        <v>345</v>
      </c>
      <c r="L26" s="647"/>
      <c r="M26" s="647"/>
      <c r="N26" s="134" t="s">
        <v>148</v>
      </c>
      <c r="P26" s="706" t="s">
        <v>147</v>
      </c>
      <c r="Q26" s="707"/>
      <c r="R26" s="707"/>
      <c r="S26" s="707"/>
      <c r="T26" s="707" t="s">
        <v>149</v>
      </c>
      <c r="U26" s="707"/>
      <c r="V26" s="707" t="s">
        <v>150</v>
      </c>
      <c r="W26" s="707"/>
      <c r="X26" s="707" t="s">
        <v>151</v>
      </c>
      <c r="Y26" s="707"/>
      <c r="Z26" s="652" t="s">
        <v>152</v>
      </c>
      <c r="AA26" s="652"/>
      <c r="AB26" s="652"/>
      <c r="AC26" s="652"/>
      <c r="AD26" s="652"/>
      <c r="AE26" s="652"/>
      <c r="AF26" s="652" t="s">
        <v>153</v>
      </c>
      <c r="AG26" s="652"/>
      <c r="AH26" s="652"/>
      <c r="AI26" s="652"/>
      <c r="AJ26" s="652"/>
      <c r="AK26" s="659"/>
    </row>
    <row r="27" spans="5:37" ht="15" x14ac:dyDescent="0.45">
      <c r="E27" s="687">
        <v>44849</v>
      </c>
      <c r="F27" s="688"/>
      <c r="G27" s="643" t="s">
        <v>21</v>
      </c>
      <c r="H27" s="643"/>
      <c r="I27" s="643"/>
      <c r="J27" s="643"/>
      <c r="K27" s="646"/>
      <c r="L27" s="646"/>
      <c r="M27" s="646"/>
      <c r="N27" s="135">
        <v>20</v>
      </c>
      <c r="P27" s="694" t="str">
        <f>'Từ khóa'!M12</f>
        <v>Lương từ công ty</v>
      </c>
      <c r="Q27" s="695"/>
      <c r="R27" s="695"/>
      <c r="S27" s="695"/>
      <c r="T27" s="696">
        <f>'Kế hoạch thu nhập và chi tiêu'!L11</f>
        <v>20</v>
      </c>
      <c r="U27" s="696"/>
      <c r="V27" s="152"/>
      <c r="W27" s="153">
        <f t="shared" ref="W27:W34" ca="1" si="0">SUMIF($G$27:$J$36,P27,$N$27:$N$36)</f>
        <v>20</v>
      </c>
      <c r="X27" s="696">
        <f t="shared" ref="X27:X34" ca="1" si="1">W27-T27</f>
        <v>0</v>
      </c>
      <c r="Y27" s="696"/>
      <c r="Z27" s="646"/>
      <c r="AA27" s="646"/>
      <c r="AB27" s="646"/>
      <c r="AC27" s="646"/>
      <c r="AD27" s="646"/>
      <c r="AE27" s="646"/>
      <c r="AF27" s="646"/>
      <c r="AG27" s="646"/>
      <c r="AH27" s="646"/>
      <c r="AI27" s="646"/>
      <c r="AJ27" s="646"/>
      <c r="AK27" s="658"/>
    </row>
    <row r="28" spans="5:37" ht="15" x14ac:dyDescent="0.45">
      <c r="E28" s="687">
        <v>44854</v>
      </c>
      <c r="F28" s="688">
        <v>44612</v>
      </c>
      <c r="G28" s="643" t="s">
        <v>372</v>
      </c>
      <c r="H28" s="643"/>
      <c r="I28" s="643"/>
      <c r="J28" s="643"/>
      <c r="K28" s="646"/>
      <c r="L28" s="646"/>
      <c r="M28" s="646"/>
      <c r="N28" s="135">
        <v>5</v>
      </c>
      <c r="P28" s="694" t="str">
        <f>'Từ khóa'!M13</f>
        <v>Thu nhập khác</v>
      </c>
      <c r="Q28" s="695"/>
      <c r="R28" s="695"/>
      <c r="S28" s="695"/>
      <c r="T28" s="696">
        <f>'Kế hoạch thu nhập và chi tiêu'!L12</f>
        <v>10</v>
      </c>
      <c r="U28" s="696"/>
      <c r="V28" s="152"/>
      <c r="W28" s="153">
        <f t="shared" ca="1" si="0"/>
        <v>8</v>
      </c>
      <c r="X28" s="696">
        <f t="shared" ca="1" si="1"/>
        <v>-2</v>
      </c>
      <c r="Y28" s="696"/>
      <c r="Z28" s="646"/>
      <c r="AA28" s="646"/>
      <c r="AB28" s="646"/>
      <c r="AC28" s="646"/>
      <c r="AD28" s="646"/>
      <c r="AE28" s="646"/>
      <c r="AF28" s="646"/>
      <c r="AG28" s="646"/>
      <c r="AH28" s="646"/>
      <c r="AI28" s="646"/>
      <c r="AJ28" s="646"/>
      <c r="AK28" s="658"/>
    </row>
    <row r="29" spans="5:37" ht="15" x14ac:dyDescent="0.45">
      <c r="E29" s="687">
        <v>44857</v>
      </c>
      <c r="F29" s="688">
        <v>44620</v>
      </c>
      <c r="G29" s="643" t="s">
        <v>372</v>
      </c>
      <c r="H29" s="643"/>
      <c r="I29" s="643"/>
      <c r="J29" s="643"/>
      <c r="K29" s="646"/>
      <c r="L29" s="646"/>
      <c r="M29" s="646"/>
      <c r="N29" s="135">
        <v>1</v>
      </c>
      <c r="P29" s="694">
        <f>'Từ khóa'!M14</f>
        <v>0</v>
      </c>
      <c r="Q29" s="695"/>
      <c r="R29" s="695"/>
      <c r="S29" s="695"/>
      <c r="T29" s="696">
        <f>'Kế hoạch thu nhập và chi tiêu'!L13</f>
        <v>0</v>
      </c>
      <c r="U29" s="696"/>
      <c r="V29" s="152"/>
      <c r="W29" s="153">
        <f t="shared" ca="1" si="0"/>
        <v>0</v>
      </c>
      <c r="X29" s="696">
        <f t="shared" ca="1" si="1"/>
        <v>0</v>
      </c>
      <c r="Y29" s="696"/>
      <c r="Z29" s="646"/>
      <c r="AA29" s="646"/>
      <c r="AB29" s="646"/>
      <c r="AC29" s="646"/>
      <c r="AD29" s="646"/>
      <c r="AE29" s="646"/>
      <c r="AF29" s="646"/>
      <c r="AG29" s="646"/>
      <c r="AH29" s="646"/>
      <c r="AI29" s="646"/>
      <c r="AJ29" s="646"/>
      <c r="AK29" s="658"/>
    </row>
    <row r="30" spans="5:37" ht="15" x14ac:dyDescent="0.45">
      <c r="E30" s="687">
        <v>44862</v>
      </c>
      <c r="F30" s="688">
        <v>44620</v>
      </c>
      <c r="G30" s="643" t="s">
        <v>372</v>
      </c>
      <c r="H30" s="643"/>
      <c r="I30" s="643"/>
      <c r="J30" s="643"/>
      <c r="K30" s="646"/>
      <c r="L30" s="646"/>
      <c r="M30" s="646"/>
      <c r="N30" s="135">
        <v>2</v>
      </c>
      <c r="P30" s="694">
        <f>'Từ khóa'!M15</f>
        <v>0</v>
      </c>
      <c r="Q30" s="695"/>
      <c r="R30" s="695"/>
      <c r="S30" s="695"/>
      <c r="T30" s="696">
        <f>'Kế hoạch thu nhập và chi tiêu'!L14</f>
        <v>0</v>
      </c>
      <c r="U30" s="696"/>
      <c r="V30" s="152"/>
      <c r="W30" s="153">
        <f t="shared" ca="1" si="0"/>
        <v>0</v>
      </c>
      <c r="X30" s="696">
        <f t="shared" ca="1" si="1"/>
        <v>0</v>
      </c>
      <c r="Y30" s="696"/>
      <c r="Z30" s="646"/>
      <c r="AA30" s="646"/>
      <c r="AB30" s="646"/>
      <c r="AC30" s="646"/>
      <c r="AD30" s="646"/>
      <c r="AE30" s="646"/>
      <c r="AF30" s="646"/>
      <c r="AG30" s="646"/>
      <c r="AH30" s="646"/>
      <c r="AI30" s="646"/>
      <c r="AJ30" s="646"/>
      <c r="AK30" s="658"/>
    </row>
    <row r="31" spans="5:37" ht="15" x14ac:dyDescent="0.45">
      <c r="E31" s="687"/>
      <c r="F31" s="688"/>
      <c r="G31" s="643"/>
      <c r="H31" s="643"/>
      <c r="I31" s="643"/>
      <c r="J31" s="643"/>
      <c r="K31" s="646"/>
      <c r="L31" s="646"/>
      <c r="M31" s="646"/>
      <c r="N31" s="135"/>
      <c r="P31" s="694">
        <f>'Từ khóa'!M16</f>
        <v>0</v>
      </c>
      <c r="Q31" s="695"/>
      <c r="R31" s="695"/>
      <c r="S31" s="695"/>
      <c r="T31" s="696">
        <f>'Kế hoạch thu nhập và chi tiêu'!L15</f>
        <v>0</v>
      </c>
      <c r="U31" s="696"/>
      <c r="V31" s="152"/>
      <c r="W31" s="153">
        <f t="shared" ca="1" si="0"/>
        <v>0</v>
      </c>
      <c r="X31" s="696">
        <f t="shared" ca="1" si="1"/>
        <v>0</v>
      </c>
      <c r="Y31" s="696"/>
      <c r="Z31" s="646"/>
      <c r="AA31" s="646"/>
      <c r="AB31" s="646"/>
      <c r="AC31" s="646"/>
      <c r="AD31" s="646"/>
      <c r="AE31" s="646"/>
      <c r="AF31" s="646"/>
      <c r="AG31" s="646"/>
      <c r="AH31" s="646"/>
      <c r="AI31" s="646"/>
      <c r="AJ31" s="646"/>
      <c r="AK31" s="658"/>
    </row>
    <row r="32" spans="5:37" ht="15" x14ac:dyDescent="0.45">
      <c r="E32" s="687"/>
      <c r="F32" s="688"/>
      <c r="G32" s="643"/>
      <c r="H32" s="643"/>
      <c r="I32" s="643"/>
      <c r="J32" s="643"/>
      <c r="K32" s="646"/>
      <c r="L32" s="646"/>
      <c r="M32" s="646"/>
      <c r="N32" s="135"/>
      <c r="P32" s="694">
        <f>'Từ khóa'!M17</f>
        <v>0</v>
      </c>
      <c r="Q32" s="695"/>
      <c r="R32" s="695"/>
      <c r="S32" s="695"/>
      <c r="T32" s="696">
        <f>'Kế hoạch thu nhập và chi tiêu'!L16</f>
        <v>0</v>
      </c>
      <c r="U32" s="696"/>
      <c r="V32" s="152"/>
      <c r="W32" s="153">
        <f t="shared" ca="1" si="0"/>
        <v>0</v>
      </c>
      <c r="X32" s="696">
        <f t="shared" ca="1" si="1"/>
        <v>0</v>
      </c>
      <c r="Y32" s="696"/>
      <c r="Z32" s="646"/>
      <c r="AA32" s="646"/>
      <c r="AB32" s="646"/>
      <c r="AC32" s="646"/>
      <c r="AD32" s="646"/>
      <c r="AE32" s="646"/>
      <c r="AF32" s="646"/>
      <c r="AG32" s="646"/>
      <c r="AH32" s="646"/>
      <c r="AI32" s="646"/>
      <c r="AJ32" s="646"/>
      <c r="AK32" s="658"/>
    </row>
    <row r="33" spans="5:37" ht="15" x14ac:dyDescent="0.45">
      <c r="E33" s="687"/>
      <c r="F33" s="688"/>
      <c r="G33" s="643"/>
      <c r="H33" s="643"/>
      <c r="I33" s="643"/>
      <c r="J33" s="643"/>
      <c r="K33" s="646"/>
      <c r="L33" s="646"/>
      <c r="M33" s="646"/>
      <c r="N33" s="135"/>
      <c r="P33" s="694">
        <f>'Từ khóa'!M18</f>
        <v>0</v>
      </c>
      <c r="Q33" s="695"/>
      <c r="R33" s="695"/>
      <c r="S33" s="695"/>
      <c r="T33" s="696">
        <f>'Kế hoạch thu nhập và chi tiêu'!L17</f>
        <v>0</v>
      </c>
      <c r="U33" s="696"/>
      <c r="V33" s="152"/>
      <c r="W33" s="153">
        <f t="shared" ca="1" si="0"/>
        <v>0</v>
      </c>
      <c r="X33" s="696">
        <f t="shared" ca="1" si="1"/>
        <v>0</v>
      </c>
      <c r="Y33" s="696"/>
      <c r="Z33" s="646"/>
      <c r="AA33" s="646"/>
      <c r="AB33" s="646"/>
      <c r="AC33" s="646"/>
      <c r="AD33" s="646"/>
      <c r="AE33" s="646"/>
      <c r="AF33" s="646"/>
      <c r="AG33" s="646"/>
      <c r="AH33" s="646"/>
      <c r="AI33" s="646"/>
      <c r="AJ33" s="646"/>
      <c r="AK33" s="658"/>
    </row>
    <row r="34" spans="5:37" ht="15" x14ac:dyDescent="0.45">
      <c r="E34" s="687"/>
      <c r="F34" s="688"/>
      <c r="G34" s="643"/>
      <c r="H34" s="643"/>
      <c r="I34" s="643"/>
      <c r="J34" s="643"/>
      <c r="K34" s="646"/>
      <c r="L34" s="646"/>
      <c r="M34" s="646"/>
      <c r="N34" s="135"/>
      <c r="P34" s="694">
        <f>'Từ khóa'!M19</f>
        <v>0</v>
      </c>
      <c r="Q34" s="695"/>
      <c r="R34" s="695"/>
      <c r="S34" s="695"/>
      <c r="T34" s="696">
        <f>'Kế hoạch thu nhập và chi tiêu'!L18</f>
        <v>0</v>
      </c>
      <c r="U34" s="696"/>
      <c r="V34" s="152"/>
      <c r="W34" s="153">
        <f t="shared" ca="1" si="0"/>
        <v>0</v>
      </c>
      <c r="X34" s="696">
        <f t="shared" ca="1" si="1"/>
        <v>0</v>
      </c>
      <c r="Y34" s="696"/>
      <c r="Z34" s="646"/>
      <c r="AA34" s="646"/>
      <c r="AB34" s="646"/>
      <c r="AC34" s="646"/>
      <c r="AD34" s="646"/>
      <c r="AE34" s="646"/>
      <c r="AF34" s="646"/>
      <c r="AG34" s="646"/>
      <c r="AH34" s="646"/>
      <c r="AI34" s="646"/>
      <c r="AJ34" s="646"/>
      <c r="AK34" s="658"/>
    </row>
    <row r="35" spans="5:37" ht="15" x14ac:dyDescent="0.45">
      <c r="E35" s="687"/>
      <c r="F35" s="688"/>
      <c r="G35" s="643"/>
      <c r="H35" s="643"/>
      <c r="I35" s="643"/>
      <c r="J35" s="643"/>
      <c r="K35" s="646"/>
      <c r="L35" s="646"/>
      <c r="M35" s="646"/>
      <c r="N35" s="135"/>
      <c r="P35" s="694"/>
      <c r="Q35" s="695"/>
      <c r="R35" s="695"/>
      <c r="S35" s="695"/>
      <c r="T35" s="697"/>
      <c r="U35" s="698"/>
      <c r="V35" s="152"/>
      <c r="W35" s="153"/>
      <c r="X35" s="696"/>
      <c r="Y35" s="696"/>
      <c r="Z35" s="646"/>
      <c r="AA35" s="646"/>
      <c r="AB35" s="646"/>
      <c r="AC35" s="646"/>
      <c r="AD35" s="646"/>
      <c r="AE35" s="646"/>
      <c r="AF35" s="646"/>
      <c r="AG35" s="646"/>
      <c r="AH35" s="646"/>
      <c r="AI35" s="646"/>
      <c r="AJ35" s="646"/>
      <c r="AK35" s="658"/>
    </row>
    <row r="36" spans="5:37" ht="15" x14ac:dyDescent="0.45">
      <c r="E36" s="687"/>
      <c r="F36" s="688"/>
      <c r="G36" s="643"/>
      <c r="H36" s="643"/>
      <c r="I36" s="643"/>
      <c r="J36" s="643"/>
      <c r="K36" s="646"/>
      <c r="L36" s="646"/>
      <c r="M36" s="646"/>
      <c r="N36" s="135"/>
      <c r="P36" s="694"/>
      <c r="Q36" s="695"/>
      <c r="R36" s="695"/>
      <c r="S36" s="695"/>
      <c r="T36" s="697"/>
      <c r="U36" s="698"/>
      <c r="V36" s="152"/>
      <c r="W36" s="153"/>
      <c r="X36" s="696"/>
      <c r="Y36" s="696"/>
      <c r="Z36" s="646"/>
      <c r="AA36" s="646"/>
      <c r="AB36" s="646"/>
      <c r="AC36" s="646"/>
      <c r="AD36" s="646"/>
      <c r="AE36" s="646"/>
      <c r="AF36" s="646"/>
      <c r="AG36" s="646"/>
      <c r="AH36" s="646"/>
      <c r="AI36" s="646"/>
      <c r="AJ36" s="646"/>
      <c r="AK36" s="658"/>
    </row>
    <row r="37" spans="5:37" ht="16.5" customHeight="1" thickBot="1" x14ac:dyDescent="0.6">
      <c r="E37" s="648" t="s">
        <v>124</v>
      </c>
      <c r="F37" s="649"/>
      <c r="G37" s="649"/>
      <c r="H37" s="649"/>
      <c r="I37" s="649"/>
      <c r="J37" s="649"/>
      <c r="K37" s="649"/>
      <c r="L37" s="649"/>
      <c r="M37" s="650"/>
      <c r="N37" s="144">
        <f>SUBTOTAL(109,'T10'!$N$27:$N$36)</f>
        <v>28</v>
      </c>
      <c r="P37" s="701" t="s">
        <v>124</v>
      </c>
      <c r="Q37" s="702"/>
      <c r="R37" s="702"/>
      <c r="S37" s="703"/>
      <c r="T37" s="704">
        <f>SUM(T27:U36)</f>
        <v>30</v>
      </c>
      <c r="U37" s="705"/>
      <c r="V37" s="704">
        <f ca="1">SUM(W27:W36)</f>
        <v>28</v>
      </c>
      <c r="W37" s="705"/>
      <c r="X37" s="704">
        <f t="shared" ref="X37" ca="1" si="2">SUM(X27:Y36)</f>
        <v>-2</v>
      </c>
      <c r="Y37" s="705"/>
      <c r="Z37" s="660"/>
      <c r="AA37" s="660"/>
      <c r="AB37" s="660"/>
      <c r="AC37" s="660"/>
      <c r="AD37" s="660"/>
      <c r="AE37" s="660"/>
      <c r="AF37" s="660"/>
      <c r="AG37" s="660"/>
      <c r="AH37" s="660"/>
      <c r="AI37" s="660"/>
      <c r="AJ37" s="660"/>
      <c r="AK37" s="661"/>
    </row>
    <row r="39" spans="5:37" ht="14.65" thickBot="1" x14ac:dyDescent="0.5"/>
    <row r="40" spans="5:37" ht="15.75" customHeight="1" x14ac:dyDescent="0.55000000000000004">
      <c r="E40" s="623" t="s">
        <v>320</v>
      </c>
      <c r="F40" s="624"/>
      <c r="G40" s="624"/>
      <c r="H40" s="624"/>
      <c r="I40" s="624"/>
      <c r="J40" s="624"/>
      <c r="K40" s="624"/>
      <c r="L40" s="624"/>
      <c r="M40" s="624"/>
      <c r="N40" s="625"/>
      <c r="P40" s="623" t="s">
        <v>321</v>
      </c>
      <c r="Q40" s="624"/>
      <c r="R40" s="624"/>
      <c r="S40" s="624"/>
      <c r="T40" s="624"/>
      <c r="U40" s="624"/>
      <c r="V40" s="624"/>
      <c r="W40" s="624"/>
      <c r="X40" s="624"/>
      <c r="Y40" s="624"/>
      <c r="Z40" s="624"/>
      <c r="AA40" s="624"/>
      <c r="AB40" s="624"/>
      <c r="AC40" s="624"/>
      <c r="AD40" s="624"/>
      <c r="AE40" s="624"/>
      <c r="AF40" s="624"/>
      <c r="AG40" s="624"/>
      <c r="AH40" s="624"/>
      <c r="AI40" s="624"/>
      <c r="AJ40" s="624"/>
      <c r="AK40" s="625"/>
    </row>
    <row r="41" spans="5:37" ht="15" x14ac:dyDescent="0.45">
      <c r="E41" s="664" t="s">
        <v>146</v>
      </c>
      <c r="F41" s="665"/>
      <c r="G41" s="666" t="s">
        <v>347</v>
      </c>
      <c r="H41" s="666"/>
      <c r="I41" s="666"/>
      <c r="J41" s="666"/>
      <c r="K41" s="666" t="s">
        <v>345</v>
      </c>
      <c r="L41" s="666"/>
      <c r="M41" s="666"/>
      <c r="N41" s="136" t="s">
        <v>148</v>
      </c>
      <c r="P41" s="699" t="s">
        <v>147</v>
      </c>
      <c r="Q41" s="700"/>
      <c r="R41" s="700"/>
      <c r="S41" s="700"/>
      <c r="T41" s="700" t="s">
        <v>149</v>
      </c>
      <c r="U41" s="700"/>
      <c r="V41" s="700" t="s">
        <v>150</v>
      </c>
      <c r="W41" s="700"/>
      <c r="X41" s="700" t="s">
        <v>151</v>
      </c>
      <c r="Y41" s="700"/>
      <c r="Z41" s="666" t="s">
        <v>152</v>
      </c>
      <c r="AA41" s="666"/>
      <c r="AB41" s="666"/>
      <c r="AC41" s="666"/>
      <c r="AD41" s="666"/>
      <c r="AE41" s="666"/>
      <c r="AF41" s="666" t="s">
        <v>153</v>
      </c>
      <c r="AG41" s="666"/>
      <c r="AH41" s="666"/>
      <c r="AI41" s="666"/>
      <c r="AJ41" s="666"/>
      <c r="AK41" s="667"/>
    </row>
    <row r="42" spans="5:37" ht="15" customHeight="1" x14ac:dyDescent="0.55000000000000004">
      <c r="E42" s="687">
        <v>44835</v>
      </c>
      <c r="F42" s="688">
        <v>44593</v>
      </c>
      <c r="G42" s="640" t="s">
        <v>5</v>
      </c>
      <c r="H42" s="641"/>
      <c r="I42" s="641"/>
      <c r="J42" s="642"/>
      <c r="K42" s="640"/>
      <c r="L42" s="641"/>
      <c r="M42" s="642"/>
      <c r="N42" s="137">
        <v>2</v>
      </c>
      <c r="P42" s="694" t="str">
        <f>'Từ khóa'!F12</f>
        <v>Mua thực phẩm</v>
      </c>
      <c r="Q42" s="695"/>
      <c r="R42" s="695"/>
      <c r="S42" s="695"/>
      <c r="T42" s="696">
        <f>'Kế hoạch thu nhập và chi tiêu'!L26</f>
        <v>5</v>
      </c>
      <c r="U42" s="696"/>
      <c r="V42" s="152"/>
      <c r="W42" s="153">
        <f t="shared" ref="W42:W56" ca="1" si="3">SUMIF($G$42:$J$82,P42,$N$42:$N$82)</f>
        <v>5</v>
      </c>
      <c r="X42" s="697">
        <f t="shared" ref="X42:X56" ca="1" si="4">T42-W42</f>
        <v>0</v>
      </c>
      <c r="Y42" s="698"/>
      <c r="Z42" s="646"/>
      <c r="AA42" s="646"/>
      <c r="AB42" s="646"/>
      <c r="AC42" s="646"/>
      <c r="AD42" s="646"/>
      <c r="AE42" s="646"/>
      <c r="AF42" s="646"/>
      <c r="AG42" s="646"/>
      <c r="AH42" s="646"/>
      <c r="AI42" s="646"/>
      <c r="AJ42" s="646"/>
      <c r="AK42" s="658"/>
    </row>
    <row r="43" spans="5:37" ht="15" customHeight="1" x14ac:dyDescent="0.55000000000000004">
      <c r="E43" s="687">
        <v>44835</v>
      </c>
      <c r="F43" s="688">
        <v>44593</v>
      </c>
      <c r="G43" s="640" t="s">
        <v>6</v>
      </c>
      <c r="H43" s="641" t="s">
        <v>6</v>
      </c>
      <c r="I43" s="641" t="s">
        <v>6</v>
      </c>
      <c r="J43" s="642" t="s">
        <v>6</v>
      </c>
      <c r="K43" s="640"/>
      <c r="L43" s="641"/>
      <c r="M43" s="642"/>
      <c r="N43" s="138">
        <v>1</v>
      </c>
      <c r="P43" s="694" t="str">
        <f>'Từ khóa'!F13</f>
        <v>Mua đồ dùng trong nhà</v>
      </c>
      <c r="Q43" s="695"/>
      <c r="R43" s="695"/>
      <c r="S43" s="695"/>
      <c r="T43" s="696">
        <v>1.1000000000000001</v>
      </c>
      <c r="U43" s="696"/>
      <c r="V43" s="152"/>
      <c r="W43" s="153">
        <f t="shared" ca="1" si="3"/>
        <v>1.1000000000000001</v>
      </c>
      <c r="X43" s="697">
        <f t="shared" ca="1" si="4"/>
        <v>0</v>
      </c>
      <c r="Y43" s="698"/>
      <c r="Z43" s="646"/>
      <c r="AA43" s="646"/>
      <c r="AB43" s="646"/>
      <c r="AC43" s="646"/>
      <c r="AD43" s="646"/>
      <c r="AE43" s="646"/>
      <c r="AF43" s="646"/>
      <c r="AG43" s="646"/>
      <c r="AH43" s="646"/>
      <c r="AI43" s="646"/>
      <c r="AJ43" s="646"/>
      <c r="AK43" s="658"/>
    </row>
    <row r="44" spans="5:37" ht="15" customHeight="1" x14ac:dyDescent="0.55000000000000004">
      <c r="E44" s="687">
        <v>44836</v>
      </c>
      <c r="F44" s="688">
        <v>44594</v>
      </c>
      <c r="G44" s="640" t="s">
        <v>10</v>
      </c>
      <c r="H44" s="641" t="s">
        <v>10</v>
      </c>
      <c r="I44" s="641" t="s">
        <v>10</v>
      </c>
      <c r="J44" s="642" t="s">
        <v>10</v>
      </c>
      <c r="K44" s="640" t="s">
        <v>159</v>
      </c>
      <c r="L44" s="641" t="s">
        <v>159</v>
      </c>
      <c r="M44" s="642" t="s">
        <v>159</v>
      </c>
      <c r="N44" s="138">
        <v>0.6</v>
      </c>
      <c r="P44" s="694" t="str">
        <f>'Từ khóa'!F14</f>
        <v>Đi ăn ở ngoài</v>
      </c>
      <c r="Q44" s="695"/>
      <c r="R44" s="695"/>
      <c r="S44" s="695"/>
      <c r="T44" s="696">
        <f>'Kế hoạch thu nhập và chi tiêu'!L28</f>
        <v>2</v>
      </c>
      <c r="U44" s="696"/>
      <c r="V44" s="152"/>
      <c r="W44" s="153">
        <f t="shared" ca="1" si="3"/>
        <v>1.9</v>
      </c>
      <c r="X44" s="697">
        <f t="shared" ca="1" si="4"/>
        <v>0.10000000000000009</v>
      </c>
      <c r="Y44" s="698"/>
      <c r="Z44" s="646" t="s">
        <v>408</v>
      </c>
      <c r="AA44" s="646"/>
      <c r="AB44" s="646"/>
      <c r="AC44" s="646"/>
      <c r="AD44" s="646"/>
      <c r="AE44" s="646"/>
      <c r="AF44" s="646"/>
      <c r="AG44" s="646"/>
      <c r="AH44" s="646"/>
      <c r="AI44" s="646"/>
      <c r="AJ44" s="646"/>
      <c r="AK44" s="658"/>
    </row>
    <row r="45" spans="5:37" ht="15" customHeight="1" x14ac:dyDescent="0.55000000000000004">
      <c r="E45" s="687">
        <v>44837</v>
      </c>
      <c r="F45" s="688">
        <v>44595</v>
      </c>
      <c r="G45" s="640" t="s">
        <v>10</v>
      </c>
      <c r="H45" s="641" t="s">
        <v>10</v>
      </c>
      <c r="I45" s="641" t="s">
        <v>10</v>
      </c>
      <c r="J45" s="642" t="s">
        <v>10</v>
      </c>
      <c r="K45" s="640" t="s">
        <v>161</v>
      </c>
      <c r="L45" s="641" t="s">
        <v>161</v>
      </c>
      <c r="M45" s="642" t="s">
        <v>161</v>
      </c>
      <c r="N45" s="138">
        <v>0.2</v>
      </c>
      <c r="P45" s="694" t="str">
        <f>'Từ khóa'!F15</f>
        <v>Chi tiền phát triển bản thân</v>
      </c>
      <c r="Q45" s="695"/>
      <c r="R45" s="695"/>
      <c r="S45" s="695"/>
      <c r="T45" s="696">
        <v>1.5</v>
      </c>
      <c r="U45" s="696"/>
      <c r="V45" s="152"/>
      <c r="W45" s="153">
        <f t="shared" ca="1" si="3"/>
        <v>2.1</v>
      </c>
      <c r="X45" s="697">
        <f t="shared" ca="1" si="4"/>
        <v>-0.60000000000000009</v>
      </c>
      <c r="Y45" s="698"/>
      <c r="Z45" s="646" t="s">
        <v>409</v>
      </c>
      <c r="AA45" s="646"/>
      <c r="AB45" s="646"/>
      <c r="AC45" s="646"/>
      <c r="AD45" s="646"/>
      <c r="AE45" s="646"/>
      <c r="AF45" s="646"/>
      <c r="AG45" s="646"/>
      <c r="AH45" s="646"/>
      <c r="AI45" s="646"/>
      <c r="AJ45" s="646"/>
      <c r="AK45" s="658"/>
    </row>
    <row r="46" spans="5:37" ht="15" customHeight="1" x14ac:dyDescent="0.55000000000000004">
      <c r="E46" s="687">
        <v>44838</v>
      </c>
      <c r="F46" s="688">
        <v>44596</v>
      </c>
      <c r="G46" s="640" t="s">
        <v>10</v>
      </c>
      <c r="H46" s="641" t="s">
        <v>10</v>
      </c>
      <c r="I46" s="641" t="s">
        <v>10</v>
      </c>
      <c r="J46" s="642" t="s">
        <v>10</v>
      </c>
      <c r="K46" s="640" t="s">
        <v>162</v>
      </c>
      <c r="L46" s="641" t="s">
        <v>162</v>
      </c>
      <c r="M46" s="642" t="s">
        <v>162</v>
      </c>
      <c r="N46" s="138">
        <v>0.3</v>
      </c>
      <c r="P46" s="694" t="str">
        <f>'Từ khóa'!F16</f>
        <v>Chi tiền bảo hiểm</v>
      </c>
      <c r="Q46" s="695"/>
      <c r="R46" s="695"/>
      <c r="S46" s="695"/>
      <c r="T46" s="696">
        <v>0.5</v>
      </c>
      <c r="U46" s="696"/>
      <c r="V46" s="152"/>
      <c r="W46" s="153">
        <f t="shared" ca="1" si="3"/>
        <v>0</v>
      </c>
      <c r="X46" s="697">
        <f t="shared" ca="1" si="4"/>
        <v>0.5</v>
      </c>
      <c r="Y46" s="698"/>
      <c r="Z46" s="646"/>
      <c r="AA46" s="646"/>
      <c r="AB46" s="646"/>
      <c r="AC46" s="646"/>
      <c r="AD46" s="646"/>
      <c r="AE46" s="646"/>
      <c r="AF46" s="646"/>
      <c r="AG46" s="646"/>
      <c r="AH46" s="646"/>
      <c r="AI46" s="646"/>
      <c r="AJ46" s="646"/>
      <c r="AK46" s="658"/>
    </row>
    <row r="47" spans="5:37" ht="15" customHeight="1" x14ac:dyDescent="0.55000000000000004">
      <c r="E47" s="687">
        <v>44839</v>
      </c>
      <c r="F47" s="688">
        <v>44597</v>
      </c>
      <c r="G47" s="640" t="s">
        <v>10</v>
      </c>
      <c r="H47" s="641" t="s">
        <v>10</v>
      </c>
      <c r="I47" s="641" t="s">
        <v>10</v>
      </c>
      <c r="J47" s="642" t="s">
        <v>10</v>
      </c>
      <c r="K47" s="640" t="s">
        <v>163</v>
      </c>
      <c r="L47" s="641" t="s">
        <v>163</v>
      </c>
      <c r="M47" s="642" t="s">
        <v>163</v>
      </c>
      <c r="N47" s="138">
        <v>0.2</v>
      </c>
      <c r="P47" s="694" t="str">
        <f>'Từ khóa'!F17</f>
        <v>Chi tiền điện, nước, internet, điện thoại, xăng xe</v>
      </c>
      <c r="Q47" s="695"/>
      <c r="R47" s="695"/>
      <c r="S47" s="695"/>
      <c r="T47" s="696">
        <f>'Kế hoạch thu nhập và chi tiêu'!L31</f>
        <v>2</v>
      </c>
      <c r="U47" s="696"/>
      <c r="V47" s="152"/>
      <c r="W47" s="153">
        <f t="shared" ca="1" si="3"/>
        <v>1.35</v>
      </c>
      <c r="X47" s="697">
        <f t="shared" ca="1" si="4"/>
        <v>0.64999999999999991</v>
      </c>
      <c r="Y47" s="698"/>
      <c r="Z47" s="646" t="s">
        <v>410</v>
      </c>
      <c r="AA47" s="646"/>
      <c r="AB47" s="646"/>
      <c r="AC47" s="646"/>
      <c r="AD47" s="646"/>
      <c r="AE47" s="646"/>
      <c r="AF47" s="646"/>
      <c r="AG47" s="646"/>
      <c r="AH47" s="646"/>
      <c r="AI47" s="646"/>
      <c r="AJ47" s="646"/>
      <c r="AK47" s="658"/>
    </row>
    <row r="48" spans="5:37" ht="15" customHeight="1" x14ac:dyDescent="0.55000000000000004">
      <c r="E48" s="687">
        <v>44841</v>
      </c>
      <c r="F48" s="688">
        <v>44599</v>
      </c>
      <c r="G48" s="640" t="s">
        <v>10</v>
      </c>
      <c r="H48" s="641" t="s">
        <v>10</v>
      </c>
      <c r="I48" s="641" t="s">
        <v>10</v>
      </c>
      <c r="J48" s="642" t="s">
        <v>10</v>
      </c>
      <c r="K48" s="640" t="s">
        <v>164</v>
      </c>
      <c r="L48" s="641" t="s">
        <v>164</v>
      </c>
      <c r="M48" s="642" t="s">
        <v>164</v>
      </c>
      <c r="N48" s="138">
        <v>0.05</v>
      </c>
      <c r="P48" s="694" t="str">
        <f>'Từ khóa'!F18</f>
        <v>Chi tiền giải trí, quà tặng</v>
      </c>
      <c r="Q48" s="695"/>
      <c r="R48" s="695"/>
      <c r="S48" s="695"/>
      <c r="T48" s="696">
        <f>'Kế hoạch thu nhập và chi tiêu'!L32</f>
        <v>0</v>
      </c>
      <c r="U48" s="696"/>
      <c r="V48" s="152"/>
      <c r="W48" s="153">
        <f t="shared" ca="1" si="3"/>
        <v>0</v>
      </c>
      <c r="X48" s="697">
        <f t="shared" ca="1" si="4"/>
        <v>0</v>
      </c>
      <c r="Y48" s="698"/>
      <c r="Z48" s="646"/>
      <c r="AA48" s="646"/>
      <c r="AB48" s="646"/>
      <c r="AC48" s="646"/>
      <c r="AD48" s="646"/>
      <c r="AE48" s="646"/>
      <c r="AF48" s="646"/>
      <c r="AG48" s="646"/>
      <c r="AH48" s="646"/>
      <c r="AI48" s="646"/>
      <c r="AJ48" s="646"/>
      <c r="AK48" s="658"/>
    </row>
    <row r="49" spans="5:37" ht="15" customHeight="1" x14ac:dyDescent="0.55000000000000004">
      <c r="E49" s="687">
        <v>44843</v>
      </c>
      <c r="F49" s="688">
        <v>44601</v>
      </c>
      <c r="G49" s="640" t="s">
        <v>7</v>
      </c>
      <c r="H49" s="641" t="s">
        <v>7</v>
      </c>
      <c r="I49" s="641" t="s">
        <v>7</v>
      </c>
      <c r="J49" s="642" t="s">
        <v>7</v>
      </c>
      <c r="K49" s="640"/>
      <c r="L49" s="641"/>
      <c r="M49" s="642"/>
      <c r="N49" s="138">
        <v>0.5</v>
      </c>
      <c r="P49" s="694" t="str">
        <f>'Từ khóa'!F19</f>
        <v>Chi tiền cho con</v>
      </c>
      <c r="Q49" s="695"/>
      <c r="R49" s="695"/>
      <c r="S49" s="695"/>
      <c r="T49" s="696">
        <v>0.2</v>
      </c>
      <c r="U49" s="696"/>
      <c r="V49" s="152"/>
      <c r="W49" s="153">
        <f t="shared" ca="1" si="3"/>
        <v>0</v>
      </c>
      <c r="X49" s="697">
        <f t="shared" ca="1" si="4"/>
        <v>0.2</v>
      </c>
      <c r="Y49" s="698"/>
      <c r="Z49" s="646"/>
      <c r="AA49" s="646"/>
      <c r="AB49" s="646"/>
      <c r="AC49" s="646"/>
      <c r="AD49" s="646"/>
      <c r="AE49" s="646"/>
      <c r="AF49" s="646"/>
      <c r="AG49" s="646"/>
      <c r="AH49" s="646"/>
      <c r="AI49" s="646"/>
      <c r="AJ49" s="646"/>
      <c r="AK49" s="658"/>
    </row>
    <row r="50" spans="5:37" ht="15" customHeight="1" x14ac:dyDescent="0.55000000000000004">
      <c r="E50" s="687">
        <v>44845</v>
      </c>
      <c r="F50" s="688">
        <v>44603</v>
      </c>
      <c r="G50" s="640" t="s">
        <v>8</v>
      </c>
      <c r="H50" s="641" t="s">
        <v>8</v>
      </c>
      <c r="I50" s="641" t="s">
        <v>8</v>
      </c>
      <c r="J50" s="642" t="s">
        <v>8</v>
      </c>
      <c r="K50" s="640" t="s">
        <v>165</v>
      </c>
      <c r="L50" s="641" t="s">
        <v>23</v>
      </c>
      <c r="M50" s="642" t="s">
        <v>23</v>
      </c>
      <c r="N50" s="138">
        <v>0.5</v>
      </c>
      <c r="P50" s="694" t="str">
        <f>'Từ khóa'!F20</f>
        <v>Chi tiền trả nợ</v>
      </c>
      <c r="Q50" s="695"/>
      <c r="R50" s="695"/>
      <c r="S50" s="695"/>
      <c r="T50" s="696">
        <f>'Kế hoạch thu nhập và chi tiêu'!L34</f>
        <v>6.5</v>
      </c>
      <c r="U50" s="696"/>
      <c r="V50" s="152"/>
      <c r="W50" s="153">
        <f t="shared" ca="1" si="3"/>
        <v>6.5</v>
      </c>
      <c r="X50" s="697">
        <f t="shared" ca="1" si="4"/>
        <v>0</v>
      </c>
      <c r="Y50" s="698"/>
      <c r="Z50" s="646"/>
      <c r="AA50" s="646"/>
      <c r="AB50" s="646"/>
      <c r="AC50" s="646"/>
      <c r="AD50" s="646"/>
      <c r="AE50" s="646"/>
      <c r="AF50" s="646"/>
      <c r="AG50" s="646"/>
      <c r="AH50" s="646"/>
      <c r="AI50" s="646"/>
      <c r="AJ50" s="646"/>
      <c r="AK50" s="658"/>
    </row>
    <row r="51" spans="5:37" ht="15" customHeight="1" x14ac:dyDescent="0.55000000000000004">
      <c r="E51" s="687">
        <v>44846</v>
      </c>
      <c r="F51" s="688">
        <v>44604</v>
      </c>
      <c r="G51" s="640" t="s">
        <v>8</v>
      </c>
      <c r="H51" s="641" t="s">
        <v>8</v>
      </c>
      <c r="I51" s="641" t="s">
        <v>8</v>
      </c>
      <c r="J51" s="642" t="s">
        <v>8</v>
      </c>
      <c r="K51" s="640" t="s">
        <v>165</v>
      </c>
      <c r="L51" s="641" t="s">
        <v>165</v>
      </c>
      <c r="M51" s="642" t="s">
        <v>165</v>
      </c>
      <c r="N51" s="138">
        <v>0.6</v>
      </c>
      <c r="P51" s="694" t="str">
        <f>'Từ khóa'!F21</f>
        <v>Chi tiền cho tặng gia đình</v>
      </c>
      <c r="Q51" s="695"/>
      <c r="R51" s="695"/>
      <c r="S51" s="695"/>
      <c r="T51" s="696">
        <f>'Kế hoạch thu nhập và chi tiêu'!L35</f>
        <v>1</v>
      </c>
      <c r="U51" s="696"/>
      <c r="V51" s="152"/>
      <c r="W51" s="153">
        <f t="shared" ca="1" si="3"/>
        <v>0</v>
      </c>
      <c r="X51" s="697">
        <f t="shared" ca="1" si="4"/>
        <v>1</v>
      </c>
      <c r="Y51" s="698"/>
      <c r="Z51" s="646"/>
      <c r="AA51" s="646"/>
      <c r="AB51" s="646"/>
      <c r="AC51" s="646"/>
      <c r="AD51" s="646"/>
      <c r="AE51" s="646"/>
      <c r="AF51" s="646"/>
      <c r="AG51" s="646"/>
      <c r="AH51" s="646"/>
      <c r="AI51" s="646"/>
      <c r="AJ51" s="646"/>
      <c r="AK51" s="658"/>
    </row>
    <row r="52" spans="5:37" ht="15" customHeight="1" x14ac:dyDescent="0.55000000000000004">
      <c r="E52" s="687">
        <v>44854</v>
      </c>
      <c r="F52" s="688">
        <v>44612</v>
      </c>
      <c r="G52" s="640" t="s">
        <v>7</v>
      </c>
      <c r="H52" s="641"/>
      <c r="I52" s="641"/>
      <c r="J52" s="642"/>
      <c r="K52" s="640"/>
      <c r="L52" s="641"/>
      <c r="M52" s="642"/>
      <c r="N52" s="138">
        <v>0.2</v>
      </c>
      <c r="P52" s="694" t="str">
        <f>'Từ khóa'!F22</f>
        <v>Chi tiêu 1</v>
      </c>
      <c r="Q52" s="695"/>
      <c r="R52" s="695"/>
      <c r="S52" s="695"/>
      <c r="T52" s="696">
        <f>'Kế hoạch thu nhập và chi tiêu'!L36</f>
        <v>0</v>
      </c>
      <c r="U52" s="696"/>
      <c r="V52" s="152"/>
      <c r="W52" s="153">
        <f t="shared" ca="1" si="3"/>
        <v>0</v>
      </c>
      <c r="X52" s="697">
        <f t="shared" ca="1" si="4"/>
        <v>0</v>
      </c>
      <c r="Y52" s="698"/>
      <c r="Z52" s="646"/>
      <c r="AA52" s="646"/>
      <c r="AB52" s="646"/>
      <c r="AC52" s="646"/>
      <c r="AD52" s="646"/>
      <c r="AE52" s="646"/>
      <c r="AF52" s="646"/>
      <c r="AG52" s="646"/>
      <c r="AH52" s="646"/>
      <c r="AI52" s="646"/>
      <c r="AJ52" s="646"/>
      <c r="AK52" s="658"/>
    </row>
    <row r="53" spans="5:37" ht="15" customHeight="1" x14ac:dyDescent="0.55000000000000004">
      <c r="E53" s="687">
        <v>44856</v>
      </c>
      <c r="F53" s="688" t="s">
        <v>174</v>
      </c>
      <c r="G53" s="640" t="s">
        <v>13</v>
      </c>
      <c r="H53" s="641"/>
      <c r="I53" s="641"/>
      <c r="J53" s="642"/>
      <c r="K53" s="640"/>
      <c r="L53" s="641"/>
      <c r="M53" s="642"/>
      <c r="N53" s="138">
        <v>6.5</v>
      </c>
      <c r="P53" s="694" t="str">
        <f>'Từ khóa'!F23</f>
        <v>Chi tiêu 2</v>
      </c>
      <c r="Q53" s="695"/>
      <c r="R53" s="695"/>
      <c r="S53" s="695"/>
      <c r="T53" s="696">
        <f>'Kế hoạch thu nhập và chi tiêu'!L37</f>
        <v>0</v>
      </c>
      <c r="U53" s="696"/>
      <c r="V53" s="152"/>
      <c r="W53" s="153">
        <f t="shared" ca="1" si="3"/>
        <v>0</v>
      </c>
      <c r="X53" s="697">
        <f t="shared" ca="1" si="4"/>
        <v>0</v>
      </c>
      <c r="Y53" s="698"/>
      <c r="Z53" s="646"/>
      <c r="AA53" s="646"/>
      <c r="AB53" s="646"/>
      <c r="AC53" s="646"/>
      <c r="AD53" s="646"/>
      <c r="AE53" s="646"/>
      <c r="AF53" s="646"/>
      <c r="AG53" s="646"/>
      <c r="AH53" s="646"/>
      <c r="AI53" s="646"/>
      <c r="AJ53" s="646"/>
      <c r="AK53" s="658"/>
    </row>
    <row r="54" spans="5:37" ht="15" customHeight="1" x14ac:dyDescent="0.55000000000000004">
      <c r="E54" s="687">
        <v>44857</v>
      </c>
      <c r="F54" s="688">
        <v>44615</v>
      </c>
      <c r="G54" s="640" t="s">
        <v>5</v>
      </c>
      <c r="H54" s="641"/>
      <c r="I54" s="641"/>
      <c r="J54" s="642"/>
      <c r="K54" s="640"/>
      <c r="L54" s="641"/>
      <c r="M54" s="642"/>
      <c r="N54" s="138">
        <v>2</v>
      </c>
      <c r="P54" s="694" t="str">
        <f>'Từ khóa'!F24</f>
        <v>Chi tiêu 3</v>
      </c>
      <c r="Q54" s="695"/>
      <c r="R54" s="695"/>
      <c r="S54" s="695"/>
      <c r="T54" s="696">
        <f>'Kế hoạch thu nhập và chi tiêu'!L38</f>
        <v>0</v>
      </c>
      <c r="U54" s="696"/>
      <c r="V54" s="152"/>
      <c r="W54" s="153">
        <f t="shared" ca="1" si="3"/>
        <v>0</v>
      </c>
      <c r="X54" s="697">
        <f t="shared" ca="1" si="4"/>
        <v>0</v>
      </c>
      <c r="Y54" s="698"/>
      <c r="Z54" s="646"/>
      <c r="AA54" s="646"/>
      <c r="AB54" s="646"/>
      <c r="AC54" s="646"/>
      <c r="AD54" s="646"/>
      <c r="AE54" s="646"/>
      <c r="AF54" s="646"/>
      <c r="AG54" s="646"/>
      <c r="AH54" s="646"/>
      <c r="AI54" s="646"/>
      <c r="AJ54" s="646"/>
      <c r="AK54" s="658"/>
    </row>
    <row r="55" spans="5:37" ht="15" customHeight="1" x14ac:dyDescent="0.55000000000000004">
      <c r="E55" s="687">
        <v>44858</v>
      </c>
      <c r="F55" s="688">
        <v>44616</v>
      </c>
      <c r="G55" s="640" t="s">
        <v>6</v>
      </c>
      <c r="H55" s="641"/>
      <c r="I55" s="641"/>
      <c r="J55" s="642"/>
      <c r="K55" s="640"/>
      <c r="L55" s="641"/>
      <c r="M55" s="642"/>
      <c r="N55" s="138">
        <v>0.1</v>
      </c>
      <c r="P55" s="694" t="str">
        <f>'Từ khóa'!F25</f>
        <v>Chi tiêu 4</v>
      </c>
      <c r="Q55" s="695"/>
      <c r="R55" s="695"/>
      <c r="S55" s="695"/>
      <c r="T55" s="696">
        <f>'Kế hoạch thu nhập và chi tiêu'!L39</f>
        <v>0</v>
      </c>
      <c r="U55" s="696"/>
      <c r="V55" s="152"/>
      <c r="W55" s="153">
        <f t="shared" ca="1" si="3"/>
        <v>0</v>
      </c>
      <c r="X55" s="697">
        <f t="shared" ca="1" si="4"/>
        <v>0</v>
      </c>
      <c r="Y55" s="698"/>
      <c r="Z55" s="646"/>
      <c r="AA55" s="646"/>
      <c r="AB55" s="646"/>
      <c r="AC55" s="646"/>
      <c r="AD55" s="646"/>
      <c r="AE55" s="646"/>
      <c r="AF55" s="646"/>
      <c r="AG55" s="646"/>
      <c r="AH55" s="646"/>
      <c r="AI55" s="646"/>
      <c r="AJ55" s="646"/>
      <c r="AK55" s="658"/>
    </row>
    <row r="56" spans="5:37" ht="15" customHeight="1" x14ac:dyDescent="0.55000000000000004">
      <c r="E56" s="687">
        <v>44859</v>
      </c>
      <c r="F56" s="688">
        <v>44617</v>
      </c>
      <c r="G56" s="640" t="s">
        <v>7</v>
      </c>
      <c r="H56" s="641"/>
      <c r="I56" s="641"/>
      <c r="J56" s="642"/>
      <c r="K56" s="640"/>
      <c r="L56" s="641"/>
      <c r="M56" s="642"/>
      <c r="N56" s="138">
        <v>1</v>
      </c>
      <c r="P56" s="694" t="str">
        <f>'Từ khóa'!F26</f>
        <v>Chi tiêu 5</v>
      </c>
      <c r="Q56" s="695"/>
      <c r="R56" s="695"/>
      <c r="S56" s="695"/>
      <c r="T56" s="696">
        <f>'Kế hoạch thu nhập và chi tiêu'!L40</f>
        <v>0</v>
      </c>
      <c r="U56" s="696"/>
      <c r="V56" s="152"/>
      <c r="W56" s="153">
        <f t="shared" ca="1" si="3"/>
        <v>0</v>
      </c>
      <c r="X56" s="697">
        <f t="shared" ca="1" si="4"/>
        <v>0</v>
      </c>
      <c r="Y56" s="698"/>
      <c r="Z56" s="646"/>
      <c r="AA56" s="646"/>
      <c r="AB56" s="646"/>
      <c r="AC56" s="646"/>
      <c r="AD56" s="646"/>
      <c r="AE56" s="646"/>
      <c r="AF56" s="646"/>
      <c r="AG56" s="646"/>
      <c r="AH56" s="646"/>
      <c r="AI56" s="646"/>
      <c r="AJ56" s="646"/>
      <c r="AK56" s="658"/>
    </row>
    <row r="57" spans="5:37" ht="15.75" customHeight="1" thickBot="1" x14ac:dyDescent="0.6">
      <c r="E57" s="687">
        <v>44860</v>
      </c>
      <c r="F57" s="688">
        <v>44618</v>
      </c>
      <c r="G57" s="640" t="s">
        <v>5</v>
      </c>
      <c r="H57" s="641"/>
      <c r="I57" s="641"/>
      <c r="J57" s="642"/>
      <c r="K57" s="640"/>
      <c r="L57" s="641"/>
      <c r="M57" s="642"/>
      <c r="N57" s="138">
        <v>1</v>
      </c>
      <c r="P57" s="691" t="s">
        <v>317</v>
      </c>
      <c r="Q57" s="692"/>
      <c r="R57" s="692"/>
      <c r="S57" s="693"/>
      <c r="T57" s="689">
        <f>SUM(T42:U56)</f>
        <v>19.799999999999997</v>
      </c>
      <c r="U57" s="690"/>
      <c r="V57" s="689">
        <f ca="1">SUM(W42:W56)</f>
        <v>17.95</v>
      </c>
      <c r="W57" s="690"/>
      <c r="X57" s="689">
        <f t="shared" ref="X57" ca="1" si="5">SUM(X42:Y56)</f>
        <v>1.8499999999999999</v>
      </c>
      <c r="Y57" s="690"/>
      <c r="Z57" s="669"/>
      <c r="AA57" s="669"/>
      <c r="AB57" s="669"/>
      <c r="AC57" s="669"/>
      <c r="AD57" s="669"/>
      <c r="AE57" s="669"/>
      <c r="AF57" s="669"/>
      <c r="AG57" s="669"/>
      <c r="AH57" s="669"/>
      <c r="AI57" s="669"/>
      <c r="AJ57" s="669"/>
      <c r="AK57" s="670"/>
    </row>
    <row r="58" spans="5:37" ht="15.75" customHeight="1" x14ac:dyDescent="0.55000000000000004">
      <c r="E58" s="687">
        <v>44861</v>
      </c>
      <c r="F58" s="688">
        <v>44619</v>
      </c>
      <c r="G58" s="640" t="s">
        <v>7</v>
      </c>
      <c r="H58" s="641"/>
      <c r="I58" s="641"/>
      <c r="J58" s="642"/>
      <c r="K58" s="640"/>
      <c r="L58" s="641"/>
      <c r="M58" s="642"/>
      <c r="N58" s="139">
        <v>0.2</v>
      </c>
      <c r="Q58" s="6"/>
      <c r="R58" s="6"/>
      <c r="S58" s="6"/>
      <c r="T58" s="6"/>
    </row>
    <row r="59" spans="5:37" ht="15.75" customHeight="1" x14ac:dyDescent="0.55000000000000004">
      <c r="E59" s="687">
        <v>44862</v>
      </c>
      <c r="F59" s="688" t="s">
        <v>174</v>
      </c>
      <c r="G59" s="640" t="s">
        <v>8</v>
      </c>
      <c r="H59" s="641"/>
      <c r="I59" s="641"/>
      <c r="J59" s="642"/>
      <c r="K59" s="640" t="s">
        <v>23</v>
      </c>
      <c r="L59" s="641"/>
      <c r="M59" s="642"/>
      <c r="N59" s="140">
        <v>1</v>
      </c>
      <c r="Q59" s="6"/>
      <c r="R59" s="6"/>
      <c r="S59" s="6"/>
      <c r="T59" s="6"/>
    </row>
    <row r="60" spans="5:37" ht="15" x14ac:dyDescent="0.55000000000000004">
      <c r="E60" s="638"/>
      <c r="F60" s="639"/>
      <c r="G60" s="640"/>
      <c r="H60" s="641"/>
      <c r="I60" s="641"/>
      <c r="J60" s="642"/>
      <c r="K60" s="640"/>
      <c r="L60" s="641"/>
      <c r="M60" s="642"/>
      <c r="N60" s="140"/>
    </row>
    <row r="61" spans="5:37" ht="15" x14ac:dyDescent="0.55000000000000004">
      <c r="E61" s="638"/>
      <c r="F61" s="639"/>
      <c r="G61" s="640"/>
      <c r="H61" s="641"/>
      <c r="I61" s="641"/>
      <c r="J61" s="642"/>
      <c r="K61" s="640"/>
      <c r="L61" s="641"/>
      <c r="M61" s="642"/>
      <c r="N61" s="140"/>
    </row>
    <row r="62" spans="5:37" ht="15" x14ac:dyDescent="0.55000000000000004">
      <c r="E62" s="638"/>
      <c r="F62" s="639"/>
      <c r="G62" s="640"/>
      <c r="H62" s="641"/>
      <c r="I62" s="641"/>
      <c r="J62" s="642"/>
      <c r="K62" s="640"/>
      <c r="L62" s="641"/>
      <c r="M62" s="642"/>
      <c r="N62" s="140"/>
    </row>
    <row r="63" spans="5:37" ht="15" x14ac:dyDescent="0.55000000000000004">
      <c r="E63" s="638"/>
      <c r="F63" s="639"/>
      <c r="G63" s="640"/>
      <c r="H63" s="641"/>
      <c r="I63" s="641"/>
      <c r="J63" s="642"/>
      <c r="K63" s="640"/>
      <c r="L63" s="641"/>
      <c r="M63" s="642"/>
      <c r="N63" s="140"/>
    </row>
    <row r="64" spans="5:37" ht="15" x14ac:dyDescent="0.55000000000000004">
      <c r="E64" s="638"/>
      <c r="F64" s="639"/>
      <c r="G64" s="640"/>
      <c r="H64" s="641"/>
      <c r="I64" s="641"/>
      <c r="J64" s="642"/>
      <c r="K64" s="640"/>
      <c r="L64" s="641"/>
      <c r="M64" s="642"/>
      <c r="N64" s="140"/>
    </row>
    <row r="65" spans="5:14" ht="15" x14ac:dyDescent="0.55000000000000004">
      <c r="E65" s="638"/>
      <c r="F65" s="639"/>
      <c r="G65" s="640"/>
      <c r="H65" s="641"/>
      <c r="I65" s="641"/>
      <c r="J65" s="642"/>
      <c r="K65" s="640"/>
      <c r="L65" s="641"/>
      <c r="M65" s="642"/>
      <c r="N65" s="140"/>
    </row>
    <row r="66" spans="5:14" ht="15" x14ac:dyDescent="0.55000000000000004">
      <c r="E66" s="638"/>
      <c r="F66" s="639"/>
      <c r="G66" s="640"/>
      <c r="H66" s="641"/>
      <c r="I66" s="641"/>
      <c r="J66" s="642"/>
      <c r="K66" s="640"/>
      <c r="L66" s="641"/>
      <c r="M66" s="642"/>
      <c r="N66" s="140"/>
    </row>
    <row r="67" spans="5:14" ht="15" x14ac:dyDescent="0.55000000000000004">
      <c r="E67" s="638"/>
      <c r="F67" s="639"/>
      <c r="G67" s="640"/>
      <c r="H67" s="641"/>
      <c r="I67" s="641"/>
      <c r="J67" s="642"/>
      <c r="K67" s="640"/>
      <c r="L67" s="641"/>
      <c r="M67" s="642"/>
      <c r="N67" s="140"/>
    </row>
    <row r="68" spans="5:14" ht="15" x14ac:dyDescent="0.55000000000000004">
      <c r="E68" s="638"/>
      <c r="F68" s="639"/>
      <c r="G68" s="640"/>
      <c r="H68" s="641"/>
      <c r="I68" s="641"/>
      <c r="J68" s="642"/>
      <c r="K68" s="640"/>
      <c r="L68" s="641"/>
      <c r="M68" s="642"/>
      <c r="N68" s="140"/>
    </row>
    <row r="69" spans="5:14" ht="15" x14ac:dyDescent="0.55000000000000004">
      <c r="E69" s="638"/>
      <c r="F69" s="639"/>
      <c r="G69" s="640"/>
      <c r="H69" s="641"/>
      <c r="I69" s="641"/>
      <c r="J69" s="642"/>
      <c r="K69" s="640"/>
      <c r="L69" s="641"/>
      <c r="M69" s="642"/>
      <c r="N69" s="140"/>
    </row>
    <row r="70" spans="5:14" ht="15" x14ac:dyDescent="0.55000000000000004">
      <c r="E70" s="638"/>
      <c r="F70" s="639"/>
      <c r="G70" s="640"/>
      <c r="H70" s="641"/>
      <c r="I70" s="641"/>
      <c r="J70" s="642"/>
      <c r="K70" s="640"/>
      <c r="L70" s="641"/>
      <c r="M70" s="642"/>
      <c r="N70" s="140"/>
    </row>
    <row r="71" spans="5:14" ht="15" x14ac:dyDescent="0.55000000000000004">
      <c r="E71" s="638"/>
      <c r="F71" s="639"/>
      <c r="G71" s="640"/>
      <c r="H71" s="641"/>
      <c r="I71" s="641"/>
      <c r="J71" s="642"/>
      <c r="K71" s="640"/>
      <c r="L71" s="641"/>
      <c r="M71" s="642"/>
      <c r="N71" s="140"/>
    </row>
    <row r="72" spans="5:14" ht="15" x14ac:dyDescent="0.55000000000000004">
      <c r="E72" s="638"/>
      <c r="F72" s="639"/>
      <c r="G72" s="640"/>
      <c r="H72" s="641"/>
      <c r="I72" s="641"/>
      <c r="J72" s="642"/>
      <c r="K72" s="640"/>
      <c r="L72" s="641"/>
      <c r="M72" s="642"/>
      <c r="N72" s="140"/>
    </row>
    <row r="73" spans="5:14" ht="15" x14ac:dyDescent="0.55000000000000004">
      <c r="E73" s="638"/>
      <c r="F73" s="639"/>
      <c r="G73" s="640"/>
      <c r="H73" s="641"/>
      <c r="I73" s="641"/>
      <c r="J73" s="642"/>
      <c r="K73" s="640"/>
      <c r="L73" s="641"/>
      <c r="M73" s="642"/>
      <c r="N73" s="140"/>
    </row>
    <row r="74" spans="5:14" ht="15" x14ac:dyDescent="0.55000000000000004">
      <c r="E74" s="638"/>
      <c r="F74" s="639"/>
      <c r="G74" s="640"/>
      <c r="H74" s="641"/>
      <c r="I74" s="641"/>
      <c r="J74" s="642"/>
      <c r="K74" s="640"/>
      <c r="L74" s="641"/>
      <c r="M74" s="642"/>
      <c r="N74" s="140"/>
    </row>
    <row r="75" spans="5:14" ht="15" x14ac:dyDescent="0.55000000000000004">
      <c r="E75" s="638"/>
      <c r="F75" s="639"/>
      <c r="G75" s="640"/>
      <c r="H75" s="641"/>
      <c r="I75" s="641"/>
      <c r="J75" s="642"/>
      <c r="K75" s="640"/>
      <c r="L75" s="641"/>
      <c r="M75" s="642"/>
      <c r="N75" s="140"/>
    </row>
    <row r="76" spans="5:14" ht="15" x14ac:dyDescent="0.55000000000000004">
      <c r="E76" s="638"/>
      <c r="F76" s="639"/>
      <c r="G76" s="640"/>
      <c r="H76" s="641"/>
      <c r="I76" s="641"/>
      <c r="J76" s="642"/>
      <c r="K76" s="640"/>
      <c r="L76" s="641"/>
      <c r="M76" s="642"/>
      <c r="N76" s="140"/>
    </row>
    <row r="77" spans="5:14" ht="15" x14ac:dyDescent="0.55000000000000004">
      <c r="E77" s="638"/>
      <c r="F77" s="639"/>
      <c r="G77" s="640"/>
      <c r="H77" s="641"/>
      <c r="I77" s="641"/>
      <c r="J77" s="642"/>
      <c r="K77" s="640"/>
      <c r="L77" s="641"/>
      <c r="M77" s="642"/>
      <c r="N77" s="140"/>
    </row>
    <row r="78" spans="5:14" ht="15" x14ac:dyDescent="0.55000000000000004">
      <c r="E78" s="638"/>
      <c r="F78" s="639"/>
      <c r="G78" s="640"/>
      <c r="H78" s="641"/>
      <c r="I78" s="641"/>
      <c r="J78" s="642"/>
      <c r="K78" s="640"/>
      <c r="L78" s="641"/>
      <c r="M78" s="642"/>
      <c r="N78" s="140"/>
    </row>
    <row r="79" spans="5:14" ht="15" x14ac:dyDescent="0.55000000000000004">
      <c r="E79" s="638"/>
      <c r="F79" s="639"/>
      <c r="G79" s="640"/>
      <c r="H79" s="641"/>
      <c r="I79" s="641"/>
      <c r="J79" s="642"/>
      <c r="K79" s="640"/>
      <c r="L79" s="641"/>
      <c r="M79" s="642"/>
      <c r="N79" s="140"/>
    </row>
    <row r="80" spans="5:14" ht="15" x14ac:dyDescent="0.55000000000000004">
      <c r="E80" s="638"/>
      <c r="F80" s="639"/>
      <c r="G80" s="640"/>
      <c r="H80" s="641"/>
      <c r="I80" s="641"/>
      <c r="J80" s="642"/>
      <c r="K80" s="640"/>
      <c r="L80" s="641"/>
      <c r="M80" s="642"/>
      <c r="N80" s="140"/>
    </row>
    <row r="81" spans="1:31" ht="15" x14ac:dyDescent="0.55000000000000004">
      <c r="E81" s="638"/>
      <c r="F81" s="639"/>
      <c r="G81" s="640"/>
      <c r="H81" s="641"/>
      <c r="I81" s="641"/>
      <c r="J81" s="642"/>
      <c r="K81" s="640"/>
      <c r="L81" s="641"/>
      <c r="M81" s="642"/>
      <c r="N81" s="140"/>
    </row>
    <row r="82" spans="1:31" ht="15" x14ac:dyDescent="0.55000000000000004">
      <c r="E82" s="638"/>
      <c r="F82" s="639"/>
      <c r="G82" s="640"/>
      <c r="H82" s="641"/>
      <c r="I82" s="641"/>
      <c r="J82" s="642"/>
      <c r="K82" s="640"/>
      <c r="L82" s="641"/>
      <c r="M82" s="642"/>
      <c r="N82" s="140"/>
    </row>
    <row r="83" spans="1:31" ht="15.4" thickBot="1" x14ac:dyDescent="0.6">
      <c r="E83" s="671" t="s">
        <v>317</v>
      </c>
      <c r="F83" s="672"/>
      <c r="G83" s="672"/>
      <c r="H83" s="672"/>
      <c r="I83" s="672"/>
      <c r="J83" s="672"/>
      <c r="K83" s="672"/>
      <c r="L83" s="672"/>
      <c r="M83" s="673"/>
      <c r="N83" s="143">
        <f>SUM(N42:N82)</f>
        <v>17.95</v>
      </c>
    </row>
    <row r="86" spans="1:31" ht="15" customHeight="1" x14ac:dyDescent="0.45">
      <c r="E86" s="532" t="s">
        <v>348</v>
      </c>
      <c r="F86" s="532"/>
      <c r="G86" s="532"/>
      <c r="H86" s="532"/>
      <c r="I86" s="532"/>
      <c r="J86" s="532"/>
      <c r="K86" s="532"/>
      <c r="L86" s="532"/>
      <c r="M86" s="532"/>
      <c r="N86" s="5"/>
      <c r="O86" s="5"/>
      <c r="P86" s="5"/>
      <c r="Q86" s="5"/>
      <c r="R86" s="5"/>
      <c r="S86" s="6"/>
      <c r="T86" s="6"/>
      <c r="U86" s="6"/>
      <c r="V86" s="6"/>
      <c r="W86" s="6"/>
      <c r="X86" s="6"/>
      <c r="Y86" s="6"/>
      <c r="Z86" s="6"/>
      <c r="AA86" s="6"/>
    </row>
    <row r="87" spans="1:31" s="8" customFormat="1" ht="15" customHeight="1" thickBot="1" x14ac:dyDescent="0.5">
      <c r="A87" s="7"/>
      <c r="B87" s="7"/>
      <c r="C87" s="7"/>
      <c r="E87" s="533"/>
      <c r="F87" s="533"/>
      <c r="G87" s="533"/>
      <c r="H87" s="533"/>
      <c r="I87" s="533"/>
      <c r="J87" s="533"/>
      <c r="K87" s="533"/>
      <c r="L87" s="533"/>
      <c r="M87" s="533"/>
      <c r="N87" s="9"/>
      <c r="O87" s="9"/>
      <c r="P87" s="9"/>
      <c r="Q87" s="9"/>
      <c r="R87" s="9"/>
      <c r="S87" s="10"/>
      <c r="T87" s="10"/>
      <c r="U87" s="10"/>
      <c r="V87" s="10"/>
      <c r="W87" s="10"/>
      <c r="X87" s="10"/>
      <c r="Y87" s="10"/>
      <c r="Z87" s="10"/>
      <c r="AA87" s="10"/>
    </row>
    <row r="88" spans="1:31" ht="14.65" thickBot="1" x14ac:dyDescent="0.5"/>
    <row r="89" spans="1:31" ht="14.65" thickBot="1" x14ac:dyDescent="0.5">
      <c r="E89" s="620" t="s">
        <v>350</v>
      </c>
      <c r="F89" s="621"/>
      <c r="G89" s="621"/>
      <c r="H89" s="621"/>
      <c r="I89" s="621"/>
      <c r="J89" s="621"/>
      <c r="K89" s="621"/>
      <c r="L89" s="621"/>
      <c r="M89" s="621"/>
      <c r="N89" s="621"/>
      <c r="O89" s="621"/>
      <c r="P89" s="621"/>
      <c r="Q89" s="621"/>
      <c r="R89" s="621"/>
      <c r="S89" s="621"/>
      <c r="T89" s="621"/>
      <c r="U89" s="621"/>
      <c r="V89" s="621"/>
      <c r="W89" s="621"/>
      <c r="X89" s="621"/>
      <c r="Y89" s="622"/>
      <c r="AA89" s="629" t="s">
        <v>353</v>
      </c>
      <c r="AB89" s="630"/>
      <c r="AC89" s="630"/>
      <c r="AD89" s="630"/>
      <c r="AE89" s="631"/>
    </row>
    <row r="90" spans="1:31" x14ac:dyDescent="0.45">
      <c r="E90" s="615" t="s">
        <v>146</v>
      </c>
      <c r="F90" s="350"/>
      <c r="G90" s="350" t="s">
        <v>349</v>
      </c>
      <c r="H90" s="350"/>
      <c r="I90" s="350" t="s">
        <v>345</v>
      </c>
      <c r="J90" s="350"/>
      <c r="K90" s="133" t="s">
        <v>148</v>
      </c>
      <c r="L90" s="350" t="s">
        <v>166</v>
      </c>
      <c r="M90" s="350"/>
      <c r="N90" s="350"/>
      <c r="O90" s="350"/>
      <c r="P90" s="350"/>
      <c r="Q90" s="350"/>
      <c r="R90" s="350"/>
      <c r="S90" s="350" t="s">
        <v>352</v>
      </c>
      <c r="T90" s="350"/>
      <c r="U90" s="350"/>
      <c r="V90" s="350"/>
      <c r="W90" s="350"/>
      <c r="X90" s="350"/>
      <c r="Y90" s="614"/>
      <c r="AA90" s="685" t="s">
        <v>147</v>
      </c>
      <c r="AB90" s="686"/>
      <c r="AC90" s="686"/>
      <c r="AD90" s="686"/>
      <c r="AE90" s="684" t="s">
        <v>324</v>
      </c>
    </row>
    <row r="91" spans="1:31" ht="15" x14ac:dyDescent="0.45">
      <c r="E91" s="680">
        <v>44845</v>
      </c>
      <c r="F91" s="681"/>
      <c r="G91" s="555" t="s">
        <v>24</v>
      </c>
      <c r="H91" s="555"/>
      <c r="I91" s="555" t="s">
        <v>329</v>
      </c>
      <c r="J91" s="555"/>
      <c r="K91" s="149">
        <v>0.5</v>
      </c>
      <c r="L91" s="619" t="s">
        <v>168</v>
      </c>
      <c r="M91" s="619"/>
      <c r="N91" s="619"/>
      <c r="O91" s="619"/>
      <c r="P91" s="619"/>
      <c r="Q91" s="619"/>
      <c r="R91" s="619"/>
      <c r="S91" s="555"/>
      <c r="T91" s="555"/>
      <c r="U91" s="555"/>
      <c r="V91" s="555"/>
      <c r="W91" s="555"/>
      <c r="X91" s="555"/>
      <c r="Y91" s="556"/>
      <c r="AA91" s="685"/>
      <c r="AB91" s="686"/>
      <c r="AC91" s="686"/>
      <c r="AD91" s="686"/>
      <c r="AE91" s="684"/>
    </row>
    <row r="92" spans="1:31" ht="15" x14ac:dyDescent="0.45">
      <c r="E92" s="680">
        <v>44846</v>
      </c>
      <c r="F92" s="681"/>
      <c r="G92" s="557" t="s">
        <v>24</v>
      </c>
      <c r="H92" s="557"/>
      <c r="I92" s="557" t="s">
        <v>329</v>
      </c>
      <c r="J92" s="557"/>
      <c r="K92" s="150">
        <v>0.6</v>
      </c>
      <c r="L92" s="606" t="s">
        <v>168</v>
      </c>
      <c r="M92" s="606"/>
      <c r="N92" s="606"/>
      <c r="O92" s="606"/>
      <c r="P92" s="606"/>
      <c r="Q92" s="606"/>
      <c r="R92" s="606"/>
      <c r="S92" s="557"/>
      <c r="T92" s="557"/>
      <c r="U92" s="557"/>
      <c r="V92" s="557"/>
      <c r="W92" s="557"/>
      <c r="X92" s="557"/>
      <c r="Y92" s="558"/>
      <c r="AA92" s="682" t="str">
        <f>'Từ khóa'!S12:S12</f>
        <v>Mua sách</v>
      </c>
      <c r="AB92" s="683"/>
      <c r="AC92" s="683"/>
      <c r="AD92" s="683"/>
      <c r="AE92" s="145">
        <f ca="1">SUMIF($G$91:$H$105,AA92,$K$91:$K$105)</f>
        <v>1</v>
      </c>
    </row>
    <row r="93" spans="1:31" ht="15" x14ac:dyDescent="0.45">
      <c r="E93" s="680">
        <v>44862</v>
      </c>
      <c r="F93" s="681"/>
      <c r="G93" s="557" t="s">
        <v>23</v>
      </c>
      <c r="H93" s="557"/>
      <c r="I93" s="557" t="s">
        <v>23</v>
      </c>
      <c r="J93" s="557"/>
      <c r="K93" s="150">
        <v>1</v>
      </c>
      <c r="L93" s="606" t="s">
        <v>168</v>
      </c>
      <c r="M93" s="606"/>
      <c r="N93" s="606"/>
      <c r="O93" s="606"/>
      <c r="P93" s="606"/>
      <c r="Q93" s="606"/>
      <c r="R93" s="606"/>
      <c r="S93" s="557"/>
      <c r="T93" s="557"/>
      <c r="U93" s="557"/>
      <c r="V93" s="557"/>
      <c r="W93" s="557"/>
      <c r="X93" s="557"/>
      <c r="Y93" s="558"/>
      <c r="AA93" s="678" t="str">
        <f>'Từ khóa'!S13:S13</f>
        <v>Khóa học ngắn hạn</v>
      </c>
      <c r="AB93" s="679"/>
      <c r="AC93" s="679"/>
      <c r="AD93" s="679"/>
      <c r="AE93" s="146">
        <f t="shared" ref="AE93:AE101" ca="1" si="6">SUMIF($G$91:$H$105,AA93,$K$91:$K$105)</f>
        <v>1.1000000000000001</v>
      </c>
    </row>
    <row r="94" spans="1:31" ht="15" x14ac:dyDescent="0.45">
      <c r="E94" s="680"/>
      <c r="F94" s="681"/>
      <c r="G94" s="557"/>
      <c r="H94" s="557"/>
      <c r="I94" s="557"/>
      <c r="J94" s="557"/>
      <c r="K94" s="150"/>
      <c r="L94" s="606"/>
      <c r="M94" s="606"/>
      <c r="N94" s="606"/>
      <c r="O94" s="606"/>
      <c r="P94" s="606"/>
      <c r="Q94" s="606"/>
      <c r="R94" s="606"/>
      <c r="S94" s="557"/>
      <c r="T94" s="557"/>
      <c r="U94" s="557"/>
      <c r="V94" s="557"/>
      <c r="W94" s="557"/>
      <c r="X94" s="557"/>
      <c r="Y94" s="558"/>
      <c r="AA94" s="678" t="str">
        <f>'Từ khóa'!S14:S14</f>
        <v>Khóa học dài hạn</v>
      </c>
      <c r="AB94" s="679"/>
      <c r="AC94" s="679"/>
      <c r="AD94" s="679"/>
      <c r="AE94" s="146">
        <f t="shared" ca="1" si="6"/>
        <v>0</v>
      </c>
    </row>
    <row r="95" spans="1:31" x14ac:dyDescent="0.45">
      <c r="E95" s="604"/>
      <c r="F95" s="605"/>
      <c r="G95" s="557"/>
      <c r="H95" s="557"/>
      <c r="I95" s="557"/>
      <c r="J95" s="557"/>
      <c r="K95" s="150"/>
      <c r="L95" s="606"/>
      <c r="M95" s="606"/>
      <c r="N95" s="606"/>
      <c r="O95" s="606"/>
      <c r="P95" s="606"/>
      <c r="Q95" s="606"/>
      <c r="R95" s="606"/>
      <c r="S95" s="557"/>
      <c r="T95" s="557"/>
      <c r="U95" s="557"/>
      <c r="V95" s="557"/>
      <c r="W95" s="557"/>
      <c r="X95" s="557"/>
      <c r="Y95" s="558"/>
      <c r="AA95" s="678" t="e">
        <f>'Từ khóa'!#REF!</f>
        <v>#REF!</v>
      </c>
      <c r="AB95" s="679"/>
      <c r="AC95" s="679"/>
      <c r="AD95" s="679"/>
      <c r="AE95" s="146">
        <f t="shared" ca="1" si="6"/>
        <v>0</v>
      </c>
    </row>
    <row r="96" spans="1:31" x14ac:dyDescent="0.45">
      <c r="E96" s="604"/>
      <c r="F96" s="605"/>
      <c r="G96" s="557"/>
      <c r="H96" s="557"/>
      <c r="I96" s="557"/>
      <c r="J96" s="557"/>
      <c r="K96" s="150"/>
      <c r="L96" s="606"/>
      <c r="M96" s="606"/>
      <c r="N96" s="606"/>
      <c r="O96" s="606"/>
      <c r="P96" s="606"/>
      <c r="Q96" s="606"/>
      <c r="R96" s="606"/>
      <c r="S96" s="557"/>
      <c r="T96" s="557"/>
      <c r="U96" s="557"/>
      <c r="V96" s="557"/>
      <c r="W96" s="557"/>
      <c r="X96" s="557"/>
      <c r="Y96" s="558"/>
      <c r="AA96" s="678" t="str">
        <f>'Từ khóa'!S15:S15</f>
        <v>Tham gia các buổi diễn thuyết</v>
      </c>
      <c r="AB96" s="679"/>
      <c r="AC96" s="679"/>
      <c r="AD96" s="679"/>
      <c r="AE96" s="146">
        <f t="shared" ca="1" si="6"/>
        <v>0</v>
      </c>
    </row>
    <row r="97" spans="5:31" x14ac:dyDescent="0.45">
      <c r="E97" s="604"/>
      <c r="F97" s="605"/>
      <c r="G97" s="557"/>
      <c r="H97" s="557"/>
      <c r="I97" s="557"/>
      <c r="J97" s="557"/>
      <c r="K97" s="150"/>
      <c r="L97" s="606"/>
      <c r="M97" s="606"/>
      <c r="N97" s="606"/>
      <c r="O97" s="606"/>
      <c r="P97" s="606"/>
      <c r="Q97" s="606"/>
      <c r="R97" s="606"/>
      <c r="S97" s="557"/>
      <c r="T97" s="557"/>
      <c r="U97" s="557"/>
      <c r="V97" s="557"/>
      <c r="W97" s="557"/>
      <c r="X97" s="557"/>
      <c r="Y97" s="558"/>
      <c r="AA97" s="678" t="str">
        <f>'Từ khóa'!S16:S16</f>
        <v>Chi phát triển bản thân khác</v>
      </c>
      <c r="AB97" s="679"/>
      <c r="AC97" s="679"/>
      <c r="AD97" s="679"/>
      <c r="AE97" s="146">
        <f t="shared" ca="1" si="6"/>
        <v>0</v>
      </c>
    </row>
    <row r="98" spans="5:31" x14ac:dyDescent="0.45">
      <c r="E98" s="604"/>
      <c r="F98" s="605"/>
      <c r="G98" s="557"/>
      <c r="H98" s="557"/>
      <c r="I98" s="557"/>
      <c r="J98" s="557"/>
      <c r="K98" s="150"/>
      <c r="L98" s="606"/>
      <c r="M98" s="606"/>
      <c r="N98" s="606"/>
      <c r="O98" s="606"/>
      <c r="P98" s="606"/>
      <c r="Q98" s="606"/>
      <c r="R98" s="606"/>
      <c r="S98" s="557"/>
      <c r="T98" s="557"/>
      <c r="U98" s="557"/>
      <c r="V98" s="557"/>
      <c r="W98" s="557"/>
      <c r="X98" s="557"/>
      <c r="Y98" s="558"/>
      <c r="AA98" s="678">
        <f>'Từ khóa'!S18:S18</f>
        <v>0</v>
      </c>
      <c r="AB98" s="679"/>
      <c r="AC98" s="679"/>
      <c r="AD98" s="679"/>
      <c r="AE98" s="146">
        <f t="shared" ca="1" si="6"/>
        <v>0</v>
      </c>
    </row>
    <row r="99" spans="5:31" x14ac:dyDescent="0.45">
      <c r="E99" s="604"/>
      <c r="F99" s="605"/>
      <c r="G99" s="557"/>
      <c r="H99" s="557"/>
      <c r="I99" s="557"/>
      <c r="J99" s="557"/>
      <c r="K99" s="150"/>
      <c r="L99" s="606"/>
      <c r="M99" s="606"/>
      <c r="N99" s="606"/>
      <c r="O99" s="606"/>
      <c r="P99" s="606"/>
      <c r="Q99" s="606"/>
      <c r="R99" s="606"/>
      <c r="S99" s="557"/>
      <c r="T99" s="557"/>
      <c r="U99" s="557"/>
      <c r="V99" s="557"/>
      <c r="W99" s="557"/>
      <c r="X99" s="557"/>
      <c r="Y99" s="558"/>
      <c r="AA99" s="678">
        <f>'Từ khóa'!S19:S19</f>
        <v>0</v>
      </c>
      <c r="AB99" s="679"/>
      <c r="AC99" s="679"/>
      <c r="AD99" s="679"/>
      <c r="AE99" s="146">
        <f t="shared" ca="1" si="6"/>
        <v>0</v>
      </c>
    </row>
    <row r="100" spans="5:31" x14ac:dyDescent="0.45">
      <c r="E100" s="604"/>
      <c r="F100" s="605"/>
      <c r="G100" s="557"/>
      <c r="H100" s="557"/>
      <c r="I100" s="557"/>
      <c r="J100" s="557"/>
      <c r="K100" s="150"/>
      <c r="L100" s="606"/>
      <c r="M100" s="606"/>
      <c r="N100" s="606"/>
      <c r="O100" s="606"/>
      <c r="P100" s="606"/>
      <c r="Q100" s="606"/>
      <c r="R100" s="606"/>
      <c r="S100" s="557"/>
      <c r="T100" s="557"/>
      <c r="U100" s="557"/>
      <c r="V100" s="557"/>
      <c r="W100" s="557"/>
      <c r="X100" s="557"/>
      <c r="Y100" s="558"/>
      <c r="AA100" s="678">
        <f>'Từ khóa'!S20:S20</f>
        <v>0</v>
      </c>
      <c r="AB100" s="679"/>
      <c r="AC100" s="679"/>
      <c r="AD100" s="679"/>
      <c r="AE100" s="146">
        <f t="shared" ca="1" si="6"/>
        <v>0</v>
      </c>
    </row>
    <row r="101" spans="5:31" ht="14.65" thickBot="1" x14ac:dyDescent="0.5">
      <c r="E101" s="604"/>
      <c r="F101" s="605"/>
      <c r="G101" s="557"/>
      <c r="H101" s="557"/>
      <c r="I101" s="557"/>
      <c r="J101" s="557"/>
      <c r="K101" s="150"/>
      <c r="L101" s="606"/>
      <c r="M101" s="606"/>
      <c r="N101" s="606"/>
      <c r="O101" s="606"/>
      <c r="P101" s="606"/>
      <c r="Q101" s="606"/>
      <c r="R101" s="606"/>
      <c r="S101" s="557"/>
      <c r="T101" s="557"/>
      <c r="U101" s="557"/>
      <c r="V101" s="557"/>
      <c r="W101" s="557"/>
      <c r="X101" s="557"/>
      <c r="Y101" s="558"/>
      <c r="AA101" s="676">
        <f>'Từ khóa'!S21:S21</f>
        <v>0</v>
      </c>
      <c r="AB101" s="677"/>
      <c r="AC101" s="677"/>
      <c r="AD101" s="677"/>
      <c r="AE101" s="147">
        <f t="shared" ca="1" si="6"/>
        <v>0</v>
      </c>
    </row>
    <row r="102" spans="5:31" ht="14.65" thickBot="1" x14ac:dyDescent="0.5">
      <c r="E102" s="604"/>
      <c r="F102" s="605"/>
      <c r="G102" s="557"/>
      <c r="H102" s="557"/>
      <c r="I102" s="557"/>
      <c r="J102" s="557"/>
      <c r="K102" s="150"/>
      <c r="L102" s="606"/>
      <c r="M102" s="606"/>
      <c r="N102" s="606"/>
      <c r="O102" s="606"/>
      <c r="P102" s="606"/>
      <c r="Q102" s="606"/>
      <c r="R102" s="606"/>
      <c r="S102" s="557"/>
      <c r="T102" s="557"/>
      <c r="U102" s="557"/>
      <c r="V102" s="557"/>
      <c r="W102" s="557"/>
      <c r="X102" s="557"/>
      <c r="Y102" s="558"/>
      <c r="AA102" s="598" t="s">
        <v>351</v>
      </c>
      <c r="AB102" s="599"/>
      <c r="AC102" s="599"/>
      <c r="AD102" s="599"/>
      <c r="AE102" s="262">
        <f ca="1">SUM(AE92:AE101)</f>
        <v>2.1</v>
      </c>
    </row>
    <row r="103" spans="5:31" x14ac:dyDescent="0.45">
      <c r="E103" s="604"/>
      <c r="F103" s="605"/>
      <c r="G103" s="557"/>
      <c r="H103" s="557"/>
      <c r="I103" s="557"/>
      <c r="J103" s="557"/>
      <c r="K103" s="150"/>
      <c r="L103" s="606"/>
      <c r="M103" s="606"/>
      <c r="N103" s="606"/>
      <c r="O103" s="606"/>
      <c r="P103" s="606"/>
      <c r="Q103" s="606"/>
      <c r="R103" s="606"/>
      <c r="S103" s="557"/>
      <c r="T103" s="557"/>
      <c r="U103" s="557"/>
      <c r="V103" s="557"/>
      <c r="W103" s="557"/>
      <c r="X103" s="557"/>
      <c r="Y103" s="558"/>
      <c r="AA103" s="600"/>
      <c r="AB103" s="600"/>
      <c r="AC103" s="600"/>
      <c r="AD103" s="600"/>
    </row>
    <row r="104" spans="5:31" x14ac:dyDescent="0.45">
      <c r="E104" s="604"/>
      <c r="F104" s="605"/>
      <c r="G104" s="557"/>
      <c r="H104" s="557"/>
      <c r="I104" s="557"/>
      <c r="J104" s="557"/>
      <c r="K104" s="150"/>
      <c r="L104" s="606"/>
      <c r="M104" s="606"/>
      <c r="N104" s="606"/>
      <c r="O104" s="606"/>
      <c r="P104" s="606"/>
      <c r="Q104" s="606"/>
      <c r="R104" s="606"/>
      <c r="S104" s="557"/>
      <c r="T104" s="557"/>
      <c r="U104" s="557"/>
      <c r="V104" s="557"/>
      <c r="W104" s="557"/>
      <c r="X104" s="557"/>
      <c r="Y104" s="558"/>
      <c r="AA104" s="600"/>
      <c r="AB104" s="600"/>
      <c r="AC104" s="600"/>
      <c r="AD104" s="600"/>
    </row>
    <row r="105" spans="5:31" ht="14.65" thickBot="1" x14ac:dyDescent="0.5">
      <c r="E105" s="607"/>
      <c r="F105" s="608"/>
      <c r="G105" s="546"/>
      <c r="H105" s="546"/>
      <c r="I105" s="546"/>
      <c r="J105" s="546"/>
      <c r="K105" s="151"/>
      <c r="L105" s="609"/>
      <c r="M105" s="609"/>
      <c r="N105" s="609"/>
      <c r="O105" s="609"/>
      <c r="P105" s="609"/>
      <c r="Q105" s="609"/>
      <c r="R105" s="609"/>
      <c r="S105" s="546"/>
      <c r="T105" s="546"/>
      <c r="U105" s="546"/>
      <c r="V105" s="546"/>
      <c r="W105" s="546"/>
      <c r="X105" s="546"/>
      <c r="Y105" s="547"/>
      <c r="AA105" s="600"/>
      <c r="AB105" s="600"/>
      <c r="AC105" s="600"/>
      <c r="AD105" s="600"/>
    </row>
    <row r="106" spans="5:31" ht="14.65" thickBot="1" x14ac:dyDescent="0.5">
      <c r="E106" s="601" t="s">
        <v>351</v>
      </c>
      <c r="F106" s="602"/>
      <c r="G106" s="602"/>
      <c r="H106" s="602"/>
      <c r="I106" s="602"/>
      <c r="J106" s="602"/>
      <c r="K106" s="603">
        <f>SUM(K91:K105)</f>
        <v>2.1</v>
      </c>
      <c r="L106" s="603"/>
      <c r="M106" s="603"/>
      <c r="N106" s="603"/>
      <c r="O106" s="603"/>
      <c r="P106" s="603"/>
      <c r="Q106" s="603"/>
      <c r="R106" s="603"/>
      <c r="S106" s="141"/>
      <c r="T106" s="141"/>
      <c r="U106" s="141"/>
      <c r="V106" s="141"/>
      <c r="W106" s="141"/>
      <c r="X106" s="141"/>
      <c r="Y106" s="142"/>
    </row>
  </sheetData>
  <sheetProtection algorithmName="SHA-512" hashValue="NO5Zp/d7C4rEbTD1xBIPMigQ68Rrbr0IsBcc8GD6Fp4YHGta5OvG9tqgnV0CREnPKFq+ql4jSqvBa819NL2hAQ==" saltValue="QPTrfYONWveRckub+Xmwmw==" spinCount="100000" sheet="1" formatCells="0" formatColumns="0" formatRows="0" insertColumns="0" insertRows="0" insertHyperlinks="0" deleteColumns="0" deleteRows="0" sort="0" autoFilter="0" pivotTables="0"/>
  <mergeCells count="423">
    <mergeCell ref="E106:J106"/>
    <mergeCell ref="K106:R106"/>
    <mergeCell ref="E105:F105"/>
    <mergeCell ref="G105:H105"/>
    <mergeCell ref="I105:J105"/>
    <mergeCell ref="L105:R105"/>
    <mergeCell ref="S105:Y105"/>
    <mergeCell ref="AA105:AD105"/>
    <mergeCell ref="E104:F104"/>
    <mergeCell ref="G104:H104"/>
    <mergeCell ref="I104:J104"/>
    <mergeCell ref="L104:R104"/>
    <mergeCell ref="S104:Y104"/>
    <mergeCell ref="AA104:AD104"/>
    <mergeCell ref="E103:F103"/>
    <mergeCell ref="G103:H103"/>
    <mergeCell ref="I103:J103"/>
    <mergeCell ref="L103:R103"/>
    <mergeCell ref="S103:Y103"/>
    <mergeCell ref="AA103:AD103"/>
    <mergeCell ref="E102:F102"/>
    <mergeCell ref="G102:H102"/>
    <mergeCell ref="I102:J102"/>
    <mergeCell ref="L102:R102"/>
    <mergeCell ref="S102:Y102"/>
    <mergeCell ref="AA102:AD102"/>
    <mergeCell ref="E101:F101"/>
    <mergeCell ref="G101:H101"/>
    <mergeCell ref="I101:J101"/>
    <mergeCell ref="L101:R101"/>
    <mergeCell ref="S101:Y101"/>
    <mergeCell ref="AA101:AD101"/>
    <mergeCell ref="E100:F100"/>
    <mergeCell ref="G100:H100"/>
    <mergeCell ref="I100:J100"/>
    <mergeCell ref="L100:R100"/>
    <mergeCell ref="S100:Y100"/>
    <mergeCell ref="AA100:AD100"/>
    <mergeCell ref="E99:F99"/>
    <mergeCell ref="G99:H99"/>
    <mergeCell ref="I99:J99"/>
    <mergeCell ref="L99:R99"/>
    <mergeCell ref="S99:Y99"/>
    <mergeCell ref="AA99:AD99"/>
    <mergeCell ref="E98:F98"/>
    <mergeCell ref="G98:H98"/>
    <mergeCell ref="I98:J98"/>
    <mergeCell ref="L98:R98"/>
    <mergeCell ref="S98:Y98"/>
    <mergeCell ref="AA98:AD98"/>
    <mergeCell ref="E97:F97"/>
    <mergeCell ref="G97:H97"/>
    <mergeCell ref="I97:J97"/>
    <mergeCell ref="L97:R97"/>
    <mergeCell ref="S97:Y97"/>
    <mergeCell ref="AA97:AD97"/>
    <mergeCell ref="E96:F96"/>
    <mergeCell ref="G96:H96"/>
    <mergeCell ref="I96:J96"/>
    <mergeCell ref="L96:R96"/>
    <mergeCell ref="S96:Y96"/>
    <mergeCell ref="AA96:AD96"/>
    <mergeCell ref="E95:F95"/>
    <mergeCell ref="G95:H95"/>
    <mergeCell ref="I95:J95"/>
    <mergeCell ref="L95:R95"/>
    <mergeCell ref="S95:Y95"/>
    <mergeCell ref="AA95:AD95"/>
    <mergeCell ref="E94:F94"/>
    <mergeCell ref="G94:H94"/>
    <mergeCell ref="I94:J94"/>
    <mergeCell ref="L94:R94"/>
    <mergeCell ref="S94:Y94"/>
    <mergeCell ref="AA94:AD94"/>
    <mergeCell ref="E93:F93"/>
    <mergeCell ref="G93:H93"/>
    <mergeCell ref="I93:J93"/>
    <mergeCell ref="L93:R93"/>
    <mergeCell ref="S93:Y93"/>
    <mergeCell ref="AA93:AD93"/>
    <mergeCell ref="E92:F92"/>
    <mergeCell ref="G92:H92"/>
    <mergeCell ref="I92:J92"/>
    <mergeCell ref="L92:R92"/>
    <mergeCell ref="S92:Y92"/>
    <mergeCell ref="AA92:AD92"/>
    <mergeCell ref="AE90:AE91"/>
    <mergeCell ref="E91:F91"/>
    <mergeCell ref="G91:H91"/>
    <mergeCell ref="I91:J91"/>
    <mergeCell ref="L91:R91"/>
    <mergeCell ref="S91:Y91"/>
    <mergeCell ref="E83:M83"/>
    <mergeCell ref="E86:M87"/>
    <mergeCell ref="E89:Y89"/>
    <mergeCell ref="AA89:AE89"/>
    <mergeCell ref="E90:F90"/>
    <mergeCell ref="G90:H90"/>
    <mergeCell ref="I90:J90"/>
    <mergeCell ref="L90:R90"/>
    <mergeCell ref="S90:Y90"/>
    <mergeCell ref="AA90:AD91"/>
    <mergeCell ref="E81:F81"/>
    <mergeCell ref="G81:J81"/>
    <mergeCell ref="K81:M81"/>
    <mergeCell ref="E82:F82"/>
    <mergeCell ref="G82:J82"/>
    <mergeCell ref="K82:M82"/>
    <mergeCell ref="E79:F79"/>
    <mergeCell ref="G79:J79"/>
    <mergeCell ref="K79:M79"/>
    <mergeCell ref="E80:F80"/>
    <mergeCell ref="G80:J80"/>
    <mergeCell ref="K80:M80"/>
    <mergeCell ref="E77:F77"/>
    <mergeCell ref="G77:J77"/>
    <mergeCell ref="K77:M77"/>
    <mergeCell ref="E78:F78"/>
    <mergeCell ref="G78:J78"/>
    <mergeCell ref="K78:M78"/>
    <mergeCell ref="E75:F75"/>
    <mergeCell ref="G75:J75"/>
    <mergeCell ref="K75:M75"/>
    <mergeCell ref="E76:F76"/>
    <mergeCell ref="G76:J76"/>
    <mergeCell ref="K76:M76"/>
    <mergeCell ref="E73:F73"/>
    <mergeCell ref="G73:J73"/>
    <mergeCell ref="K73:M73"/>
    <mergeCell ref="E74:F74"/>
    <mergeCell ref="G74:J74"/>
    <mergeCell ref="K74:M74"/>
    <mergeCell ref="E71:F71"/>
    <mergeCell ref="G71:J71"/>
    <mergeCell ref="K71:M71"/>
    <mergeCell ref="E72:F72"/>
    <mergeCell ref="G72:J72"/>
    <mergeCell ref="K72:M72"/>
    <mergeCell ref="E69:F69"/>
    <mergeCell ref="G69:J69"/>
    <mergeCell ref="K69:M69"/>
    <mergeCell ref="E70:F70"/>
    <mergeCell ref="G70:J70"/>
    <mergeCell ref="K70:M70"/>
    <mergeCell ref="E67:F67"/>
    <mergeCell ref="G67:J67"/>
    <mergeCell ref="K67:M67"/>
    <mergeCell ref="E68:F68"/>
    <mergeCell ref="G68:J68"/>
    <mergeCell ref="K68:M68"/>
    <mergeCell ref="E65:F65"/>
    <mergeCell ref="G65:J65"/>
    <mergeCell ref="K65:M65"/>
    <mergeCell ref="E66:F66"/>
    <mergeCell ref="G66:J66"/>
    <mergeCell ref="K66:M66"/>
    <mergeCell ref="E63:F63"/>
    <mergeCell ref="G63:J63"/>
    <mergeCell ref="K63:M63"/>
    <mergeCell ref="E64:F64"/>
    <mergeCell ref="G64:J64"/>
    <mergeCell ref="K64:M64"/>
    <mergeCell ref="E61:F61"/>
    <mergeCell ref="G61:J61"/>
    <mergeCell ref="K61:M61"/>
    <mergeCell ref="E62:F62"/>
    <mergeCell ref="G62:J62"/>
    <mergeCell ref="K62:M62"/>
    <mergeCell ref="E59:F59"/>
    <mergeCell ref="G59:J59"/>
    <mergeCell ref="K59:M59"/>
    <mergeCell ref="E60:F60"/>
    <mergeCell ref="G60:J60"/>
    <mergeCell ref="K60:M60"/>
    <mergeCell ref="X57:Y57"/>
    <mergeCell ref="Z57:AE57"/>
    <mergeCell ref="AF57:AK57"/>
    <mergeCell ref="E58:F58"/>
    <mergeCell ref="G58:J58"/>
    <mergeCell ref="K58:M58"/>
    <mergeCell ref="E57:F57"/>
    <mergeCell ref="G57:J57"/>
    <mergeCell ref="K57:M57"/>
    <mergeCell ref="P57:S57"/>
    <mergeCell ref="T57:U57"/>
    <mergeCell ref="V57:W57"/>
    <mergeCell ref="Z55:AE55"/>
    <mergeCell ref="AF55:AK55"/>
    <mergeCell ref="E56:F56"/>
    <mergeCell ref="G56:J56"/>
    <mergeCell ref="K56:M56"/>
    <mergeCell ref="P56:S56"/>
    <mergeCell ref="T56:U56"/>
    <mergeCell ref="X56:Y56"/>
    <mergeCell ref="Z56:AE56"/>
    <mergeCell ref="AF56:AK56"/>
    <mergeCell ref="E55:F55"/>
    <mergeCell ref="G55:J55"/>
    <mergeCell ref="K55:M55"/>
    <mergeCell ref="P55:S55"/>
    <mergeCell ref="T55:U55"/>
    <mergeCell ref="X55:Y55"/>
    <mergeCell ref="Z53:AE53"/>
    <mergeCell ref="AF53:AK53"/>
    <mergeCell ref="E54:F54"/>
    <mergeCell ref="G54:J54"/>
    <mergeCell ref="K54:M54"/>
    <mergeCell ref="P54:S54"/>
    <mergeCell ref="T54:U54"/>
    <mergeCell ref="X54:Y54"/>
    <mergeCell ref="Z54:AE54"/>
    <mergeCell ref="AF54:AK54"/>
    <mergeCell ref="E53:F53"/>
    <mergeCell ref="G53:J53"/>
    <mergeCell ref="K53:M53"/>
    <mergeCell ref="P53:S53"/>
    <mergeCell ref="T53:U53"/>
    <mergeCell ref="X53:Y53"/>
    <mergeCell ref="Z51:AE51"/>
    <mergeCell ref="AF51:AK51"/>
    <mergeCell ref="E52:F52"/>
    <mergeCell ref="G52:J52"/>
    <mergeCell ref="K52:M52"/>
    <mergeCell ref="P52:S52"/>
    <mergeCell ref="T52:U52"/>
    <mergeCell ref="X52:Y52"/>
    <mergeCell ref="Z52:AE52"/>
    <mergeCell ref="AF52:AK52"/>
    <mergeCell ref="E51:F51"/>
    <mergeCell ref="G51:J51"/>
    <mergeCell ref="K51:M51"/>
    <mergeCell ref="P51:S51"/>
    <mergeCell ref="T51:U51"/>
    <mergeCell ref="X51:Y51"/>
    <mergeCell ref="Z49:AE49"/>
    <mergeCell ref="AF49:AK49"/>
    <mergeCell ref="E50:F50"/>
    <mergeCell ref="G50:J50"/>
    <mergeCell ref="K50:M50"/>
    <mergeCell ref="P50:S50"/>
    <mergeCell ref="T50:U50"/>
    <mergeCell ref="X50:Y50"/>
    <mergeCell ref="Z50:AE50"/>
    <mergeCell ref="AF50:AK50"/>
    <mergeCell ref="E49:F49"/>
    <mergeCell ref="G49:J49"/>
    <mergeCell ref="K49:M49"/>
    <mergeCell ref="P49:S49"/>
    <mergeCell ref="T49:U49"/>
    <mergeCell ref="X49:Y49"/>
    <mergeCell ref="Z47:AE47"/>
    <mergeCell ref="AF47:AK47"/>
    <mergeCell ref="E48:F48"/>
    <mergeCell ref="G48:J48"/>
    <mergeCell ref="K48:M48"/>
    <mergeCell ref="P48:S48"/>
    <mergeCell ref="T48:U48"/>
    <mergeCell ref="X48:Y48"/>
    <mergeCell ref="Z48:AE48"/>
    <mergeCell ref="AF48:AK48"/>
    <mergeCell ref="E47:F47"/>
    <mergeCell ref="G47:J47"/>
    <mergeCell ref="K47:M47"/>
    <mergeCell ref="P47:S47"/>
    <mergeCell ref="T47:U47"/>
    <mergeCell ref="X47:Y47"/>
    <mergeCell ref="Z45:AE45"/>
    <mergeCell ref="AF45:AK45"/>
    <mergeCell ref="E46:F46"/>
    <mergeCell ref="G46:J46"/>
    <mergeCell ref="K46:M46"/>
    <mergeCell ref="P46:S46"/>
    <mergeCell ref="T46:U46"/>
    <mergeCell ref="X46:Y46"/>
    <mergeCell ref="Z46:AE46"/>
    <mergeCell ref="AF46:AK46"/>
    <mergeCell ref="E45:F45"/>
    <mergeCell ref="G45:J45"/>
    <mergeCell ref="K45:M45"/>
    <mergeCell ref="P45:S45"/>
    <mergeCell ref="T45:U45"/>
    <mergeCell ref="X45:Y45"/>
    <mergeCell ref="E44:F44"/>
    <mergeCell ref="G44:J44"/>
    <mergeCell ref="K44:M44"/>
    <mergeCell ref="P44:S44"/>
    <mergeCell ref="T44:U44"/>
    <mergeCell ref="X44:Y44"/>
    <mergeCell ref="Z44:AE44"/>
    <mergeCell ref="AF44:AK44"/>
    <mergeCell ref="E43:F43"/>
    <mergeCell ref="G43:J43"/>
    <mergeCell ref="K43:M43"/>
    <mergeCell ref="P43:S43"/>
    <mergeCell ref="T43:U43"/>
    <mergeCell ref="X43:Y43"/>
    <mergeCell ref="E42:F42"/>
    <mergeCell ref="G42:J42"/>
    <mergeCell ref="K42:M42"/>
    <mergeCell ref="P42:S42"/>
    <mergeCell ref="T42:U42"/>
    <mergeCell ref="X42:Y42"/>
    <mergeCell ref="Z42:AE42"/>
    <mergeCell ref="AF42:AK42"/>
    <mergeCell ref="Z43:AE43"/>
    <mergeCell ref="AF43:AK43"/>
    <mergeCell ref="AF37:AK37"/>
    <mergeCell ref="E40:N40"/>
    <mergeCell ref="P40:AK40"/>
    <mergeCell ref="E41:F41"/>
    <mergeCell ref="G41:J41"/>
    <mergeCell ref="K41:M41"/>
    <mergeCell ref="P41:S41"/>
    <mergeCell ref="T41:U41"/>
    <mergeCell ref="V41:W41"/>
    <mergeCell ref="X41:Y41"/>
    <mergeCell ref="E37:M37"/>
    <mergeCell ref="P37:S37"/>
    <mergeCell ref="T37:U37"/>
    <mergeCell ref="V37:W37"/>
    <mergeCell ref="X37:Y37"/>
    <mergeCell ref="Z37:AE37"/>
    <mergeCell ref="Z41:AE41"/>
    <mergeCell ref="AF41:AK41"/>
    <mergeCell ref="Z35:AE35"/>
    <mergeCell ref="AF35:AK35"/>
    <mergeCell ref="E36:F36"/>
    <mergeCell ref="G36:J36"/>
    <mergeCell ref="K36:M36"/>
    <mergeCell ref="P36:S36"/>
    <mergeCell ref="T36:U36"/>
    <mergeCell ref="X36:Y36"/>
    <mergeCell ref="Z36:AE36"/>
    <mergeCell ref="AF36:AK36"/>
    <mergeCell ref="E35:F35"/>
    <mergeCell ref="G35:J35"/>
    <mergeCell ref="K35:M35"/>
    <mergeCell ref="P35:S35"/>
    <mergeCell ref="T35:U35"/>
    <mergeCell ref="X35:Y35"/>
    <mergeCell ref="Z33:AE33"/>
    <mergeCell ref="AF33:AK33"/>
    <mergeCell ref="E34:F34"/>
    <mergeCell ref="G34:J34"/>
    <mergeCell ref="K34:M34"/>
    <mergeCell ref="P34:S34"/>
    <mergeCell ref="T34:U34"/>
    <mergeCell ref="X34:Y34"/>
    <mergeCell ref="Z34:AE34"/>
    <mergeCell ref="AF34:AK34"/>
    <mergeCell ref="E33:F33"/>
    <mergeCell ref="G33:J33"/>
    <mergeCell ref="K33:M33"/>
    <mergeCell ref="P33:S33"/>
    <mergeCell ref="T33:U33"/>
    <mergeCell ref="X33:Y33"/>
    <mergeCell ref="Z31:AE31"/>
    <mergeCell ref="AF31:AK31"/>
    <mergeCell ref="E32:F32"/>
    <mergeCell ref="G32:J32"/>
    <mergeCell ref="K32:M32"/>
    <mergeCell ref="P32:S32"/>
    <mergeCell ref="T32:U32"/>
    <mergeCell ref="X32:Y32"/>
    <mergeCell ref="Z32:AE32"/>
    <mergeCell ref="AF32:AK32"/>
    <mergeCell ref="E31:F31"/>
    <mergeCell ref="G31:J31"/>
    <mergeCell ref="K31:M31"/>
    <mergeCell ref="P31:S31"/>
    <mergeCell ref="T31:U31"/>
    <mergeCell ref="X31:Y31"/>
    <mergeCell ref="Z29:AE29"/>
    <mergeCell ref="AF29:AK29"/>
    <mergeCell ref="E30:F30"/>
    <mergeCell ref="G30:J30"/>
    <mergeCell ref="K30:M30"/>
    <mergeCell ref="P30:S30"/>
    <mergeCell ref="T30:U30"/>
    <mergeCell ref="X30:Y30"/>
    <mergeCell ref="Z30:AE30"/>
    <mergeCell ref="AF30:AK30"/>
    <mergeCell ref="E29:F29"/>
    <mergeCell ref="G29:J29"/>
    <mergeCell ref="K29:M29"/>
    <mergeCell ref="P29:S29"/>
    <mergeCell ref="T29:U29"/>
    <mergeCell ref="X29:Y29"/>
    <mergeCell ref="E27:F27"/>
    <mergeCell ref="G27:J27"/>
    <mergeCell ref="K27:M27"/>
    <mergeCell ref="P27:S27"/>
    <mergeCell ref="T27:U27"/>
    <mergeCell ref="X27:Y27"/>
    <mergeCell ref="Z27:AE27"/>
    <mergeCell ref="AF27:AK27"/>
    <mergeCell ref="E28:F28"/>
    <mergeCell ref="G28:J28"/>
    <mergeCell ref="K28:M28"/>
    <mergeCell ref="P28:S28"/>
    <mergeCell ref="T28:U28"/>
    <mergeCell ref="X28:Y28"/>
    <mergeCell ref="Z28:AE28"/>
    <mergeCell ref="AF28:AK28"/>
    <mergeCell ref="P25:AK25"/>
    <mergeCell ref="E26:F26"/>
    <mergeCell ref="G26:J26"/>
    <mergeCell ref="K26:M26"/>
    <mergeCell ref="P26:S26"/>
    <mergeCell ref="T26:U26"/>
    <mergeCell ref="V26:W26"/>
    <mergeCell ref="X26:Y26"/>
    <mergeCell ref="Z26:AE26"/>
    <mergeCell ref="AF26:AK26"/>
    <mergeCell ref="E1:K3"/>
    <mergeCell ref="E6:M7"/>
    <mergeCell ref="E9:H12"/>
    <mergeCell ref="I9:I12"/>
    <mergeCell ref="E14:H17"/>
    <mergeCell ref="I14:I17"/>
    <mergeCell ref="E19:H22"/>
    <mergeCell ref="I19:I22"/>
    <mergeCell ref="E25:N25"/>
  </mergeCells>
  <conditionalFormatting sqref="X27:Y36">
    <cfRule type="cellIs" dxfId="6" priority="2" operator="lessThan">
      <formula>0</formula>
    </cfRule>
  </conditionalFormatting>
  <conditionalFormatting sqref="X42:Y56">
    <cfRule type="cellIs" dxfId="5" priority="3" operator="lessThan">
      <formula>0</formula>
    </cfRule>
  </conditionalFormatting>
  <conditionalFormatting sqref="AE92:AE101">
    <cfRule type="dataBar" priority="1">
      <dataBar>
        <cfvo type="min"/>
        <cfvo type="max"/>
        <color theme="6" tint="0.39997558519241921"/>
      </dataBar>
      <extLst>
        <ext xmlns:x14="http://schemas.microsoft.com/office/spreadsheetml/2009/9/main" uri="{B025F937-C7B1-47D3-B67F-A62EFF666E3E}">
          <x14:id>{2A759EB7-99F0-48D7-AD61-AD9F200896A3}</x14:id>
        </ext>
      </extLst>
    </cfRule>
  </conditionalFormatting>
  <dataValidations count="1">
    <dataValidation allowBlank="1" showInputMessage="1" showErrorMessage="1" prompt="Nhập dữ liệu" sqref="E60:F82 E95:F105 K60:M82 K27:N36 I91:Y105 N42:N82" xr:uid="{00000000-0002-0000-0F00-000000000000}"/>
  </dataValidations>
  <hyperlinks>
    <hyperlink ref="F4" location="'T10'!E7" display="Phần 1" xr:uid="{00000000-0004-0000-0F00-000000000000}"/>
    <hyperlink ref="G4" location="'T10'!E87" display="Phần 2" xr:uid="{00000000-0004-0000-0F00-000001000000}"/>
    <hyperlink ref="H4" location="'T10'!E109" display="Phần 3" xr:uid="{00000000-0004-0000-0F00-000002000000}"/>
  </hyperlinks>
  <pageMargins left="0.7" right="0.7" top="0.75" bottom="0.75" header="0.3" footer="0.3"/>
  <pageSetup scale="31" orientation="portrait" r:id="rId1"/>
  <drawing r:id="rId2"/>
  <extLst>
    <ext xmlns:x14="http://schemas.microsoft.com/office/spreadsheetml/2009/9/main" uri="{78C0D931-6437-407d-A8EE-F0AAD7539E65}">
      <x14:conditionalFormattings>
        <x14:conditionalFormatting xmlns:xm="http://schemas.microsoft.com/office/excel/2006/main">
          <x14:cfRule type="dataBar" id="{2A759EB7-99F0-48D7-AD61-AD9F200896A3}">
            <x14:dataBar minLength="0" maxLength="100" gradient="0">
              <x14:cfvo type="autoMin"/>
              <x14:cfvo type="autoMax"/>
              <x14:negativeFillColor rgb="FFFF0000"/>
              <x14:axisColor rgb="FF000000"/>
            </x14:dataBar>
          </x14:cfRule>
          <xm:sqref>AE92:AE101</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prompt="Chọn dữ liệu" xr:uid="{00000000-0002-0000-0F00-000001000000}">
          <x14:formula1>
            <xm:f>'Từ khóa'!$F$12:$F$26</xm:f>
          </x14:formula1>
          <xm:sqref>G42:J82</xm:sqref>
        </x14:dataValidation>
        <x14:dataValidation type="list" allowBlank="1" showInputMessage="1" showErrorMessage="1" prompt="Chọn dữ liệu" xr:uid="{00000000-0002-0000-0F00-000002000000}">
          <x14:formula1>
            <xm:f>'Từ khóa'!$M$12:$M$19</xm:f>
          </x14:formula1>
          <xm:sqref>G27:J36</xm:sqref>
        </x14:dataValidation>
        <x14:dataValidation type="list" allowBlank="1" showInputMessage="1" showErrorMessage="1" prompt="Chọn dữ liệu" xr:uid="{00000000-0002-0000-0F00-000003000000}">
          <x14:formula1>
            <xm:f>'Từ khóa'!$S$12:$S$21</xm:f>
          </x14:formula1>
          <xm:sqref>G91:H105</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K106"/>
  <sheetViews>
    <sheetView showGridLines="0" zoomScale="80" zoomScaleNormal="80" workbookViewId="0">
      <pane xSplit="4" ySplit="4" topLeftCell="E5" activePane="bottomRight" state="frozen"/>
      <selection pane="topRight" activeCell="E1" sqref="E1"/>
      <selection pane="bottomLeft" activeCell="A5" sqref="A5"/>
      <selection pane="bottomRight" activeCell="E5" sqref="E5"/>
    </sheetView>
  </sheetViews>
  <sheetFormatPr defaultColWidth="9.19921875" defaultRowHeight="14.25" x14ac:dyDescent="0.45"/>
  <cols>
    <col min="1" max="3" width="9.19921875" style="1"/>
    <col min="4" max="5" width="9.19921875" style="4"/>
    <col min="6" max="9" width="13.19921875" style="4" customWidth="1"/>
    <col min="10" max="14" width="9.19921875" style="4"/>
    <col min="15" max="15" width="13.19921875" style="4" customWidth="1"/>
    <col min="16" max="16384" width="9.19921875" style="4"/>
  </cols>
  <sheetData>
    <row r="1" spans="1:27" s="2" customFormat="1" ht="15" customHeight="1" x14ac:dyDescent="0.45">
      <c r="A1" s="1"/>
      <c r="B1" s="1"/>
      <c r="C1" s="1"/>
      <c r="E1" s="353" t="s">
        <v>337</v>
      </c>
      <c r="F1" s="353"/>
      <c r="G1" s="353"/>
      <c r="H1" s="353"/>
      <c r="I1" s="353"/>
      <c r="J1" s="353"/>
      <c r="K1" s="353"/>
    </row>
    <row r="2" spans="1:27" s="2" customFormat="1" ht="15" customHeight="1" x14ac:dyDescent="0.45">
      <c r="A2" s="1"/>
      <c r="B2" s="1"/>
      <c r="C2" s="1"/>
      <c r="E2" s="353"/>
      <c r="F2" s="353"/>
      <c r="G2" s="353"/>
      <c r="H2" s="353"/>
      <c r="I2" s="353"/>
      <c r="J2" s="353"/>
      <c r="K2" s="353"/>
    </row>
    <row r="3" spans="1:27" s="2" customFormat="1" ht="14.65" thickBot="1" x14ac:dyDescent="0.5">
      <c r="A3" s="1"/>
      <c r="B3" s="1"/>
      <c r="C3" s="1"/>
      <c r="E3" s="353"/>
      <c r="F3" s="353"/>
      <c r="G3" s="353"/>
      <c r="H3" s="353"/>
      <c r="I3" s="353"/>
      <c r="J3" s="353"/>
      <c r="K3" s="353"/>
      <c r="L3" s="3" t="s">
        <v>45</v>
      </c>
    </row>
    <row r="4" spans="1:27" ht="14.65" thickBot="1" x14ac:dyDescent="0.5">
      <c r="F4" s="154" t="s">
        <v>132</v>
      </c>
      <c r="G4" s="154" t="s">
        <v>133</v>
      </c>
      <c r="H4" s="154" t="s">
        <v>134</v>
      </c>
    </row>
    <row r="5" spans="1:27" ht="15" customHeight="1" x14ac:dyDescent="0.45">
      <c r="F5" s="6"/>
      <c r="G5" s="6"/>
      <c r="H5" s="6"/>
      <c r="I5" s="6"/>
      <c r="J5" s="6"/>
      <c r="K5" s="6"/>
      <c r="L5" s="6"/>
      <c r="M5" s="6"/>
      <c r="N5" s="6"/>
      <c r="O5" s="6"/>
      <c r="P5" s="6"/>
      <c r="Q5" s="6"/>
      <c r="R5" s="6"/>
      <c r="S5" s="6"/>
      <c r="T5" s="6"/>
      <c r="U5" s="6"/>
      <c r="V5" s="6"/>
      <c r="W5" s="6"/>
      <c r="X5" s="6"/>
      <c r="Y5" s="6"/>
      <c r="Z5" s="6"/>
      <c r="AA5" s="6"/>
    </row>
    <row r="6" spans="1:27" ht="15" customHeight="1" x14ac:dyDescent="0.45">
      <c r="E6" s="532" t="s">
        <v>135</v>
      </c>
      <c r="F6" s="532"/>
      <c r="G6" s="532"/>
      <c r="H6" s="532"/>
      <c r="I6" s="532"/>
      <c r="J6" s="532"/>
      <c r="K6" s="532"/>
      <c r="L6" s="532"/>
      <c r="M6" s="532"/>
      <c r="N6" s="5"/>
      <c r="O6" s="5"/>
      <c r="P6" s="5"/>
      <c r="Q6" s="5"/>
      <c r="R6" s="5"/>
      <c r="S6" s="6"/>
      <c r="T6" s="6"/>
      <c r="U6" s="6"/>
      <c r="V6" s="6"/>
      <c r="W6" s="6"/>
      <c r="X6" s="6"/>
      <c r="Y6" s="6"/>
      <c r="Z6" s="6"/>
      <c r="AA6" s="6"/>
    </row>
    <row r="7" spans="1:27" s="8" customFormat="1" ht="15" customHeight="1" thickBot="1" x14ac:dyDescent="0.5">
      <c r="A7" s="7"/>
      <c r="B7" s="7"/>
      <c r="C7" s="7"/>
      <c r="E7" s="533"/>
      <c r="F7" s="533"/>
      <c r="G7" s="533"/>
      <c r="H7" s="533"/>
      <c r="I7" s="533"/>
      <c r="J7" s="533"/>
      <c r="K7" s="533"/>
      <c r="L7" s="533"/>
      <c r="M7" s="533"/>
      <c r="N7" s="9"/>
      <c r="O7" s="9"/>
      <c r="P7" s="9"/>
      <c r="Q7" s="9"/>
      <c r="R7" s="9"/>
      <c r="S7" s="10"/>
      <c r="T7" s="10"/>
      <c r="U7" s="10"/>
      <c r="V7" s="10"/>
      <c r="W7" s="10"/>
      <c r="X7" s="10"/>
      <c r="Y7" s="10"/>
      <c r="Z7" s="10"/>
      <c r="AA7" s="10"/>
    </row>
    <row r="8" spans="1:27" ht="15" customHeight="1" x14ac:dyDescent="0.45">
      <c r="E8" s="6"/>
      <c r="F8" s="6"/>
      <c r="G8" s="6"/>
      <c r="H8" s="6"/>
      <c r="I8" s="6"/>
      <c r="J8" s="6"/>
      <c r="K8" s="6"/>
      <c r="L8" s="6"/>
      <c r="M8" s="6"/>
      <c r="N8" s="6"/>
      <c r="O8" s="6"/>
      <c r="P8" s="6"/>
      <c r="Q8" s="6"/>
      <c r="R8" s="6"/>
      <c r="S8" s="6"/>
      <c r="T8" s="6"/>
      <c r="U8" s="6"/>
      <c r="V8" s="6"/>
      <c r="W8" s="6"/>
      <c r="X8" s="6"/>
      <c r="Y8" s="6"/>
      <c r="Z8" s="6"/>
      <c r="AA8" s="6"/>
    </row>
    <row r="9" spans="1:27" ht="15" customHeight="1" x14ac:dyDescent="0.45">
      <c r="E9" s="632" t="s">
        <v>124</v>
      </c>
      <c r="F9" s="632"/>
      <c r="G9" s="632"/>
      <c r="H9" s="632"/>
      <c r="I9" s="708">
        <f>N37</f>
        <v>24</v>
      </c>
    </row>
    <row r="10" spans="1:27" ht="15" customHeight="1" x14ac:dyDescent="0.45">
      <c r="E10" s="632"/>
      <c r="F10" s="632"/>
      <c r="G10" s="632"/>
      <c r="H10" s="632"/>
      <c r="I10" s="708"/>
    </row>
    <row r="11" spans="1:27" ht="15" customHeight="1" x14ac:dyDescent="0.45">
      <c r="E11" s="632"/>
      <c r="F11" s="632"/>
      <c r="G11" s="632"/>
      <c r="H11" s="632"/>
      <c r="I11" s="708"/>
    </row>
    <row r="12" spans="1:27" ht="15" customHeight="1" x14ac:dyDescent="0.45">
      <c r="E12" s="632"/>
      <c r="F12" s="632"/>
      <c r="G12" s="632"/>
      <c r="H12" s="632"/>
      <c r="I12" s="708"/>
    </row>
    <row r="13" spans="1:27" x14ac:dyDescent="0.45">
      <c r="E13" s="89"/>
      <c r="F13" s="89"/>
      <c r="G13" s="89"/>
      <c r="I13" s="89"/>
    </row>
    <row r="14" spans="1:27" ht="15" customHeight="1" x14ac:dyDescent="0.45">
      <c r="E14" s="633" t="s">
        <v>136</v>
      </c>
      <c r="F14" s="633"/>
      <c r="G14" s="633"/>
      <c r="H14" s="633"/>
      <c r="I14" s="708">
        <f>N83</f>
        <v>17.75</v>
      </c>
    </row>
    <row r="15" spans="1:27" ht="15" customHeight="1" x14ac:dyDescent="0.45">
      <c r="E15" s="633"/>
      <c r="F15" s="633"/>
      <c r="G15" s="633"/>
      <c r="H15" s="633"/>
      <c r="I15" s="708"/>
    </row>
    <row r="16" spans="1:27" ht="15" customHeight="1" x14ac:dyDescent="0.45">
      <c r="E16" s="633"/>
      <c r="F16" s="633"/>
      <c r="G16" s="633"/>
      <c r="H16" s="633"/>
      <c r="I16" s="708"/>
    </row>
    <row r="17" spans="5:37" ht="15" customHeight="1" x14ac:dyDescent="0.45">
      <c r="E17" s="633"/>
      <c r="F17" s="633"/>
      <c r="G17" s="633"/>
      <c r="H17" s="633"/>
      <c r="I17" s="708"/>
    </row>
    <row r="18" spans="5:37" x14ac:dyDescent="0.45">
      <c r="E18" s="89"/>
      <c r="F18" s="89"/>
      <c r="G18" s="89"/>
      <c r="I18" s="89"/>
    </row>
    <row r="19" spans="5:37" ht="15" customHeight="1" x14ac:dyDescent="0.45">
      <c r="E19" s="634" t="s">
        <v>96</v>
      </c>
      <c r="F19" s="634"/>
      <c r="G19" s="634"/>
      <c r="H19" s="634"/>
      <c r="I19" s="708">
        <f>I9-I14</f>
        <v>6.25</v>
      </c>
    </row>
    <row r="20" spans="5:37" ht="15" customHeight="1" x14ac:dyDescent="0.45">
      <c r="E20" s="634"/>
      <c r="F20" s="634"/>
      <c r="G20" s="634"/>
      <c r="H20" s="634"/>
      <c r="I20" s="708"/>
    </row>
    <row r="21" spans="5:37" ht="15" customHeight="1" x14ac:dyDescent="0.45">
      <c r="E21" s="634"/>
      <c r="F21" s="634"/>
      <c r="G21" s="634"/>
      <c r="H21" s="634"/>
      <c r="I21" s="708"/>
    </row>
    <row r="22" spans="5:37" ht="15" customHeight="1" x14ac:dyDescent="0.45">
      <c r="E22" s="634"/>
      <c r="F22" s="634"/>
      <c r="G22" s="634"/>
      <c r="H22" s="634"/>
      <c r="I22" s="708"/>
    </row>
    <row r="24" spans="5:37" ht="14.65" thickBot="1" x14ac:dyDescent="0.5">
      <c r="E24" s="6"/>
      <c r="F24" s="6"/>
      <c r="G24" s="6"/>
      <c r="H24" s="6"/>
    </row>
    <row r="25" spans="5:37" ht="15.75" customHeight="1" thickBot="1" x14ac:dyDescent="0.6">
      <c r="E25" s="626" t="s">
        <v>143</v>
      </c>
      <c r="F25" s="627"/>
      <c r="G25" s="627"/>
      <c r="H25" s="627"/>
      <c r="I25" s="627"/>
      <c r="J25" s="627"/>
      <c r="K25" s="627"/>
      <c r="L25" s="627"/>
      <c r="M25" s="627"/>
      <c r="N25" s="628"/>
      <c r="P25" s="626" t="s">
        <v>144</v>
      </c>
      <c r="Q25" s="627"/>
      <c r="R25" s="627"/>
      <c r="S25" s="627"/>
      <c r="T25" s="627"/>
      <c r="U25" s="627"/>
      <c r="V25" s="627"/>
      <c r="W25" s="627"/>
      <c r="X25" s="627"/>
      <c r="Y25" s="627"/>
      <c r="Z25" s="627"/>
      <c r="AA25" s="627"/>
      <c r="AB25" s="627"/>
      <c r="AC25" s="627"/>
      <c r="AD25" s="627"/>
      <c r="AE25" s="627"/>
      <c r="AF25" s="627"/>
      <c r="AG25" s="627"/>
      <c r="AH25" s="627"/>
      <c r="AI25" s="627"/>
      <c r="AJ25" s="627"/>
      <c r="AK25" s="628"/>
    </row>
    <row r="26" spans="5:37" ht="15" customHeight="1" x14ac:dyDescent="0.45">
      <c r="E26" s="644" t="s">
        <v>146</v>
      </c>
      <c r="F26" s="645"/>
      <c r="G26" s="647" t="s">
        <v>346</v>
      </c>
      <c r="H26" s="647"/>
      <c r="I26" s="647"/>
      <c r="J26" s="647"/>
      <c r="K26" s="647" t="s">
        <v>345</v>
      </c>
      <c r="L26" s="647"/>
      <c r="M26" s="647"/>
      <c r="N26" s="134" t="s">
        <v>148</v>
      </c>
      <c r="P26" s="706" t="s">
        <v>147</v>
      </c>
      <c r="Q26" s="707"/>
      <c r="R26" s="707"/>
      <c r="S26" s="707"/>
      <c r="T26" s="707" t="s">
        <v>149</v>
      </c>
      <c r="U26" s="707"/>
      <c r="V26" s="707" t="s">
        <v>150</v>
      </c>
      <c r="W26" s="707"/>
      <c r="X26" s="707" t="s">
        <v>151</v>
      </c>
      <c r="Y26" s="707"/>
      <c r="Z26" s="652" t="s">
        <v>152</v>
      </c>
      <c r="AA26" s="652"/>
      <c r="AB26" s="652"/>
      <c r="AC26" s="652"/>
      <c r="AD26" s="652"/>
      <c r="AE26" s="652"/>
      <c r="AF26" s="652" t="s">
        <v>153</v>
      </c>
      <c r="AG26" s="652"/>
      <c r="AH26" s="652"/>
      <c r="AI26" s="652"/>
      <c r="AJ26" s="652"/>
      <c r="AK26" s="659"/>
    </row>
    <row r="27" spans="5:37" ht="15" x14ac:dyDescent="0.45">
      <c r="E27" s="687">
        <v>44880</v>
      </c>
      <c r="F27" s="688"/>
      <c r="G27" s="643" t="s">
        <v>21</v>
      </c>
      <c r="H27" s="643"/>
      <c r="I27" s="643"/>
      <c r="J27" s="643"/>
      <c r="K27" s="646"/>
      <c r="L27" s="646"/>
      <c r="M27" s="646"/>
      <c r="N27" s="135">
        <v>19</v>
      </c>
      <c r="P27" s="694" t="str">
        <f>'Từ khóa'!M12</f>
        <v>Lương từ công ty</v>
      </c>
      <c r="Q27" s="695"/>
      <c r="R27" s="695"/>
      <c r="S27" s="695"/>
      <c r="T27" s="696">
        <f>'Kế hoạch thu nhập và chi tiêu'!L11</f>
        <v>20</v>
      </c>
      <c r="U27" s="696"/>
      <c r="V27" s="152"/>
      <c r="W27" s="153">
        <f t="shared" ref="W27:W34" ca="1" si="0">SUMIF($G$27:$J$36,P27,$N$27:$N$36)</f>
        <v>19</v>
      </c>
      <c r="X27" s="696">
        <f t="shared" ref="X27:X34" ca="1" si="1">W27-T27</f>
        <v>-1</v>
      </c>
      <c r="Y27" s="696"/>
      <c r="Z27" s="646"/>
      <c r="AA27" s="646"/>
      <c r="AB27" s="646"/>
      <c r="AC27" s="646"/>
      <c r="AD27" s="646"/>
      <c r="AE27" s="646"/>
      <c r="AF27" s="646"/>
      <c r="AG27" s="646"/>
      <c r="AH27" s="646"/>
      <c r="AI27" s="646"/>
      <c r="AJ27" s="646"/>
      <c r="AK27" s="658"/>
    </row>
    <row r="28" spans="5:37" ht="15" x14ac:dyDescent="0.45">
      <c r="E28" s="687">
        <v>44885</v>
      </c>
      <c r="F28" s="688">
        <v>44612</v>
      </c>
      <c r="G28" s="643" t="s">
        <v>372</v>
      </c>
      <c r="H28" s="643"/>
      <c r="I28" s="643"/>
      <c r="J28" s="643"/>
      <c r="K28" s="646"/>
      <c r="L28" s="646"/>
      <c r="M28" s="646"/>
      <c r="N28" s="135">
        <v>2</v>
      </c>
      <c r="P28" s="694" t="str">
        <f>'Từ khóa'!M13</f>
        <v>Thu nhập khác</v>
      </c>
      <c r="Q28" s="695"/>
      <c r="R28" s="695"/>
      <c r="S28" s="695"/>
      <c r="T28" s="696">
        <f>'Kế hoạch thu nhập và chi tiêu'!L12</f>
        <v>10</v>
      </c>
      <c r="U28" s="696"/>
      <c r="V28" s="152"/>
      <c r="W28" s="153">
        <f t="shared" ca="1" si="0"/>
        <v>5</v>
      </c>
      <c r="X28" s="696">
        <f t="shared" ca="1" si="1"/>
        <v>-5</v>
      </c>
      <c r="Y28" s="696"/>
      <c r="Z28" s="646"/>
      <c r="AA28" s="646"/>
      <c r="AB28" s="646"/>
      <c r="AC28" s="646"/>
      <c r="AD28" s="646"/>
      <c r="AE28" s="646"/>
      <c r="AF28" s="646"/>
      <c r="AG28" s="646"/>
      <c r="AH28" s="646"/>
      <c r="AI28" s="646"/>
      <c r="AJ28" s="646"/>
      <c r="AK28" s="658"/>
    </row>
    <row r="29" spans="5:37" ht="15" x14ac:dyDescent="0.45">
      <c r="E29" s="687">
        <v>44893</v>
      </c>
      <c r="F29" s="688">
        <v>44620</v>
      </c>
      <c r="G29" s="643" t="s">
        <v>372</v>
      </c>
      <c r="H29" s="643"/>
      <c r="I29" s="643"/>
      <c r="J29" s="643"/>
      <c r="K29" s="646"/>
      <c r="L29" s="646"/>
      <c r="M29" s="646"/>
      <c r="N29" s="135">
        <v>1</v>
      </c>
      <c r="P29" s="694">
        <f>'Từ khóa'!M14</f>
        <v>0</v>
      </c>
      <c r="Q29" s="695"/>
      <c r="R29" s="695"/>
      <c r="S29" s="695"/>
      <c r="T29" s="696">
        <f>'Kế hoạch thu nhập và chi tiêu'!L13</f>
        <v>0</v>
      </c>
      <c r="U29" s="696"/>
      <c r="V29" s="152"/>
      <c r="W29" s="153">
        <f t="shared" ca="1" si="0"/>
        <v>0</v>
      </c>
      <c r="X29" s="696">
        <f t="shared" ca="1" si="1"/>
        <v>0</v>
      </c>
      <c r="Y29" s="696"/>
      <c r="Z29" s="646"/>
      <c r="AA29" s="646"/>
      <c r="AB29" s="646"/>
      <c r="AC29" s="646"/>
      <c r="AD29" s="646"/>
      <c r="AE29" s="646"/>
      <c r="AF29" s="646"/>
      <c r="AG29" s="646"/>
      <c r="AH29" s="646"/>
      <c r="AI29" s="646"/>
      <c r="AJ29" s="646"/>
      <c r="AK29" s="658"/>
    </row>
    <row r="30" spans="5:37" ht="15" x14ac:dyDescent="0.45">
      <c r="E30" s="687">
        <v>44893</v>
      </c>
      <c r="F30" s="688">
        <v>44620</v>
      </c>
      <c r="G30" s="643" t="s">
        <v>372</v>
      </c>
      <c r="H30" s="643"/>
      <c r="I30" s="643"/>
      <c r="J30" s="643"/>
      <c r="K30" s="646"/>
      <c r="L30" s="646"/>
      <c r="M30" s="646"/>
      <c r="N30" s="135">
        <v>2</v>
      </c>
      <c r="P30" s="694">
        <f>'Từ khóa'!M15</f>
        <v>0</v>
      </c>
      <c r="Q30" s="695"/>
      <c r="R30" s="695"/>
      <c r="S30" s="695"/>
      <c r="T30" s="696">
        <f>'Kế hoạch thu nhập và chi tiêu'!L14</f>
        <v>0</v>
      </c>
      <c r="U30" s="696"/>
      <c r="V30" s="152"/>
      <c r="W30" s="153">
        <f t="shared" ca="1" si="0"/>
        <v>0</v>
      </c>
      <c r="X30" s="696">
        <f t="shared" ca="1" si="1"/>
        <v>0</v>
      </c>
      <c r="Y30" s="696"/>
      <c r="Z30" s="646"/>
      <c r="AA30" s="646"/>
      <c r="AB30" s="646"/>
      <c r="AC30" s="646"/>
      <c r="AD30" s="646"/>
      <c r="AE30" s="646"/>
      <c r="AF30" s="646"/>
      <c r="AG30" s="646"/>
      <c r="AH30" s="646"/>
      <c r="AI30" s="646"/>
      <c r="AJ30" s="646"/>
      <c r="AK30" s="658"/>
    </row>
    <row r="31" spans="5:37" ht="15" x14ac:dyDescent="0.45">
      <c r="E31" s="687"/>
      <c r="F31" s="688"/>
      <c r="G31" s="643"/>
      <c r="H31" s="643"/>
      <c r="I31" s="643"/>
      <c r="J31" s="643"/>
      <c r="K31" s="646"/>
      <c r="L31" s="646"/>
      <c r="M31" s="646"/>
      <c r="N31" s="135"/>
      <c r="P31" s="694">
        <f>'Từ khóa'!M16</f>
        <v>0</v>
      </c>
      <c r="Q31" s="695"/>
      <c r="R31" s="695"/>
      <c r="S31" s="695"/>
      <c r="T31" s="696">
        <f>'Kế hoạch thu nhập và chi tiêu'!L15</f>
        <v>0</v>
      </c>
      <c r="U31" s="696"/>
      <c r="V31" s="152"/>
      <c r="W31" s="153">
        <f t="shared" ca="1" si="0"/>
        <v>0</v>
      </c>
      <c r="X31" s="696">
        <f t="shared" ca="1" si="1"/>
        <v>0</v>
      </c>
      <c r="Y31" s="696"/>
      <c r="Z31" s="646"/>
      <c r="AA31" s="646"/>
      <c r="AB31" s="646"/>
      <c r="AC31" s="646"/>
      <c r="AD31" s="646"/>
      <c r="AE31" s="646"/>
      <c r="AF31" s="646"/>
      <c r="AG31" s="646"/>
      <c r="AH31" s="646"/>
      <c r="AI31" s="646"/>
      <c r="AJ31" s="646"/>
      <c r="AK31" s="658"/>
    </row>
    <row r="32" spans="5:37" ht="15" x14ac:dyDescent="0.45">
      <c r="E32" s="687"/>
      <c r="F32" s="688"/>
      <c r="G32" s="643"/>
      <c r="H32" s="643"/>
      <c r="I32" s="643"/>
      <c r="J32" s="643"/>
      <c r="K32" s="646"/>
      <c r="L32" s="646"/>
      <c r="M32" s="646"/>
      <c r="N32" s="135"/>
      <c r="P32" s="694">
        <f>'Từ khóa'!M17</f>
        <v>0</v>
      </c>
      <c r="Q32" s="695"/>
      <c r="R32" s="695"/>
      <c r="S32" s="695"/>
      <c r="T32" s="696">
        <f>'Kế hoạch thu nhập và chi tiêu'!L16</f>
        <v>0</v>
      </c>
      <c r="U32" s="696"/>
      <c r="V32" s="152"/>
      <c r="W32" s="153">
        <f t="shared" ca="1" si="0"/>
        <v>0</v>
      </c>
      <c r="X32" s="696">
        <f t="shared" ca="1" si="1"/>
        <v>0</v>
      </c>
      <c r="Y32" s="696"/>
      <c r="Z32" s="646"/>
      <c r="AA32" s="646"/>
      <c r="AB32" s="646"/>
      <c r="AC32" s="646"/>
      <c r="AD32" s="646"/>
      <c r="AE32" s="646"/>
      <c r="AF32" s="646"/>
      <c r="AG32" s="646"/>
      <c r="AH32" s="646"/>
      <c r="AI32" s="646"/>
      <c r="AJ32" s="646"/>
      <c r="AK32" s="658"/>
    </row>
    <row r="33" spans="5:37" ht="15" x14ac:dyDescent="0.45">
      <c r="E33" s="687"/>
      <c r="F33" s="688"/>
      <c r="G33" s="643"/>
      <c r="H33" s="643"/>
      <c r="I33" s="643"/>
      <c r="J33" s="643"/>
      <c r="K33" s="646"/>
      <c r="L33" s="646"/>
      <c r="M33" s="646"/>
      <c r="N33" s="135"/>
      <c r="P33" s="694">
        <f>'Từ khóa'!M18</f>
        <v>0</v>
      </c>
      <c r="Q33" s="695"/>
      <c r="R33" s="695"/>
      <c r="S33" s="695"/>
      <c r="T33" s="696">
        <f>'Kế hoạch thu nhập và chi tiêu'!L17</f>
        <v>0</v>
      </c>
      <c r="U33" s="696"/>
      <c r="V33" s="152"/>
      <c r="W33" s="153">
        <f t="shared" ca="1" si="0"/>
        <v>0</v>
      </c>
      <c r="X33" s="696">
        <f t="shared" ca="1" si="1"/>
        <v>0</v>
      </c>
      <c r="Y33" s="696"/>
      <c r="Z33" s="646"/>
      <c r="AA33" s="646"/>
      <c r="AB33" s="646"/>
      <c r="AC33" s="646"/>
      <c r="AD33" s="646"/>
      <c r="AE33" s="646"/>
      <c r="AF33" s="646"/>
      <c r="AG33" s="646"/>
      <c r="AH33" s="646"/>
      <c r="AI33" s="646"/>
      <c r="AJ33" s="646"/>
      <c r="AK33" s="658"/>
    </row>
    <row r="34" spans="5:37" ht="15" x14ac:dyDescent="0.45">
      <c r="E34" s="687"/>
      <c r="F34" s="688"/>
      <c r="G34" s="643"/>
      <c r="H34" s="643"/>
      <c r="I34" s="643"/>
      <c r="J34" s="643"/>
      <c r="K34" s="646"/>
      <c r="L34" s="646"/>
      <c r="M34" s="646"/>
      <c r="N34" s="135"/>
      <c r="P34" s="694">
        <f>'Từ khóa'!M19</f>
        <v>0</v>
      </c>
      <c r="Q34" s="695"/>
      <c r="R34" s="695"/>
      <c r="S34" s="695"/>
      <c r="T34" s="696">
        <f>'Kế hoạch thu nhập và chi tiêu'!L18</f>
        <v>0</v>
      </c>
      <c r="U34" s="696"/>
      <c r="V34" s="152"/>
      <c r="W34" s="153">
        <f t="shared" ca="1" si="0"/>
        <v>0</v>
      </c>
      <c r="X34" s="696">
        <f t="shared" ca="1" si="1"/>
        <v>0</v>
      </c>
      <c r="Y34" s="696"/>
      <c r="Z34" s="646"/>
      <c r="AA34" s="646"/>
      <c r="AB34" s="646"/>
      <c r="AC34" s="646"/>
      <c r="AD34" s="646"/>
      <c r="AE34" s="646"/>
      <c r="AF34" s="646"/>
      <c r="AG34" s="646"/>
      <c r="AH34" s="646"/>
      <c r="AI34" s="646"/>
      <c r="AJ34" s="646"/>
      <c r="AK34" s="658"/>
    </row>
    <row r="35" spans="5:37" ht="15" x14ac:dyDescent="0.45">
      <c r="E35" s="687"/>
      <c r="F35" s="688"/>
      <c r="G35" s="643"/>
      <c r="H35" s="643"/>
      <c r="I35" s="643"/>
      <c r="J35" s="643"/>
      <c r="K35" s="646"/>
      <c r="L35" s="646"/>
      <c r="M35" s="646"/>
      <c r="N35" s="135"/>
      <c r="P35" s="694"/>
      <c r="Q35" s="695"/>
      <c r="R35" s="695"/>
      <c r="S35" s="695"/>
      <c r="T35" s="697"/>
      <c r="U35" s="698"/>
      <c r="V35" s="152"/>
      <c r="W35" s="153"/>
      <c r="X35" s="696"/>
      <c r="Y35" s="696"/>
      <c r="Z35" s="646"/>
      <c r="AA35" s="646"/>
      <c r="AB35" s="646"/>
      <c r="AC35" s="646"/>
      <c r="AD35" s="646"/>
      <c r="AE35" s="646"/>
      <c r="AF35" s="646"/>
      <c r="AG35" s="646"/>
      <c r="AH35" s="646"/>
      <c r="AI35" s="646"/>
      <c r="AJ35" s="646"/>
      <c r="AK35" s="658"/>
    </row>
    <row r="36" spans="5:37" ht="15" x14ac:dyDescent="0.45">
      <c r="E36" s="687"/>
      <c r="F36" s="688"/>
      <c r="G36" s="643"/>
      <c r="H36" s="643"/>
      <c r="I36" s="643"/>
      <c r="J36" s="643"/>
      <c r="K36" s="646"/>
      <c r="L36" s="646"/>
      <c r="M36" s="646"/>
      <c r="N36" s="135"/>
      <c r="P36" s="694"/>
      <c r="Q36" s="695"/>
      <c r="R36" s="695"/>
      <c r="S36" s="695"/>
      <c r="T36" s="697"/>
      <c r="U36" s="698"/>
      <c r="V36" s="152"/>
      <c r="W36" s="153"/>
      <c r="X36" s="696"/>
      <c r="Y36" s="696"/>
      <c r="Z36" s="646"/>
      <c r="AA36" s="646"/>
      <c r="AB36" s="646"/>
      <c r="AC36" s="646"/>
      <c r="AD36" s="646"/>
      <c r="AE36" s="646"/>
      <c r="AF36" s="646"/>
      <c r="AG36" s="646"/>
      <c r="AH36" s="646"/>
      <c r="AI36" s="646"/>
      <c r="AJ36" s="646"/>
      <c r="AK36" s="658"/>
    </row>
    <row r="37" spans="5:37" ht="16.5" customHeight="1" thickBot="1" x14ac:dyDescent="0.6">
      <c r="E37" s="648" t="s">
        <v>124</v>
      </c>
      <c r="F37" s="649"/>
      <c r="G37" s="649"/>
      <c r="H37" s="649"/>
      <c r="I37" s="649"/>
      <c r="J37" s="649"/>
      <c r="K37" s="649"/>
      <c r="L37" s="649"/>
      <c r="M37" s="650"/>
      <c r="N37" s="144">
        <f>SUBTOTAL(109,'T11'!$N$27:$N$36)</f>
        <v>24</v>
      </c>
      <c r="P37" s="701" t="s">
        <v>124</v>
      </c>
      <c r="Q37" s="702"/>
      <c r="R37" s="702"/>
      <c r="S37" s="703"/>
      <c r="T37" s="704">
        <f>SUM(T27:U36)</f>
        <v>30</v>
      </c>
      <c r="U37" s="705"/>
      <c r="V37" s="704">
        <f ca="1">SUM(W27:W36)</f>
        <v>24</v>
      </c>
      <c r="W37" s="705"/>
      <c r="X37" s="704">
        <f t="shared" ref="X37" ca="1" si="2">SUM(X27:Y36)</f>
        <v>-6</v>
      </c>
      <c r="Y37" s="705"/>
      <c r="Z37" s="660"/>
      <c r="AA37" s="660"/>
      <c r="AB37" s="660"/>
      <c r="AC37" s="660"/>
      <c r="AD37" s="660"/>
      <c r="AE37" s="660"/>
      <c r="AF37" s="660"/>
      <c r="AG37" s="660"/>
      <c r="AH37" s="660"/>
      <c r="AI37" s="660"/>
      <c r="AJ37" s="660"/>
      <c r="AK37" s="661"/>
    </row>
    <row r="39" spans="5:37" ht="14.65" thickBot="1" x14ac:dyDescent="0.5"/>
    <row r="40" spans="5:37" ht="15.75" customHeight="1" x14ac:dyDescent="0.55000000000000004">
      <c r="E40" s="623" t="s">
        <v>320</v>
      </c>
      <c r="F40" s="624"/>
      <c r="G40" s="624"/>
      <c r="H40" s="624"/>
      <c r="I40" s="624"/>
      <c r="J40" s="624"/>
      <c r="K40" s="624"/>
      <c r="L40" s="624"/>
      <c r="M40" s="624"/>
      <c r="N40" s="625"/>
      <c r="P40" s="623" t="s">
        <v>321</v>
      </c>
      <c r="Q40" s="624"/>
      <c r="R40" s="624"/>
      <c r="S40" s="624"/>
      <c r="T40" s="624"/>
      <c r="U40" s="624"/>
      <c r="V40" s="624"/>
      <c r="W40" s="624"/>
      <c r="X40" s="624"/>
      <c r="Y40" s="624"/>
      <c r="Z40" s="624"/>
      <c r="AA40" s="624"/>
      <c r="AB40" s="624"/>
      <c r="AC40" s="624"/>
      <c r="AD40" s="624"/>
      <c r="AE40" s="624"/>
      <c r="AF40" s="624"/>
      <c r="AG40" s="624"/>
      <c r="AH40" s="624"/>
      <c r="AI40" s="624"/>
      <c r="AJ40" s="624"/>
      <c r="AK40" s="625"/>
    </row>
    <row r="41" spans="5:37" ht="15" x14ac:dyDescent="0.45">
      <c r="E41" s="664" t="s">
        <v>146</v>
      </c>
      <c r="F41" s="665"/>
      <c r="G41" s="666" t="s">
        <v>347</v>
      </c>
      <c r="H41" s="666"/>
      <c r="I41" s="666"/>
      <c r="J41" s="666"/>
      <c r="K41" s="666" t="s">
        <v>345</v>
      </c>
      <c r="L41" s="666"/>
      <c r="M41" s="666"/>
      <c r="N41" s="136" t="s">
        <v>148</v>
      </c>
      <c r="P41" s="699" t="s">
        <v>147</v>
      </c>
      <c r="Q41" s="700"/>
      <c r="R41" s="700"/>
      <c r="S41" s="700"/>
      <c r="T41" s="700" t="s">
        <v>149</v>
      </c>
      <c r="U41" s="700"/>
      <c r="V41" s="700" t="s">
        <v>150</v>
      </c>
      <c r="W41" s="700"/>
      <c r="X41" s="700" t="s">
        <v>151</v>
      </c>
      <c r="Y41" s="700"/>
      <c r="Z41" s="666" t="s">
        <v>152</v>
      </c>
      <c r="AA41" s="666"/>
      <c r="AB41" s="666"/>
      <c r="AC41" s="666"/>
      <c r="AD41" s="666"/>
      <c r="AE41" s="666"/>
      <c r="AF41" s="666" t="s">
        <v>153</v>
      </c>
      <c r="AG41" s="666"/>
      <c r="AH41" s="666"/>
      <c r="AI41" s="666"/>
      <c r="AJ41" s="666"/>
      <c r="AK41" s="667"/>
    </row>
    <row r="42" spans="5:37" ht="15" customHeight="1" x14ac:dyDescent="0.55000000000000004">
      <c r="E42" s="687">
        <v>44866</v>
      </c>
      <c r="F42" s="688">
        <v>44593</v>
      </c>
      <c r="G42" s="640" t="s">
        <v>5</v>
      </c>
      <c r="H42" s="641"/>
      <c r="I42" s="641"/>
      <c r="J42" s="642"/>
      <c r="K42" s="640"/>
      <c r="L42" s="641"/>
      <c r="M42" s="642"/>
      <c r="N42" s="137">
        <v>1</v>
      </c>
      <c r="P42" s="694" t="str">
        <f>'Từ khóa'!F12</f>
        <v>Mua thực phẩm</v>
      </c>
      <c r="Q42" s="695"/>
      <c r="R42" s="695"/>
      <c r="S42" s="695"/>
      <c r="T42" s="696">
        <f>'Kế hoạch thu nhập và chi tiêu'!L26</f>
        <v>5</v>
      </c>
      <c r="U42" s="696"/>
      <c r="V42" s="152"/>
      <c r="W42" s="153">
        <f t="shared" ref="W42:W56" ca="1" si="3">SUMIF($G$42:$J$82,P42,$N$42:$N$82)</f>
        <v>5</v>
      </c>
      <c r="X42" s="697">
        <f t="shared" ref="X42:X56" ca="1" si="4">T42-W42</f>
        <v>0</v>
      </c>
      <c r="Y42" s="698"/>
      <c r="Z42" s="646"/>
      <c r="AA42" s="646"/>
      <c r="AB42" s="646"/>
      <c r="AC42" s="646"/>
      <c r="AD42" s="646"/>
      <c r="AE42" s="646"/>
      <c r="AF42" s="646"/>
      <c r="AG42" s="646"/>
      <c r="AH42" s="646"/>
      <c r="AI42" s="646"/>
      <c r="AJ42" s="646"/>
      <c r="AK42" s="658"/>
    </row>
    <row r="43" spans="5:37" ht="15" customHeight="1" x14ac:dyDescent="0.55000000000000004">
      <c r="E43" s="687">
        <v>44866</v>
      </c>
      <c r="F43" s="688">
        <v>44593</v>
      </c>
      <c r="G43" s="640" t="s">
        <v>6</v>
      </c>
      <c r="H43" s="641" t="s">
        <v>6</v>
      </c>
      <c r="I43" s="641" t="s">
        <v>6</v>
      </c>
      <c r="J43" s="642" t="s">
        <v>6</v>
      </c>
      <c r="K43" s="640"/>
      <c r="L43" s="641"/>
      <c r="M43" s="642"/>
      <c r="N43" s="138">
        <v>0.3</v>
      </c>
      <c r="P43" s="694" t="str">
        <f>'Từ khóa'!F13</f>
        <v>Mua đồ dùng trong nhà</v>
      </c>
      <c r="Q43" s="695"/>
      <c r="R43" s="695"/>
      <c r="S43" s="695"/>
      <c r="T43" s="696">
        <f>'Kế hoạch thu nhập và chi tiêu'!L27</f>
        <v>0.5</v>
      </c>
      <c r="U43" s="696"/>
      <c r="V43" s="152"/>
      <c r="W43" s="153">
        <f t="shared" ca="1" si="3"/>
        <v>0.4</v>
      </c>
      <c r="X43" s="697">
        <f t="shared" ca="1" si="4"/>
        <v>9.9999999999999978E-2</v>
      </c>
      <c r="Y43" s="698"/>
      <c r="Z43" s="646"/>
      <c r="AA43" s="646"/>
      <c r="AB43" s="646"/>
      <c r="AC43" s="646"/>
      <c r="AD43" s="646"/>
      <c r="AE43" s="646"/>
      <c r="AF43" s="646"/>
      <c r="AG43" s="646"/>
      <c r="AH43" s="646"/>
      <c r="AI43" s="646"/>
      <c r="AJ43" s="646"/>
      <c r="AK43" s="658"/>
    </row>
    <row r="44" spans="5:37" ht="15" customHeight="1" x14ac:dyDescent="0.55000000000000004">
      <c r="E44" s="687">
        <v>44867</v>
      </c>
      <c r="F44" s="688">
        <v>44594</v>
      </c>
      <c r="G44" s="640" t="s">
        <v>10</v>
      </c>
      <c r="H44" s="641" t="s">
        <v>10</v>
      </c>
      <c r="I44" s="641" t="s">
        <v>10</v>
      </c>
      <c r="J44" s="642" t="s">
        <v>10</v>
      </c>
      <c r="K44" s="640" t="s">
        <v>159</v>
      </c>
      <c r="L44" s="641" t="s">
        <v>159</v>
      </c>
      <c r="M44" s="642" t="s">
        <v>159</v>
      </c>
      <c r="N44" s="138">
        <v>0.6</v>
      </c>
      <c r="P44" s="694" t="str">
        <f>'Từ khóa'!F14</f>
        <v>Đi ăn ở ngoài</v>
      </c>
      <c r="Q44" s="695"/>
      <c r="R44" s="695"/>
      <c r="S44" s="695"/>
      <c r="T44" s="696">
        <v>1.5</v>
      </c>
      <c r="U44" s="696"/>
      <c r="V44" s="152"/>
      <c r="W44" s="153">
        <f t="shared" ca="1" si="3"/>
        <v>2.5</v>
      </c>
      <c r="X44" s="697">
        <f t="shared" ca="1" si="4"/>
        <v>-1</v>
      </c>
      <c r="Y44" s="698"/>
      <c r="Z44" s="646"/>
      <c r="AA44" s="646"/>
      <c r="AB44" s="646"/>
      <c r="AC44" s="646"/>
      <c r="AD44" s="646"/>
      <c r="AE44" s="646"/>
      <c r="AF44" s="646"/>
      <c r="AG44" s="646"/>
      <c r="AH44" s="646"/>
      <c r="AI44" s="646"/>
      <c r="AJ44" s="646"/>
      <c r="AK44" s="658"/>
    </row>
    <row r="45" spans="5:37" ht="15" customHeight="1" x14ac:dyDescent="0.55000000000000004">
      <c r="E45" s="687">
        <v>44868</v>
      </c>
      <c r="F45" s="688">
        <v>44595</v>
      </c>
      <c r="G45" s="640" t="s">
        <v>10</v>
      </c>
      <c r="H45" s="641" t="s">
        <v>10</v>
      </c>
      <c r="I45" s="641" t="s">
        <v>10</v>
      </c>
      <c r="J45" s="642" t="s">
        <v>10</v>
      </c>
      <c r="K45" s="640" t="s">
        <v>161</v>
      </c>
      <c r="L45" s="641" t="s">
        <v>161</v>
      </c>
      <c r="M45" s="642" t="s">
        <v>161</v>
      </c>
      <c r="N45" s="138">
        <v>0.2</v>
      </c>
      <c r="P45" s="694" t="str">
        <f>'Từ khóa'!F15</f>
        <v>Chi tiền phát triển bản thân</v>
      </c>
      <c r="Q45" s="695"/>
      <c r="R45" s="695"/>
      <c r="S45" s="695"/>
      <c r="T45" s="696">
        <v>1.1000000000000001</v>
      </c>
      <c r="U45" s="696"/>
      <c r="V45" s="152"/>
      <c r="W45" s="153">
        <f t="shared" ca="1" si="3"/>
        <v>1.5</v>
      </c>
      <c r="X45" s="697">
        <f t="shared" ca="1" si="4"/>
        <v>-0.39999999999999991</v>
      </c>
      <c r="Y45" s="698"/>
      <c r="Z45" s="646"/>
      <c r="AA45" s="646"/>
      <c r="AB45" s="646"/>
      <c r="AC45" s="646"/>
      <c r="AD45" s="646"/>
      <c r="AE45" s="646"/>
      <c r="AF45" s="646"/>
      <c r="AG45" s="646"/>
      <c r="AH45" s="646"/>
      <c r="AI45" s="646"/>
      <c r="AJ45" s="646"/>
      <c r="AK45" s="658"/>
    </row>
    <row r="46" spans="5:37" ht="15" customHeight="1" x14ac:dyDescent="0.55000000000000004">
      <c r="E46" s="687">
        <v>44869</v>
      </c>
      <c r="F46" s="688">
        <v>44596</v>
      </c>
      <c r="G46" s="640" t="s">
        <v>10</v>
      </c>
      <c r="H46" s="641" t="s">
        <v>10</v>
      </c>
      <c r="I46" s="641" t="s">
        <v>10</v>
      </c>
      <c r="J46" s="642" t="s">
        <v>10</v>
      </c>
      <c r="K46" s="640" t="s">
        <v>162</v>
      </c>
      <c r="L46" s="641" t="s">
        <v>162</v>
      </c>
      <c r="M46" s="642" t="s">
        <v>162</v>
      </c>
      <c r="N46" s="138">
        <v>0.3</v>
      </c>
      <c r="P46" s="694" t="str">
        <f>'Từ khóa'!F16</f>
        <v>Chi tiền bảo hiểm</v>
      </c>
      <c r="Q46" s="695"/>
      <c r="R46" s="695"/>
      <c r="S46" s="695"/>
      <c r="T46" s="696">
        <v>0.5</v>
      </c>
      <c r="U46" s="696"/>
      <c r="V46" s="152"/>
      <c r="W46" s="153">
        <f t="shared" ca="1" si="3"/>
        <v>0</v>
      </c>
      <c r="X46" s="697">
        <f t="shared" ca="1" si="4"/>
        <v>0.5</v>
      </c>
      <c r="Y46" s="698"/>
      <c r="Z46" s="646"/>
      <c r="AA46" s="646"/>
      <c r="AB46" s="646"/>
      <c r="AC46" s="646"/>
      <c r="AD46" s="646"/>
      <c r="AE46" s="646"/>
      <c r="AF46" s="646"/>
      <c r="AG46" s="646"/>
      <c r="AH46" s="646"/>
      <c r="AI46" s="646"/>
      <c r="AJ46" s="646"/>
      <c r="AK46" s="658"/>
    </row>
    <row r="47" spans="5:37" ht="15" customHeight="1" x14ac:dyDescent="0.55000000000000004">
      <c r="E47" s="687">
        <v>44870</v>
      </c>
      <c r="F47" s="688">
        <v>44597</v>
      </c>
      <c r="G47" s="640" t="s">
        <v>10</v>
      </c>
      <c r="H47" s="641" t="s">
        <v>10</v>
      </c>
      <c r="I47" s="641" t="s">
        <v>10</v>
      </c>
      <c r="J47" s="642" t="s">
        <v>10</v>
      </c>
      <c r="K47" s="640" t="s">
        <v>163</v>
      </c>
      <c r="L47" s="641" t="s">
        <v>163</v>
      </c>
      <c r="M47" s="642" t="s">
        <v>163</v>
      </c>
      <c r="N47" s="138">
        <v>0.2</v>
      </c>
      <c r="P47" s="694" t="str">
        <f>'Từ khóa'!F17</f>
        <v>Chi tiền điện, nước, internet, điện thoại, xăng xe</v>
      </c>
      <c r="Q47" s="695"/>
      <c r="R47" s="695"/>
      <c r="S47" s="695"/>
      <c r="T47" s="696">
        <v>1.4</v>
      </c>
      <c r="U47" s="696"/>
      <c r="V47" s="152"/>
      <c r="W47" s="153">
        <f t="shared" ca="1" si="3"/>
        <v>1.35</v>
      </c>
      <c r="X47" s="697">
        <f t="shared" ca="1" si="4"/>
        <v>4.9999999999999822E-2</v>
      </c>
      <c r="Y47" s="698"/>
      <c r="Z47" s="646"/>
      <c r="AA47" s="646"/>
      <c r="AB47" s="646"/>
      <c r="AC47" s="646"/>
      <c r="AD47" s="646"/>
      <c r="AE47" s="646"/>
      <c r="AF47" s="646"/>
      <c r="AG47" s="646"/>
      <c r="AH47" s="646"/>
      <c r="AI47" s="646"/>
      <c r="AJ47" s="646"/>
      <c r="AK47" s="658"/>
    </row>
    <row r="48" spans="5:37" ht="15" customHeight="1" x14ac:dyDescent="0.55000000000000004">
      <c r="E48" s="687">
        <v>44872</v>
      </c>
      <c r="F48" s="688">
        <v>44599</v>
      </c>
      <c r="G48" s="640" t="s">
        <v>10</v>
      </c>
      <c r="H48" s="641" t="s">
        <v>10</v>
      </c>
      <c r="I48" s="641" t="s">
        <v>10</v>
      </c>
      <c r="J48" s="642" t="s">
        <v>10</v>
      </c>
      <c r="K48" s="640" t="s">
        <v>164</v>
      </c>
      <c r="L48" s="641" t="s">
        <v>164</v>
      </c>
      <c r="M48" s="642" t="s">
        <v>164</v>
      </c>
      <c r="N48" s="138">
        <v>0.05</v>
      </c>
      <c r="P48" s="694" t="str">
        <f>'Từ khóa'!F18</f>
        <v>Chi tiền giải trí, quà tặng</v>
      </c>
      <c r="Q48" s="695"/>
      <c r="R48" s="695"/>
      <c r="S48" s="695"/>
      <c r="T48" s="696">
        <v>1</v>
      </c>
      <c r="U48" s="696"/>
      <c r="V48" s="152"/>
      <c r="W48" s="153">
        <f t="shared" ca="1" si="3"/>
        <v>0.5</v>
      </c>
      <c r="X48" s="697">
        <f t="shared" ca="1" si="4"/>
        <v>0.5</v>
      </c>
      <c r="Y48" s="698"/>
      <c r="Z48" s="646"/>
      <c r="AA48" s="646"/>
      <c r="AB48" s="646"/>
      <c r="AC48" s="646"/>
      <c r="AD48" s="646"/>
      <c r="AE48" s="646"/>
      <c r="AF48" s="646"/>
      <c r="AG48" s="646"/>
      <c r="AH48" s="646"/>
      <c r="AI48" s="646"/>
      <c r="AJ48" s="646"/>
      <c r="AK48" s="658"/>
    </row>
    <row r="49" spans="5:37" ht="15" customHeight="1" x14ac:dyDescent="0.55000000000000004">
      <c r="E49" s="687">
        <v>44874</v>
      </c>
      <c r="F49" s="688">
        <v>44601</v>
      </c>
      <c r="G49" s="640" t="s">
        <v>7</v>
      </c>
      <c r="H49" s="641" t="s">
        <v>7</v>
      </c>
      <c r="I49" s="641" t="s">
        <v>7</v>
      </c>
      <c r="J49" s="642" t="s">
        <v>7</v>
      </c>
      <c r="K49" s="640"/>
      <c r="L49" s="641"/>
      <c r="M49" s="642"/>
      <c r="N49" s="138">
        <v>0.5</v>
      </c>
      <c r="P49" s="694" t="str">
        <f>'Từ khóa'!F19</f>
        <v>Chi tiền cho con</v>
      </c>
      <c r="Q49" s="695"/>
      <c r="R49" s="695"/>
      <c r="S49" s="695"/>
      <c r="T49" s="696">
        <v>1</v>
      </c>
      <c r="U49" s="696"/>
      <c r="V49" s="152"/>
      <c r="W49" s="153">
        <f t="shared" ca="1" si="3"/>
        <v>0</v>
      </c>
      <c r="X49" s="697">
        <f t="shared" ca="1" si="4"/>
        <v>1</v>
      </c>
      <c r="Y49" s="698"/>
      <c r="Z49" s="646"/>
      <c r="AA49" s="646"/>
      <c r="AB49" s="646"/>
      <c r="AC49" s="646"/>
      <c r="AD49" s="646"/>
      <c r="AE49" s="646"/>
      <c r="AF49" s="646"/>
      <c r="AG49" s="646"/>
      <c r="AH49" s="646"/>
      <c r="AI49" s="646"/>
      <c r="AJ49" s="646"/>
      <c r="AK49" s="658"/>
    </row>
    <row r="50" spans="5:37" ht="15" customHeight="1" x14ac:dyDescent="0.55000000000000004">
      <c r="E50" s="687">
        <v>44876</v>
      </c>
      <c r="F50" s="688">
        <v>44603</v>
      </c>
      <c r="G50" s="640" t="s">
        <v>8</v>
      </c>
      <c r="H50" s="641" t="s">
        <v>8</v>
      </c>
      <c r="I50" s="641" t="s">
        <v>8</v>
      </c>
      <c r="J50" s="642" t="s">
        <v>8</v>
      </c>
      <c r="K50" s="640" t="s">
        <v>23</v>
      </c>
      <c r="L50" s="641" t="s">
        <v>23</v>
      </c>
      <c r="M50" s="642" t="s">
        <v>23</v>
      </c>
      <c r="N50" s="138">
        <v>0.5</v>
      </c>
      <c r="P50" s="694" t="str">
        <f>'Từ khóa'!F20</f>
        <v>Chi tiền trả nợ</v>
      </c>
      <c r="Q50" s="695"/>
      <c r="R50" s="695"/>
      <c r="S50" s="695"/>
      <c r="T50" s="696">
        <f>'Kế hoạch thu nhập và chi tiêu'!L34</f>
        <v>6.5</v>
      </c>
      <c r="U50" s="696"/>
      <c r="V50" s="152"/>
      <c r="W50" s="153">
        <f t="shared" ca="1" si="3"/>
        <v>6.5</v>
      </c>
      <c r="X50" s="697">
        <f t="shared" ca="1" si="4"/>
        <v>0</v>
      </c>
      <c r="Y50" s="698"/>
      <c r="Z50" s="646"/>
      <c r="AA50" s="646"/>
      <c r="AB50" s="646"/>
      <c r="AC50" s="646"/>
      <c r="AD50" s="646"/>
      <c r="AE50" s="646"/>
      <c r="AF50" s="646"/>
      <c r="AG50" s="646"/>
      <c r="AH50" s="646"/>
      <c r="AI50" s="646"/>
      <c r="AJ50" s="646"/>
      <c r="AK50" s="658"/>
    </row>
    <row r="51" spans="5:37" ht="15" customHeight="1" x14ac:dyDescent="0.55000000000000004">
      <c r="E51" s="687">
        <v>44877</v>
      </c>
      <c r="F51" s="688">
        <v>44604</v>
      </c>
      <c r="G51" s="640" t="s">
        <v>8</v>
      </c>
      <c r="H51" s="641" t="s">
        <v>8</v>
      </c>
      <c r="I51" s="641" t="s">
        <v>8</v>
      </c>
      <c r="J51" s="642" t="s">
        <v>8</v>
      </c>
      <c r="K51" s="640" t="s">
        <v>165</v>
      </c>
      <c r="L51" s="641" t="s">
        <v>165</v>
      </c>
      <c r="M51" s="642" t="s">
        <v>165</v>
      </c>
      <c r="N51" s="138">
        <v>1</v>
      </c>
      <c r="P51" s="694" t="str">
        <f>'Từ khóa'!F21</f>
        <v>Chi tiền cho tặng gia đình</v>
      </c>
      <c r="Q51" s="695"/>
      <c r="R51" s="695"/>
      <c r="S51" s="695"/>
      <c r="T51" s="696">
        <f>'Kế hoạch thu nhập và chi tiêu'!L35</f>
        <v>1</v>
      </c>
      <c r="U51" s="696"/>
      <c r="V51" s="152"/>
      <c r="W51" s="153">
        <f t="shared" ca="1" si="3"/>
        <v>0</v>
      </c>
      <c r="X51" s="697">
        <f t="shared" ca="1" si="4"/>
        <v>1</v>
      </c>
      <c r="Y51" s="698"/>
      <c r="Z51" s="646"/>
      <c r="AA51" s="646"/>
      <c r="AB51" s="646"/>
      <c r="AC51" s="646"/>
      <c r="AD51" s="646"/>
      <c r="AE51" s="646"/>
      <c r="AF51" s="646"/>
      <c r="AG51" s="646"/>
      <c r="AH51" s="646"/>
      <c r="AI51" s="646"/>
      <c r="AJ51" s="646"/>
      <c r="AK51" s="658"/>
    </row>
    <row r="52" spans="5:37" ht="15" customHeight="1" x14ac:dyDescent="0.55000000000000004">
      <c r="E52" s="687">
        <v>44885</v>
      </c>
      <c r="F52" s="688">
        <v>44612</v>
      </c>
      <c r="G52" s="640" t="s">
        <v>5</v>
      </c>
      <c r="H52" s="641"/>
      <c r="I52" s="641"/>
      <c r="J52" s="642"/>
      <c r="K52" s="640"/>
      <c r="L52" s="641"/>
      <c r="M52" s="642"/>
      <c r="N52" s="138">
        <v>1</v>
      </c>
      <c r="P52" s="694" t="str">
        <f>'Từ khóa'!F22</f>
        <v>Chi tiêu 1</v>
      </c>
      <c r="Q52" s="695"/>
      <c r="R52" s="695"/>
      <c r="S52" s="695"/>
      <c r="T52" s="696">
        <f>'Kế hoạch thu nhập và chi tiêu'!L36</f>
        <v>0</v>
      </c>
      <c r="U52" s="696"/>
      <c r="V52" s="152"/>
      <c r="W52" s="153">
        <f t="shared" ca="1" si="3"/>
        <v>0</v>
      </c>
      <c r="X52" s="697">
        <f t="shared" ca="1" si="4"/>
        <v>0</v>
      </c>
      <c r="Y52" s="698"/>
      <c r="Z52" s="646"/>
      <c r="AA52" s="646"/>
      <c r="AB52" s="646"/>
      <c r="AC52" s="646"/>
      <c r="AD52" s="646"/>
      <c r="AE52" s="646"/>
      <c r="AF52" s="646"/>
      <c r="AG52" s="646"/>
      <c r="AH52" s="646"/>
      <c r="AI52" s="646"/>
      <c r="AJ52" s="646"/>
      <c r="AK52" s="658"/>
    </row>
    <row r="53" spans="5:37" ht="15" customHeight="1" x14ac:dyDescent="0.55000000000000004">
      <c r="E53" s="687">
        <v>44887</v>
      </c>
      <c r="F53" s="688" t="s">
        <v>174</v>
      </c>
      <c r="G53" s="640" t="s">
        <v>13</v>
      </c>
      <c r="H53" s="641"/>
      <c r="I53" s="641"/>
      <c r="J53" s="642"/>
      <c r="K53" s="640"/>
      <c r="L53" s="641"/>
      <c r="M53" s="642"/>
      <c r="N53" s="138">
        <v>6.5</v>
      </c>
      <c r="P53" s="694" t="str">
        <f>'Từ khóa'!F23</f>
        <v>Chi tiêu 2</v>
      </c>
      <c r="Q53" s="695"/>
      <c r="R53" s="695"/>
      <c r="S53" s="695"/>
      <c r="T53" s="696">
        <f>'Kế hoạch thu nhập và chi tiêu'!L37</f>
        <v>0</v>
      </c>
      <c r="U53" s="696"/>
      <c r="V53" s="152"/>
      <c r="W53" s="153">
        <f t="shared" ca="1" si="3"/>
        <v>0</v>
      </c>
      <c r="X53" s="697">
        <f t="shared" ca="1" si="4"/>
        <v>0</v>
      </c>
      <c r="Y53" s="698"/>
      <c r="Z53" s="646"/>
      <c r="AA53" s="646"/>
      <c r="AB53" s="646"/>
      <c r="AC53" s="646"/>
      <c r="AD53" s="646"/>
      <c r="AE53" s="646"/>
      <c r="AF53" s="646"/>
      <c r="AG53" s="646"/>
      <c r="AH53" s="646"/>
      <c r="AI53" s="646"/>
      <c r="AJ53" s="646"/>
      <c r="AK53" s="658"/>
    </row>
    <row r="54" spans="5:37" ht="15" customHeight="1" x14ac:dyDescent="0.55000000000000004">
      <c r="E54" s="687">
        <v>44888</v>
      </c>
      <c r="F54" s="688">
        <v>44615</v>
      </c>
      <c r="G54" s="640" t="s">
        <v>5</v>
      </c>
      <c r="H54" s="641"/>
      <c r="I54" s="641"/>
      <c r="J54" s="642"/>
      <c r="K54" s="640"/>
      <c r="L54" s="641"/>
      <c r="M54" s="642"/>
      <c r="N54" s="138">
        <v>2</v>
      </c>
      <c r="P54" s="694" t="str">
        <f>'Từ khóa'!F24</f>
        <v>Chi tiêu 3</v>
      </c>
      <c r="Q54" s="695"/>
      <c r="R54" s="695"/>
      <c r="S54" s="695"/>
      <c r="T54" s="696">
        <f>'Kế hoạch thu nhập và chi tiêu'!L38</f>
        <v>0</v>
      </c>
      <c r="U54" s="696"/>
      <c r="V54" s="152"/>
      <c r="W54" s="153">
        <f t="shared" ca="1" si="3"/>
        <v>0</v>
      </c>
      <c r="X54" s="697">
        <f t="shared" ca="1" si="4"/>
        <v>0</v>
      </c>
      <c r="Y54" s="698"/>
      <c r="Z54" s="646"/>
      <c r="AA54" s="646"/>
      <c r="AB54" s="646"/>
      <c r="AC54" s="646"/>
      <c r="AD54" s="646"/>
      <c r="AE54" s="646"/>
      <c r="AF54" s="646"/>
      <c r="AG54" s="646"/>
      <c r="AH54" s="646"/>
      <c r="AI54" s="646"/>
      <c r="AJ54" s="646"/>
      <c r="AK54" s="658"/>
    </row>
    <row r="55" spans="5:37" ht="15" customHeight="1" x14ac:dyDescent="0.55000000000000004">
      <c r="E55" s="687">
        <v>44889</v>
      </c>
      <c r="F55" s="688">
        <v>44616</v>
      </c>
      <c r="G55" s="640" t="s">
        <v>6</v>
      </c>
      <c r="H55" s="641"/>
      <c r="I55" s="641"/>
      <c r="J55" s="642"/>
      <c r="K55" s="640"/>
      <c r="L55" s="641"/>
      <c r="M55" s="642"/>
      <c r="N55" s="138">
        <v>0.1</v>
      </c>
      <c r="P55" s="694" t="str">
        <f>'Từ khóa'!F25</f>
        <v>Chi tiêu 4</v>
      </c>
      <c r="Q55" s="695"/>
      <c r="R55" s="695"/>
      <c r="S55" s="695"/>
      <c r="T55" s="696">
        <f>'Kế hoạch thu nhập và chi tiêu'!L39</f>
        <v>0</v>
      </c>
      <c r="U55" s="696"/>
      <c r="V55" s="152"/>
      <c r="W55" s="153">
        <f t="shared" ca="1" si="3"/>
        <v>0</v>
      </c>
      <c r="X55" s="697">
        <f t="shared" ca="1" si="4"/>
        <v>0</v>
      </c>
      <c r="Y55" s="698"/>
      <c r="Z55" s="646"/>
      <c r="AA55" s="646"/>
      <c r="AB55" s="646"/>
      <c r="AC55" s="646"/>
      <c r="AD55" s="646"/>
      <c r="AE55" s="646"/>
      <c r="AF55" s="646"/>
      <c r="AG55" s="646"/>
      <c r="AH55" s="646"/>
      <c r="AI55" s="646"/>
      <c r="AJ55" s="646"/>
      <c r="AK55" s="658"/>
    </row>
    <row r="56" spans="5:37" ht="15" customHeight="1" x14ac:dyDescent="0.55000000000000004">
      <c r="E56" s="687">
        <v>44890</v>
      </c>
      <c r="F56" s="688">
        <v>44617</v>
      </c>
      <c r="G56" s="640" t="s">
        <v>7</v>
      </c>
      <c r="H56" s="641"/>
      <c r="I56" s="641"/>
      <c r="J56" s="642"/>
      <c r="K56" s="640"/>
      <c r="L56" s="641"/>
      <c r="M56" s="642"/>
      <c r="N56" s="138">
        <v>1</v>
      </c>
      <c r="P56" s="694" t="str">
        <f>'Từ khóa'!F26</f>
        <v>Chi tiêu 5</v>
      </c>
      <c r="Q56" s="695"/>
      <c r="R56" s="695"/>
      <c r="S56" s="695"/>
      <c r="T56" s="696">
        <f>'Kế hoạch thu nhập và chi tiêu'!L40</f>
        <v>0</v>
      </c>
      <c r="U56" s="696"/>
      <c r="V56" s="152"/>
      <c r="W56" s="153">
        <f t="shared" ca="1" si="3"/>
        <v>0</v>
      </c>
      <c r="X56" s="697">
        <f t="shared" ca="1" si="4"/>
        <v>0</v>
      </c>
      <c r="Y56" s="698"/>
      <c r="Z56" s="646"/>
      <c r="AA56" s="646"/>
      <c r="AB56" s="646"/>
      <c r="AC56" s="646"/>
      <c r="AD56" s="646"/>
      <c r="AE56" s="646"/>
      <c r="AF56" s="646"/>
      <c r="AG56" s="646"/>
      <c r="AH56" s="646"/>
      <c r="AI56" s="646"/>
      <c r="AJ56" s="646"/>
      <c r="AK56" s="658"/>
    </row>
    <row r="57" spans="5:37" ht="15.75" customHeight="1" thickBot="1" x14ac:dyDescent="0.6">
      <c r="E57" s="687">
        <v>44891</v>
      </c>
      <c r="F57" s="688">
        <v>44618</v>
      </c>
      <c r="G57" s="640" t="s">
        <v>5</v>
      </c>
      <c r="H57" s="641"/>
      <c r="I57" s="641"/>
      <c r="J57" s="642"/>
      <c r="K57" s="640"/>
      <c r="L57" s="641"/>
      <c r="M57" s="642"/>
      <c r="N57" s="138">
        <v>1</v>
      </c>
      <c r="P57" s="691" t="s">
        <v>317</v>
      </c>
      <c r="Q57" s="692"/>
      <c r="R57" s="692"/>
      <c r="S57" s="693"/>
      <c r="T57" s="689">
        <f>SUM(T42:U56)</f>
        <v>19.5</v>
      </c>
      <c r="U57" s="690"/>
      <c r="V57" s="689">
        <f ca="1">SUM(W42:W56)</f>
        <v>17.75</v>
      </c>
      <c r="W57" s="690"/>
      <c r="X57" s="689">
        <f t="shared" ref="X57" ca="1" si="5">SUM(X42:Y56)</f>
        <v>1.75</v>
      </c>
      <c r="Y57" s="690"/>
      <c r="Z57" s="669"/>
      <c r="AA57" s="669"/>
      <c r="AB57" s="669"/>
      <c r="AC57" s="669"/>
      <c r="AD57" s="669"/>
      <c r="AE57" s="669"/>
      <c r="AF57" s="669"/>
      <c r="AG57" s="669"/>
      <c r="AH57" s="669"/>
      <c r="AI57" s="669"/>
      <c r="AJ57" s="669"/>
      <c r="AK57" s="670"/>
    </row>
    <row r="58" spans="5:37" ht="15.75" customHeight="1" x14ac:dyDescent="0.55000000000000004">
      <c r="E58" s="687">
        <v>44892</v>
      </c>
      <c r="F58" s="688">
        <v>44619</v>
      </c>
      <c r="G58" s="640" t="s">
        <v>11</v>
      </c>
      <c r="H58" s="641"/>
      <c r="I58" s="641"/>
      <c r="J58" s="642"/>
      <c r="K58" s="640"/>
      <c r="L58" s="641"/>
      <c r="M58" s="642"/>
      <c r="N58" s="139">
        <v>0.5</v>
      </c>
      <c r="Q58" s="6"/>
      <c r="R58" s="6"/>
      <c r="S58" s="6"/>
      <c r="T58" s="6"/>
    </row>
    <row r="59" spans="5:37" ht="15.75" customHeight="1" x14ac:dyDescent="0.55000000000000004">
      <c r="E59" s="687">
        <v>44893</v>
      </c>
      <c r="F59" s="688" t="s">
        <v>174</v>
      </c>
      <c r="G59" s="640" t="s">
        <v>7</v>
      </c>
      <c r="H59" s="641"/>
      <c r="I59" s="641"/>
      <c r="J59" s="642"/>
      <c r="K59" s="640"/>
      <c r="L59" s="641"/>
      <c r="M59" s="642"/>
      <c r="N59" s="140">
        <v>1</v>
      </c>
      <c r="Q59" s="6"/>
      <c r="R59" s="6"/>
      <c r="S59" s="6"/>
      <c r="T59" s="6"/>
    </row>
    <row r="60" spans="5:37" ht="15" x14ac:dyDescent="0.55000000000000004">
      <c r="E60" s="638"/>
      <c r="F60" s="639"/>
      <c r="G60" s="640"/>
      <c r="H60" s="641"/>
      <c r="I60" s="641"/>
      <c r="J60" s="642"/>
      <c r="K60" s="640"/>
      <c r="L60" s="641"/>
      <c r="M60" s="642"/>
      <c r="N60" s="140"/>
    </row>
    <row r="61" spans="5:37" ht="15" x14ac:dyDescent="0.55000000000000004">
      <c r="E61" s="638"/>
      <c r="F61" s="639"/>
      <c r="G61" s="640"/>
      <c r="H61" s="641"/>
      <c r="I61" s="641"/>
      <c r="J61" s="642"/>
      <c r="K61" s="640"/>
      <c r="L61" s="641"/>
      <c r="M61" s="642"/>
      <c r="N61" s="140"/>
    </row>
    <row r="62" spans="5:37" ht="15" x14ac:dyDescent="0.55000000000000004">
      <c r="E62" s="638"/>
      <c r="F62" s="639"/>
      <c r="G62" s="640"/>
      <c r="H62" s="641"/>
      <c r="I62" s="641"/>
      <c r="J62" s="642"/>
      <c r="K62" s="640"/>
      <c r="L62" s="641"/>
      <c r="M62" s="642"/>
      <c r="N62" s="140"/>
    </row>
    <row r="63" spans="5:37" ht="15" x14ac:dyDescent="0.55000000000000004">
      <c r="E63" s="638"/>
      <c r="F63" s="639"/>
      <c r="G63" s="640"/>
      <c r="H63" s="641"/>
      <c r="I63" s="641"/>
      <c r="J63" s="642"/>
      <c r="K63" s="640"/>
      <c r="L63" s="641"/>
      <c r="M63" s="642"/>
      <c r="N63" s="140"/>
    </row>
    <row r="64" spans="5:37" ht="15" x14ac:dyDescent="0.55000000000000004">
      <c r="E64" s="638"/>
      <c r="F64" s="639"/>
      <c r="G64" s="640"/>
      <c r="H64" s="641"/>
      <c r="I64" s="641"/>
      <c r="J64" s="642"/>
      <c r="K64" s="640"/>
      <c r="L64" s="641"/>
      <c r="M64" s="642"/>
      <c r="N64" s="140"/>
    </row>
    <row r="65" spans="5:14" ht="15" x14ac:dyDescent="0.55000000000000004">
      <c r="E65" s="638"/>
      <c r="F65" s="639"/>
      <c r="G65" s="640"/>
      <c r="H65" s="641"/>
      <c r="I65" s="641"/>
      <c r="J65" s="642"/>
      <c r="K65" s="640"/>
      <c r="L65" s="641"/>
      <c r="M65" s="642"/>
      <c r="N65" s="140"/>
    </row>
    <row r="66" spans="5:14" ht="15" x14ac:dyDescent="0.55000000000000004">
      <c r="E66" s="638"/>
      <c r="F66" s="639"/>
      <c r="G66" s="640"/>
      <c r="H66" s="641"/>
      <c r="I66" s="641"/>
      <c r="J66" s="642"/>
      <c r="K66" s="640"/>
      <c r="L66" s="641"/>
      <c r="M66" s="642"/>
      <c r="N66" s="140"/>
    </row>
    <row r="67" spans="5:14" ht="15" x14ac:dyDescent="0.55000000000000004">
      <c r="E67" s="638"/>
      <c r="F67" s="639"/>
      <c r="G67" s="640"/>
      <c r="H67" s="641"/>
      <c r="I67" s="641"/>
      <c r="J67" s="642"/>
      <c r="K67" s="640"/>
      <c r="L67" s="641"/>
      <c r="M67" s="642"/>
      <c r="N67" s="140"/>
    </row>
    <row r="68" spans="5:14" ht="15" x14ac:dyDescent="0.55000000000000004">
      <c r="E68" s="638"/>
      <c r="F68" s="639"/>
      <c r="G68" s="640"/>
      <c r="H68" s="641"/>
      <c r="I68" s="641"/>
      <c r="J68" s="642"/>
      <c r="K68" s="640"/>
      <c r="L68" s="641"/>
      <c r="M68" s="642"/>
      <c r="N68" s="140"/>
    </row>
    <row r="69" spans="5:14" ht="15" x14ac:dyDescent="0.55000000000000004">
      <c r="E69" s="638"/>
      <c r="F69" s="639"/>
      <c r="G69" s="640"/>
      <c r="H69" s="641"/>
      <c r="I69" s="641"/>
      <c r="J69" s="642"/>
      <c r="K69" s="640"/>
      <c r="L69" s="641"/>
      <c r="M69" s="642"/>
      <c r="N69" s="140"/>
    </row>
    <row r="70" spans="5:14" ht="15" x14ac:dyDescent="0.55000000000000004">
      <c r="E70" s="638"/>
      <c r="F70" s="639"/>
      <c r="G70" s="640"/>
      <c r="H70" s="641"/>
      <c r="I70" s="641"/>
      <c r="J70" s="642"/>
      <c r="K70" s="640"/>
      <c r="L70" s="641"/>
      <c r="M70" s="642"/>
      <c r="N70" s="140"/>
    </row>
    <row r="71" spans="5:14" ht="15" x14ac:dyDescent="0.55000000000000004">
      <c r="E71" s="638"/>
      <c r="F71" s="639"/>
      <c r="G71" s="640"/>
      <c r="H71" s="641"/>
      <c r="I71" s="641"/>
      <c r="J71" s="642"/>
      <c r="K71" s="640"/>
      <c r="L71" s="641"/>
      <c r="M71" s="642"/>
      <c r="N71" s="140"/>
    </row>
    <row r="72" spans="5:14" ht="15" x14ac:dyDescent="0.55000000000000004">
      <c r="E72" s="638"/>
      <c r="F72" s="639"/>
      <c r="G72" s="640"/>
      <c r="H72" s="641"/>
      <c r="I72" s="641"/>
      <c r="J72" s="642"/>
      <c r="K72" s="640"/>
      <c r="L72" s="641"/>
      <c r="M72" s="642"/>
      <c r="N72" s="140"/>
    </row>
    <row r="73" spans="5:14" ht="15" x14ac:dyDescent="0.55000000000000004">
      <c r="E73" s="638"/>
      <c r="F73" s="639"/>
      <c r="G73" s="640"/>
      <c r="H73" s="641"/>
      <c r="I73" s="641"/>
      <c r="J73" s="642"/>
      <c r="K73" s="640"/>
      <c r="L73" s="641"/>
      <c r="M73" s="642"/>
      <c r="N73" s="140"/>
    </row>
    <row r="74" spans="5:14" ht="15" x14ac:dyDescent="0.55000000000000004">
      <c r="E74" s="638"/>
      <c r="F74" s="639"/>
      <c r="G74" s="640"/>
      <c r="H74" s="641"/>
      <c r="I74" s="641"/>
      <c r="J74" s="642"/>
      <c r="K74" s="640"/>
      <c r="L74" s="641"/>
      <c r="M74" s="642"/>
      <c r="N74" s="140"/>
    </row>
    <row r="75" spans="5:14" ht="15" x14ac:dyDescent="0.55000000000000004">
      <c r="E75" s="638"/>
      <c r="F75" s="639"/>
      <c r="G75" s="640"/>
      <c r="H75" s="641"/>
      <c r="I75" s="641"/>
      <c r="J75" s="642"/>
      <c r="K75" s="640"/>
      <c r="L75" s="641"/>
      <c r="M75" s="642"/>
      <c r="N75" s="140"/>
    </row>
    <row r="76" spans="5:14" ht="15" x14ac:dyDescent="0.55000000000000004">
      <c r="E76" s="638"/>
      <c r="F76" s="639"/>
      <c r="G76" s="640"/>
      <c r="H76" s="641"/>
      <c r="I76" s="641"/>
      <c r="J76" s="642"/>
      <c r="K76" s="640"/>
      <c r="L76" s="641"/>
      <c r="M76" s="642"/>
      <c r="N76" s="140"/>
    </row>
    <row r="77" spans="5:14" ht="15" x14ac:dyDescent="0.55000000000000004">
      <c r="E77" s="638"/>
      <c r="F77" s="639"/>
      <c r="G77" s="640"/>
      <c r="H77" s="641"/>
      <c r="I77" s="641"/>
      <c r="J77" s="642"/>
      <c r="K77" s="640"/>
      <c r="L77" s="641"/>
      <c r="M77" s="642"/>
      <c r="N77" s="140"/>
    </row>
    <row r="78" spans="5:14" ht="15" x14ac:dyDescent="0.55000000000000004">
      <c r="E78" s="638"/>
      <c r="F78" s="639"/>
      <c r="G78" s="640"/>
      <c r="H78" s="641"/>
      <c r="I78" s="641"/>
      <c r="J78" s="642"/>
      <c r="K78" s="640"/>
      <c r="L78" s="641"/>
      <c r="M78" s="642"/>
      <c r="N78" s="140"/>
    </row>
    <row r="79" spans="5:14" ht="15" x14ac:dyDescent="0.55000000000000004">
      <c r="E79" s="638"/>
      <c r="F79" s="639"/>
      <c r="G79" s="640"/>
      <c r="H79" s="641"/>
      <c r="I79" s="641"/>
      <c r="J79" s="642"/>
      <c r="K79" s="640"/>
      <c r="L79" s="641"/>
      <c r="M79" s="642"/>
      <c r="N79" s="140"/>
    </row>
    <row r="80" spans="5:14" ht="15" x14ac:dyDescent="0.55000000000000004">
      <c r="E80" s="638"/>
      <c r="F80" s="639"/>
      <c r="G80" s="640"/>
      <c r="H80" s="641"/>
      <c r="I80" s="641"/>
      <c r="J80" s="642"/>
      <c r="K80" s="640"/>
      <c r="L80" s="641"/>
      <c r="M80" s="642"/>
      <c r="N80" s="140"/>
    </row>
    <row r="81" spans="1:31" ht="15" x14ac:dyDescent="0.55000000000000004">
      <c r="E81" s="638"/>
      <c r="F81" s="639"/>
      <c r="G81" s="640"/>
      <c r="H81" s="641"/>
      <c r="I81" s="641"/>
      <c r="J81" s="642"/>
      <c r="K81" s="640"/>
      <c r="L81" s="641"/>
      <c r="M81" s="642"/>
      <c r="N81" s="140"/>
    </row>
    <row r="82" spans="1:31" ht="15" x14ac:dyDescent="0.55000000000000004">
      <c r="E82" s="638"/>
      <c r="F82" s="639"/>
      <c r="G82" s="640"/>
      <c r="H82" s="641"/>
      <c r="I82" s="641"/>
      <c r="J82" s="642"/>
      <c r="K82" s="640"/>
      <c r="L82" s="641"/>
      <c r="M82" s="642"/>
      <c r="N82" s="140"/>
    </row>
    <row r="83" spans="1:31" ht="15.4" thickBot="1" x14ac:dyDescent="0.6">
      <c r="E83" s="671" t="s">
        <v>317</v>
      </c>
      <c r="F83" s="672"/>
      <c r="G83" s="672"/>
      <c r="H83" s="672"/>
      <c r="I83" s="672"/>
      <c r="J83" s="672"/>
      <c r="K83" s="672"/>
      <c r="L83" s="672"/>
      <c r="M83" s="673"/>
      <c r="N83" s="143">
        <f>SUM(N42:N82)</f>
        <v>17.75</v>
      </c>
    </row>
    <row r="86" spans="1:31" ht="15" customHeight="1" x14ac:dyDescent="0.45">
      <c r="E86" s="532" t="s">
        <v>348</v>
      </c>
      <c r="F86" s="532"/>
      <c r="G86" s="532"/>
      <c r="H86" s="532"/>
      <c r="I86" s="532"/>
      <c r="J86" s="532"/>
      <c r="K86" s="532"/>
      <c r="L86" s="532"/>
      <c r="M86" s="532"/>
      <c r="N86" s="5"/>
      <c r="O86" s="5"/>
      <c r="P86" s="5"/>
      <c r="Q86" s="5"/>
      <c r="R86" s="5"/>
      <c r="S86" s="6"/>
      <c r="T86" s="6"/>
      <c r="U86" s="6"/>
      <c r="V86" s="6"/>
      <c r="W86" s="6"/>
      <c r="X86" s="6"/>
      <c r="Y86" s="6"/>
      <c r="Z86" s="6"/>
      <c r="AA86" s="6"/>
    </row>
    <row r="87" spans="1:31" s="8" customFormat="1" ht="15" customHeight="1" thickBot="1" x14ac:dyDescent="0.5">
      <c r="A87" s="7"/>
      <c r="B87" s="7"/>
      <c r="C87" s="7"/>
      <c r="E87" s="533"/>
      <c r="F87" s="533"/>
      <c r="G87" s="533"/>
      <c r="H87" s="533"/>
      <c r="I87" s="533"/>
      <c r="J87" s="533"/>
      <c r="K87" s="533"/>
      <c r="L87" s="533"/>
      <c r="M87" s="533"/>
      <c r="N87" s="9"/>
      <c r="O87" s="9"/>
      <c r="P87" s="9"/>
      <c r="Q87" s="9"/>
      <c r="R87" s="9"/>
      <c r="S87" s="10"/>
      <c r="T87" s="10"/>
      <c r="U87" s="10"/>
      <c r="V87" s="10"/>
      <c r="W87" s="10"/>
      <c r="X87" s="10"/>
      <c r="Y87" s="10"/>
      <c r="Z87" s="10"/>
      <c r="AA87" s="10"/>
    </row>
    <row r="88" spans="1:31" ht="14.65" thickBot="1" x14ac:dyDescent="0.5"/>
    <row r="89" spans="1:31" ht="14.65" thickBot="1" x14ac:dyDescent="0.5">
      <c r="E89" s="620" t="s">
        <v>350</v>
      </c>
      <c r="F89" s="621"/>
      <c r="G89" s="621"/>
      <c r="H89" s="621"/>
      <c r="I89" s="621"/>
      <c r="J89" s="621"/>
      <c r="K89" s="621"/>
      <c r="L89" s="621"/>
      <c r="M89" s="621"/>
      <c r="N89" s="621"/>
      <c r="O89" s="621"/>
      <c r="P89" s="621"/>
      <c r="Q89" s="621"/>
      <c r="R89" s="621"/>
      <c r="S89" s="621"/>
      <c r="T89" s="621"/>
      <c r="U89" s="621"/>
      <c r="V89" s="621"/>
      <c r="W89" s="621"/>
      <c r="X89" s="621"/>
      <c r="Y89" s="622"/>
      <c r="AA89" s="629" t="s">
        <v>353</v>
      </c>
      <c r="AB89" s="630"/>
      <c r="AC89" s="630"/>
      <c r="AD89" s="630"/>
      <c r="AE89" s="631"/>
    </row>
    <row r="90" spans="1:31" x14ac:dyDescent="0.45">
      <c r="E90" s="615" t="s">
        <v>146</v>
      </c>
      <c r="F90" s="350"/>
      <c r="G90" s="350" t="s">
        <v>349</v>
      </c>
      <c r="H90" s="350"/>
      <c r="I90" s="350" t="s">
        <v>345</v>
      </c>
      <c r="J90" s="350"/>
      <c r="K90" s="133" t="s">
        <v>148</v>
      </c>
      <c r="L90" s="350" t="s">
        <v>166</v>
      </c>
      <c r="M90" s="350"/>
      <c r="N90" s="350"/>
      <c r="O90" s="350"/>
      <c r="P90" s="350"/>
      <c r="Q90" s="350"/>
      <c r="R90" s="350"/>
      <c r="S90" s="350" t="s">
        <v>352</v>
      </c>
      <c r="T90" s="350"/>
      <c r="U90" s="350"/>
      <c r="V90" s="350"/>
      <c r="W90" s="350"/>
      <c r="X90" s="350"/>
      <c r="Y90" s="614"/>
      <c r="AA90" s="685" t="s">
        <v>147</v>
      </c>
      <c r="AB90" s="686"/>
      <c r="AC90" s="686"/>
      <c r="AD90" s="686"/>
      <c r="AE90" s="684" t="s">
        <v>324</v>
      </c>
    </row>
    <row r="91" spans="1:31" ht="15" x14ac:dyDescent="0.45">
      <c r="E91" s="680">
        <v>44876</v>
      </c>
      <c r="F91" s="681"/>
      <c r="G91" s="555" t="s">
        <v>23</v>
      </c>
      <c r="H91" s="555"/>
      <c r="I91" s="555" t="s">
        <v>167</v>
      </c>
      <c r="J91" s="555"/>
      <c r="K91" s="149">
        <v>0.5</v>
      </c>
      <c r="L91" s="619" t="s">
        <v>168</v>
      </c>
      <c r="M91" s="619"/>
      <c r="N91" s="619"/>
      <c r="O91" s="619"/>
      <c r="P91" s="619"/>
      <c r="Q91" s="619"/>
      <c r="R91" s="619"/>
      <c r="S91" s="555"/>
      <c r="T91" s="555"/>
      <c r="U91" s="555"/>
      <c r="V91" s="555"/>
      <c r="W91" s="555"/>
      <c r="X91" s="555"/>
      <c r="Y91" s="556"/>
      <c r="AA91" s="685"/>
      <c r="AB91" s="686"/>
      <c r="AC91" s="686"/>
      <c r="AD91" s="686"/>
      <c r="AE91" s="684"/>
    </row>
    <row r="92" spans="1:31" ht="15" x14ac:dyDescent="0.45">
      <c r="E92" s="680">
        <v>44877</v>
      </c>
      <c r="F92" s="681"/>
      <c r="G92" s="557" t="s">
        <v>24</v>
      </c>
      <c r="H92" s="557"/>
      <c r="I92" s="557" t="s">
        <v>329</v>
      </c>
      <c r="J92" s="557"/>
      <c r="K92" s="150">
        <v>1</v>
      </c>
      <c r="L92" s="606" t="s">
        <v>168</v>
      </c>
      <c r="M92" s="606"/>
      <c r="N92" s="606"/>
      <c r="O92" s="606"/>
      <c r="P92" s="606"/>
      <c r="Q92" s="606"/>
      <c r="R92" s="606"/>
      <c r="S92" s="557"/>
      <c r="T92" s="557"/>
      <c r="U92" s="557"/>
      <c r="V92" s="557"/>
      <c r="W92" s="557"/>
      <c r="X92" s="557"/>
      <c r="Y92" s="558"/>
      <c r="AA92" s="682" t="str">
        <f>'Từ khóa'!S12:S12</f>
        <v>Mua sách</v>
      </c>
      <c r="AB92" s="683"/>
      <c r="AC92" s="683"/>
      <c r="AD92" s="683"/>
      <c r="AE92" s="145">
        <f ca="1">SUMIF($G$91:$H$105,AA92,$K$91:$K$105)</f>
        <v>0.5</v>
      </c>
    </row>
    <row r="93" spans="1:31" ht="15" x14ac:dyDescent="0.45">
      <c r="E93" s="680"/>
      <c r="F93" s="681"/>
      <c r="G93" s="557"/>
      <c r="H93" s="557"/>
      <c r="I93" s="557"/>
      <c r="J93" s="557"/>
      <c r="K93" s="150"/>
      <c r="L93" s="606"/>
      <c r="M93" s="606"/>
      <c r="N93" s="606"/>
      <c r="O93" s="606"/>
      <c r="P93" s="606"/>
      <c r="Q93" s="606"/>
      <c r="R93" s="606"/>
      <c r="S93" s="557"/>
      <c r="T93" s="557"/>
      <c r="U93" s="557"/>
      <c r="V93" s="557"/>
      <c r="W93" s="557"/>
      <c r="X93" s="557"/>
      <c r="Y93" s="558"/>
      <c r="AA93" s="678" t="str">
        <f>'Từ khóa'!S13:S13</f>
        <v>Khóa học ngắn hạn</v>
      </c>
      <c r="AB93" s="679"/>
      <c r="AC93" s="679"/>
      <c r="AD93" s="679"/>
      <c r="AE93" s="146">
        <f t="shared" ref="AE93:AE101" ca="1" si="6">SUMIF($G$91:$H$105,AA93,$K$91:$K$105)</f>
        <v>1</v>
      </c>
    </row>
    <row r="94" spans="1:31" ht="15" x14ac:dyDescent="0.45">
      <c r="E94" s="680"/>
      <c r="F94" s="681"/>
      <c r="G94" s="557"/>
      <c r="H94" s="557"/>
      <c r="I94" s="557"/>
      <c r="J94" s="557"/>
      <c r="K94" s="150"/>
      <c r="L94" s="606"/>
      <c r="M94" s="606"/>
      <c r="N94" s="606"/>
      <c r="O94" s="606"/>
      <c r="P94" s="606"/>
      <c r="Q94" s="606"/>
      <c r="R94" s="606"/>
      <c r="S94" s="557"/>
      <c r="T94" s="557"/>
      <c r="U94" s="557"/>
      <c r="V94" s="557"/>
      <c r="W94" s="557"/>
      <c r="X94" s="557"/>
      <c r="Y94" s="558"/>
      <c r="AA94" s="678" t="str">
        <f>'Từ khóa'!S14:S14</f>
        <v>Khóa học dài hạn</v>
      </c>
      <c r="AB94" s="679"/>
      <c r="AC94" s="679"/>
      <c r="AD94" s="679"/>
      <c r="AE94" s="146">
        <f t="shared" ca="1" si="6"/>
        <v>0</v>
      </c>
    </row>
    <row r="95" spans="1:31" x14ac:dyDescent="0.45">
      <c r="E95" s="604"/>
      <c r="F95" s="605"/>
      <c r="G95" s="557"/>
      <c r="H95" s="557"/>
      <c r="I95" s="557"/>
      <c r="J95" s="557"/>
      <c r="K95" s="150"/>
      <c r="L95" s="606"/>
      <c r="M95" s="606"/>
      <c r="N95" s="606"/>
      <c r="O95" s="606"/>
      <c r="P95" s="606"/>
      <c r="Q95" s="606"/>
      <c r="R95" s="606"/>
      <c r="S95" s="557"/>
      <c r="T95" s="557"/>
      <c r="U95" s="557"/>
      <c r="V95" s="557"/>
      <c r="W95" s="557"/>
      <c r="X95" s="557"/>
      <c r="Y95" s="558"/>
      <c r="AA95" s="678" t="e">
        <f>'Từ khóa'!#REF!</f>
        <v>#REF!</v>
      </c>
      <c r="AB95" s="679"/>
      <c r="AC95" s="679"/>
      <c r="AD95" s="679"/>
      <c r="AE95" s="146">
        <f t="shared" ca="1" si="6"/>
        <v>0</v>
      </c>
    </row>
    <row r="96" spans="1:31" x14ac:dyDescent="0.45">
      <c r="E96" s="604"/>
      <c r="F96" s="605"/>
      <c r="G96" s="557"/>
      <c r="H96" s="557"/>
      <c r="I96" s="557"/>
      <c r="J96" s="557"/>
      <c r="K96" s="150"/>
      <c r="L96" s="606"/>
      <c r="M96" s="606"/>
      <c r="N96" s="606"/>
      <c r="O96" s="606"/>
      <c r="P96" s="606"/>
      <c r="Q96" s="606"/>
      <c r="R96" s="606"/>
      <c r="S96" s="557"/>
      <c r="T96" s="557"/>
      <c r="U96" s="557"/>
      <c r="V96" s="557"/>
      <c r="W96" s="557"/>
      <c r="X96" s="557"/>
      <c r="Y96" s="558"/>
      <c r="AA96" s="678" t="str">
        <f>'Từ khóa'!S15:S15</f>
        <v>Tham gia các buổi diễn thuyết</v>
      </c>
      <c r="AB96" s="679"/>
      <c r="AC96" s="679"/>
      <c r="AD96" s="679"/>
      <c r="AE96" s="146">
        <f t="shared" ca="1" si="6"/>
        <v>0</v>
      </c>
    </row>
    <row r="97" spans="5:31" x14ac:dyDescent="0.45">
      <c r="E97" s="604"/>
      <c r="F97" s="605"/>
      <c r="G97" s="557"/>
      <c r="H97" s="557"/>
      <c r="I97" s="557"/>
      <c r="J97" s="557"/>
      <c r="K97" s="150"/>
      <c r="L97" s="606"/>
      <c r="M97" s="606"/>
      <c r="N97" s="606"/>
      <c r="O97" s="606"/>
      <c r="P97" s="606"/>
      <c r="Q97" s="606"/>
      <c r="R97" s="606"/>
      <c r="S97" s="557"/>
      <c r="T97" s="557"/>
      <c r="U97" s="557"/>
      <c r="V97" s="557"/>
      <c r="W97" s="557"/>
      <c r="X97" s="557"/>
      <c r="Y97" s="558"/>
      <c r="AA97" s="678" t="str">
        <f>'Từ khóa'!S16:S16</f>
        <v>Chi phát triển bản thân khác</v>
      </c>
      <c r="AB97" s="679"/>
      <c r="AC97" s="679"/>
      <c r="AD97" s="679"/>
      <c r="AE97" s="146">
        <f t="shared" ca="1" si="6"/>
        <v>0</v>
      </c>
    </row>
    <row r="98" spans="5:31" x14ac:dyDescent="0.45">
      <c r="E98" s="604"/>
      <c r="F98" s="605"/>
      <c r="G98" s="557"/>
      <c r="H98" s="557"/>
      <c r="I98" s="557"/>
      <c r="J98" s="557"/>
      <c r="K98" s="150"/>
      <c r="L98" s="606"/>
      <c r="M98" s="606"/>
      <c r="N98" s="606"/>
      <c r="O98" s="606"/>
      <c r="P98" s="606"/>
      <c r="Q98" s="606"/>
      <c r="R98" s="606"/>
      <c r="S98" s="557"/>
      <c r="T98" s="557"/>
      <c r="U98" s="557"/>
      <c r="V98" s="557"/>
      <c r="W98" s="557"/>
      <c r="X98" s="557"/>
      <c r="Y98" s="558"/>
      <c r="AA98" s="678">
        <f>'Từ khóa'!S18:S18</f>
        <v>0</v>
      </c>
      <c r="AB98" s="679"/>
      <c r="AC98" s="679"/>
      <c r="AD98" s="679"/>
      <c r="AE98" s="146">
        <f t="shared" ca="1" si="6"/>
        <v>0</v>
      </c>
    </row>
    <row r="99" spans="5:31" x14ac:dyDescent="0.45">
      <c r="E99" s="604"/>
      <c r="F99" s="605"/>
      <c r="G99" s="557"/>
      <c r="H99" s="557"/>
      <c r="I99" s="557"/>
      <c r="J99" s="557"/>
      <c r="K99" s="150"/>
      <c r="L99" s="606"/>
      <c r="M99" s="606"/>
      <c r="N99" s="606"/>
      <c r="O99" s="606"/>
      <c r="P99" s="606"/>
      <c r="Q99" s="606"/>
      <c r="R99" s="606"/>
      <c r="S99" s="557"/>
      <c r="T99" s="557"/>
      <c r="U99" s="557"/>
      <c r="V99" s="557"/>
      <c r="W99" s="557"/>
      <c r="X99" s="557"/>
      <c r="Y99" s="558"/>
      <c r="AA99" s="678">
        <f>'Từ khóa'!S19:S19</f>
        <v>0</v>
      </c>
      <c r="AB99" s="679"/>
      <c r="AC99" s="679"/>
      <c r="AD99" s="679"/>
      <c r="AE99" s="146">
        <f t="shared" ca="1" si="6"/>
        <v>0</v>
      </c>
    </row>
    <row r="100" spans="5:31" x14ac:dyDescent="0.45">
      <c r="E100" s="604"/>
      <c r="F100" s="605"/>
      <c r="G100" s="557"/>
      <c r="H100" s="557"/>
      <c r="I100" s="557"/>
      <c r="J100" s="557"/>
      <c r="K100" s="150"/>
      <c r="L100" s="606"/>
      <c r="M100" s="606"/>
      <c r="N100" s="606"/>
      <c r="O100" s="606"/>
      <c r="P100" s="606"/>
      <c r="Q100" s="606"/>
      <c r="R100" s="606"/>
      <c r="S100" s="557"/>
      <c r="T100" s="557"/>
      <c r="U100" s="557"/>
      <c r="V100" s="557"/>
      <c r="W100" s="557"/>
      <c r="X100" s="557"/>
      <c r="Y100" s="558"/>
      <c r="AA100" s="678">
        <f>'Từ khóa'!S20:S20</f>
        <v>0</v>
      </c>
      <c r="AB100" s="679"/>
      <c r="AC100" s="679"/>
      <c r="AD100" s="679"/>
      <c r="AE100" s="146">
        <f t="shared" ca="1" si="6"/>
        <v>0</v>
      </c>
    </row>
    <row r="101" spans="5:31" ht="14.65" thickBot="1" x14ac:dyDescent="0.5">
      <c r="E101" s="604"/>
      <c r="F101" s="605"/>
      <c r="G101" s="557"/>
      <c r="H101" s="557"/>
      <c r="I101" s="557"/>
      <c r="J101" s="557"/>
      <c r="K101" s="150"/>
      <c r="L101" s="606"/>
      <c r="M101" s="606"/>
      <c r="N101" s="606"/>
      <c r="O101" s="606"/>
      <c r="P101" s="606"/>
      <c r="Q101" s="606"/>
      <c r="R101" s="606"/>
      <c r="S101" s="557"/>
      <c r="T101" s="557"/>
      <c r="U101" s="557"/>
      <c r="V101" s="557"/>
      <c r="W101" s="557"/>
      <c r="X101" s="557"/>
      <c r="Y101" s="558"/>
      <c r="AA101" s="676">
        <f>'Từ khóa'!S21:S21</f>
        <v>0</v>
      </c>
      <c r="AB101" s="677"/>
      <c r="AC101" s="677"/>
      <c r="AD101" s="677"/>
      <c r="AE101" s="147">
        <f t="shared" ca="1" si="6"/>
        <v>0</v>
      </c>
    </row>
    <row r="102" spans="5:31" ht="14.65" thickBot="1" x14ac:dyDescent="0.5">
      <c r="E102" s="604"/>
      <c r="F102" s="605"/>
      <c r="G102" s="557"/>
      <c r="H102" s="557"/>
      <c r="I102" s="557"/>
      <c r="J102" s="557"/>
      <c r="K102" s="150"/>
      <c r="L102" s="606"/>
      <c r="M102" s="606"/>
      <c r="N102" s="606"/>
      <c r="O102" s="606"/>
      <c r="P102" s="606"/>
      <c r="Q102" s="606"/>
      <c r="R102" s="606"/>
      <c r="S102" s="557"/>
      <c r="T102" s="557"/>
      <c r="U102" s="557"/>
      <c r="V102" s="557"/>
      <c r="W102" s="557"/>
      <c r="X102" s="557"/>
      <c r="Y102" s="558"/>
      <c r="AA102" s="598" t="s">
        <v>351</v>
      </c>
      <c r="AB102" s="599"/>
      <c r="AC102" s="599"/>
      <c r="AD102" s="599"/>
      <c r="AE102" s="262">
        <f ca="1">SUM(AE92:AE101)</f>
        <v>1.5</v>
      </c>
    </row>
    <row r="103" spans="5:31" x14ac:dyDescent="0.45">
      <c r="E103" s="604"/>
      <c r="F103" s="605"/>
      <c r="G103" s="557"/>
      <c r="H103" s="557"/>
      <c r="I103" s="557"/>
      <c r="J103" s="557"/>
      <c r="K103" s="150"/>
      <c r="L103" s="606"/>
      <c r="M103" s="606"/>
      <c r="N103" s="606"/>
      <c r="O103" s="606"/>
      <c r="P103" s="606"/>
      <c r="Q103" s="606"/>
      <c r="R103" s="606"/>
      <c r="S103" s="557"/>
      <c r="T103" s="557"/>
      <c r="U103" s="557"/>
      <c r="V103" s="557"/>
      <c r="W103" s="557"/>
      <c r="X103" s="557"/>
      <c r="Y103" s="558"/>
      <c r="AA103" s="600"/>
      <c r="AB103" s="600"/>
      <c r="AC103" s="600"/>
      <c r="AD103" s="600"/>
    </row>
    <row r="104" spans="5:31" x14ac:dyDescent="0.45">
      <c r="E104" s="604"/>
      <c r="F104" s="605"/>
      <c r="G104" s="557"/>
      <c r="H104" s="557"/>
      <c r="I104" s="557"/>
      <c r="J104" s="557"/>
      <c r="K104" s="150"/>
      <c r="L104" s="606"/>
      <c r="M104" s="606"/>
      <c r="N104" s="606"/>
      <c r="O104" s="606"/>
      <c r="P104" s="606"/>
      <c r="Q104" s="606"/>
      <c r="R104" s="606"/>
      <c r="S104" s="557"/>
      <c r="T104" s="557"/>
      <c r="U104" s="557"/>
      <c r="V104" s="557"/>
      <c r="W104" s="557"/>
      <c r="X104" s="557"/>
      <c r="Y104" s="558"/>
      <c r="AA104" s="600"/>
      <c r="AB104" s="600"/>
      <c r="AC104" s="600"/>
      <c r="AD104" s="600"/>
    </row>
    <row r="105" spans="5:31" ht="14.65" thickBot="1" x14ac:dyDescent="0.5">
      <c r="E105" s="607"/>
      <c r="F105" s="608"/>
      <c r="G105" s="546"/>
      <c r="H105" s="546"/>
      <c r="I105" s="546"/>
      <c r="J105" s="546"/>
      <c r="K105" s="151"/>
      <c r="L105" s="609"/>
      <c r="M105" s="609"/>
      <c r="N105" s="609"/>
      <c r="O105" s="609"/>
      <c r="P105" s="609"/>
      <c r="Q105" s="609"/>
      <c r="R105" s="609"/>
      <c r="S105" s="546"/>
      <c r="T105" s="546"/>
      <c r="U105" s="546"/>
      <c r="V105" s="546"/>
      <c r="W105" s="546"/>
      <c r="X105" s="546"/>
      <c r="Y105" s="547"/>
      <c r="AA105" s="600"/>
      <c r="AB105" s="600"/>
      <c r="AC105" s="600"/>
      <c r="AD105" s="600"/>
    </row>
    <row r="106" spans="5:31" ht="14.65" thickBot="1" x14ac:dyDescent="0.5">
      <c r="E106" s="601" t="s">
        <v>351</v>
      </c>
      <c r="F106" s="602"/>
      <c r="G106" s="602"/>
      <c r="H106" s="602"/>
      <c r="I106" s="602"/>
      <c r="J106" s="602"/>
      <c r="K106" s="603">
        <f>SUM(K91:K105)</f>
        <v>1.5</v>
      </c>
      <c r="L106" s="603"/>
      <c r="M106" s="603"/>
      <c r="N106" s="603"/>
      <c r="O106" s="603"/>
      <c r="P106" s="603"/>
      <c r="Q106" s="603"/>
      <c r="R106" s="603"/>
      <c r="S106" s="141"/>
      <c r="T106" s="141"/>
      <c r="U106" s="141"/>
      <c r="V106" s="141"/>
      <c r="W106" s="141"/>
      <c r="X106" s="141"/>
      <c r="Y106" s="142"/>
    </row>
  </sheetData>
  <sheetProtection algorithmName="SHA-512" hashValue="0nYjFzwgFYxgfbw2ZJjZrNwKjM9XM4PjHgT48QQ4jV1C6EZb49M1zv5NJFRfXHO5EeJHVwYexUyXMnJFBhhZZg==" saltValue="ngsau0PWgaRtr/jR1sbWCw==" spinCount="100000" sheet="1" formatCells="0" formatColumns="0" formatRows="0" insertColumns="0" insertRows="0" insertHyperlinks="0" deleteColumns="0" deleteRows="0" sort="0" autoFilter="0" pivotTables="0"/>
  <mergeCells count="423">
    <mergeCell ref="E106:J106"/>
    <mergeCell ref="K106:R106"/>
    <mergeCell ref="E105:F105"/>
    <mergeCell ref="G105:H105"/>
    <mergeCell ref="I105:J105"/>
    <mergeCell ref="L105:R105"/>
    <mergeCell ref="S105:Y105"/>
    <mergeCell ref="AA105:AD105"/>
    <mergeCell ref="E104:F104"/>
    <mergeCell ref="G104:H104"/>
    <mergeCell ref="I104:J104"/>
    <mergeCell ref="L104:R104"/>
    <mergeCell ref="S104:Y104"/>
    <mergeCell ref="AA104:AD104"/>
    <mergeCell ref="E103:F103"/>
    <mergeCell ref="G103:H103"/>
    <mergeCell ref="I103:J103"/>
    <mergeCell ref="L103:R103"/>
    <mergeCell ref="S103:Y103"/>
    <mergeCell ref="AA103:AD103"/>
    <mergeCell ref="E102:F102"/>
    <mergeCell ref="G102:H102"/>
    <mergeCell ref="I102:J102"/>
    <mergeCell ref="L102:R102"/>
    <mergeCell ref="S102:Y102"/>
    <mergeCell ref="AA102:AD102"/>
    <mergeCell ref="E101:F101"/>
    <mergeCell ref="G101:H101"/>
    <mergeCell ref="I101:J101"/>
    <mergeCell ref="L101:R101"/>
    <mergeCell ref="S101:Y101"/>
    <mergeCell ref="AA101:AD101"/>
    <mergeCell ref="E100:F100"/>
    <mergeCell ref="G100:H100"/>
    <mergeCell ref="I100:J100"/>
    <mergeCell ref="L100:R100"/>
    <mergeCell ref="S100:Y100"/>
    <mergeCell ref="AA100:AD100"/>
    <mergeCell ref="E99:F99"/>
    <mergeCell ref="G99:H99"/>
    <mergeCell ref="I99:J99"/>
    <mergeCell ref="L99:R99"/>
    <mergeCell ref="S99:Y99"/>
    <mergeCell ref="AA99:AD99"/>
    <mergeCell ref="E98:F98"/>
    <mergeCell ref="G98:H98"/>
    <mergeCell ref="I98:J98"/>
    <mergeCell ref="L98:R98"/>
    <mergeCell ref="S98:Y98"/>
    <mergeCell ref="AA98:AD98"/>
    <mergeCell ref="E97:F97"/>
    <mergeCell ref="G97:H97"/>
    <mergeCell ref="I97:J97"/>
    <mergeCell ref="L97:R97"/>
    <mergeCell ref="S97:Y97"/>
    <mergeCell ref="AA97:AD97"/>
    <mergeCell ref="E96:F96"/>
    <mergeCell ref="G96:H96"/>
    <mergeCell ref="I96:J96"/>
    <mergeCell ref="L96:R96"/>
    <mergeCell ref="S96:Y96"/>
    <mergeCell ref="AA96:AD96"/>
    <mergeCell ref="E95:F95"/>
    <mergeCell ref="G95:H95"/>
    <mergeCell ref="I95:J95"/>
    <mergeCell ref="L95:R95"/>
    <mergeCell ref="S95:Y95"/>
    <mergeCell ref="AA95:AD95"/>
    <mergeCell ref="E94:F94"/>
    <mergeCell ref="G94:H94"/>
    <mergeCell ref="I94:J94"/>
    <mergeCell ref="L94:R94"/>
    <mergeCell ref="S94:Y94"/>
    <mergeCell ref="AA94:AD94"/>
    <mergeCell ref="E93:F93"/>
    <mergeCell ref="G93:H93"/>
    <mergeCell ref="I93:J93"/>
    <mergeCell ref="L93:R93"/>
    <mergeCell ref="S93:Y93"/>
    <mergeCell ref="AA93:AD93"/>
    <mergeCell ref="E92:F92"/>
    <mergeCell ref="G92:H92"/>
    <mergeCell ref="I92:J92"/>
    <mergeCell ref="L92:R92"/>
    <mergeCell ref="S92:Y92"/>
    <mergeCell ref="AA92:AD92"/>
    <mergeCell ref="AE90:AE91"/>
    <mergeCell ref="E91:F91"/>
    <mergeCell ref="G91:H91"/>
    <mergeCell ref="I91:J91"/>
    <mergeCell ref="L91:R91"/>
    <mergeCell ref="S91:Y91"/>
    <mergeCell ref="E83:M83"/>
    <mergeCell ref="E86:M87"/>
    <mergeCell ref="E89:Y89"/>
    <mergeCell ref="AA89:AE89"/>
    <mergeCell ref="E90:F90"/>
    <mergeCell ref="G90:H90"/>
    <mergeCell ref="I90:J90"/>
    <mergeCell ref="L90:R90"/>
    <mergeCell ref="S90:Y90"/>
    <mergeCell ref="AA90:AD91"/>
    <mergeCell ref="E81:F81"/>
    <mergeCell ref="G81:J81"/>
    <mergeCell ref="K81:M81"/>
    <mergeCell ref="E82:F82"/>
    <mergeCell ref="G82:J82"/>
    <mergeCell ref="K82:M82"/>
    <mergeCell ref="E79:F79"/>
    <mergeCell ref="G79:J79"/>
    <mergeCell ref="K79:M79"/>
    <mergeCell ref="E80:F80"/>
    <mergeCell ref="G80:J80"/>
    <mergeCell ref="K80:M80"/>
    <mergeCell ref="E77:F77"/>
    <mergeCell ref="G77:J77"/>
    <mergeCell ref="K77:M77"/>
    <mergeCell ref="E78:F78"/>
    <mergeCell ref="G78:J78"/>
    <mergeCell ref="K78:M78"/>
    <mergeCell ref="E75:F75"/>
    <mergeCell ref="G75:J75"/>
    <mergeCell ref="K75:M75"/>
    <mergeCell ref="E76:F76"/>
    <mergeCell ref="G76:J76"/>
    <mergeCell ref="K76:M76"/>
    <mergeCell ref="E73:F73"/>
    <mergeCell ref="G73:J73"/>
    <mergeCell ref="K73:M73"/>
    <mergeCell ref="E74:F74"/>
    <mergeCell ref="G74:J74"/>
    <mergeCell ref="K74:M74"/>
    <mergeCell ref="E71:F71"/>
    <mergeCell ref="G71:J71"/>
    <mergeCell ref="K71:M71"/>
    <mergeCell ref="E72:F72"/>
    <mergeCell ref="G72:J72"/>
    <mergeCell ref="K72:M72"/>
    <mergeCell ref="E69:F69"/>
    <mergeCell ref="G69:J69"/>
    <mergeCell ref="K69:M69"/>
    <mergeCell ref="E70:F70"/>
    <mergeCell ref="G70:J70"/>
    <mergeCell ref="K70:M70"/>
    <mergeCell ref="E67:F67"/>
    <mergeCell ref="G67:J67"/>
    <mergeCell ref="K67:M67"/>
    <mergeCell ref="E68:F68"/>
    <mergeCell ref="G68:J68"/>
    <mergeCell ref="K68:M68"/>
    <mergeCell ref="E65:F65"/>
    <mergeCell ref="G65:J65"/>
    <mergeCell ref="K65:M65"/>
    <mergeCell ref="E66:F66"/>
    <mergeCell ref="G66:J66"/>
    <mergeCell ref="K66:M66"/>
    <mergeCell ref="E63:F63"/>
    <mergeCell ref="G63:J63"/>
    <mergeCell ref="K63:M63"/>
    <mergeCell ref="E64:F64"/>
    <mergeCell ref="G64:J64"/>
    <mergeCell ref="K64:M64"/>
    <mergeCell ref="E61:F61"/>
    <mergeCell ref="G61:J61"/>
    <mergeCell ref="K61:M61"/>
    <mergeCell ref="E62:F62"/>
    <mergeCell ref="G62:J62"/>
    <mergeCell ref="K62:M62"/>
    <mergeCell ref="E59:F59"/>
    <mergeCell ref="G59:J59"/>
    <mergeCell ref="K59:M59"/>
    <mergeCell ref="E60:F60"/>
    <mergeCell ref="G60:J60"/>
    <mergeCell ref="K60:M60"/>
    <mergeCell ref="X57:Y57"/>
    <mergeCell ref="Z57:AE57"/>
    <mergeCell ref="AF57:AK57"/>
    <mergeCell ref="E58:F58"/>
    <mergeCell ref="G58:J58"/>
    <mergeCell ref="K58:M58"/>
    <mergeCell ref="E57:F57"/>
    <mergeCell ref="G57:J57"/>
    <mergeCell ref="K57:M57"/>
    <mergeCell ref="P57:S57"/>
    <mergeCell ref="T57:U57"/>
    <mergeCell ref="V57:W57"/>
    <mergeCell ref="Z55:AE55"/>
    <mergeCell ref="AF55:AK55"/>
    <mergeCell ref="E56:F56"/>
    <mergeCell ref="G56:J56"/>
    <mergeCell ref="K56:M56"/>
    <mergeCell ref="P56:S56"/>
    <mergeCell ref="T56:U56"/>
    <mergeCell ref="X56:Y56"/>
    <mergeCell ref="Z56:AE56"/>
    <mergeCell ref="AF56:AK56"/>
    <mergeCell ref="E55:F55"/>
    <mergeCell ref="G55:J55"/>
    <mergeCell ref="K55:M55"/>
    <mergeCell ref="P55:S55"/>
    <mergeCell ref="T55:U55"/>
    <mergeCell ref="X55:Y55"/>
    <mergeCell ref="Z53:AE53"/>
    <mergeCell ref="AF53:AK53"/>
    <mergeCell ref="E54:F54"/>
    <mergeCell ref="G54:J54"/>
    <mergeCell ref="K54:M54"/>
    <mergeCell ref="P54:S54"/>
    <mergeCell ref="T54:U54"/>
    <mergeCell ref="X54:Y54"/>
    <mergeCell ref="Z54:AE54"/>
    <mergeCell ref="AF54:AK54"/>
    <mergeCell ref="E53:F53"/>
    <mergeCell ref="G53:J53"/>
    <mergeCell ref="K53:M53"/>
    <mergeCell ref="P53:S53"/>
    <mergeCell ref="T53:U53"/>
    <mergeCell ref="X53:Y53"/>
    <mergeCell ref="Z51:AE51"/>
    <mergeCell ref="AF51:AK51"/>
    <mergeCell ref="E52:F52"/>
    <mergeCell ref="G52:J52"/>
    <mergeCell ref="K52:M52"/>
    <mergeCell ref="P52:S52"/>
    <mergeCell ref="T52:U52"/>
    <mergeCell ref="X52:Y52"/>
    <mergeCell ref="Z52:AE52"/>
    <mergeCell ref="AF52:AK52"/>
    <mergeCell ref="E51:F51"/>
    <mergeCell ref="G51:J51"/>
    <mergeCell ref="K51:M51"/>
    <mergeCell ref="P51:S51"/>
    <mergeCell ref="T51:U51"/>
    <mergeCell ref="X51:Y51"/>
    <mergeCell ref="Z49:AE49"/>
    <mergeCell ref="AF49:AK49"/>
    <mergeCell ref="E50:F50"/>
    <mergeCell ref="G50:J50"/>
    <mergeCell ref="K50:M50"/>
    <mergeCell ref="P50:S50"/>
    <mergeCell ref="T50:U50"/>
    <mergeCell ref="X50:Y50"/>
    <mergeCell ref="Z50:AE50"/>
    <mergeCell ref="AF50:AK50"/>
    <mergeCell ref="E49:F49"/>
    <mergeCell ref="G49:J49"/>
    <mergeCell ref="K49:M49"/>
    <mergeCell ref="P49:S49"/>
    <mergeCell ref="T49:U49"/>
    <mergeCell ref="X49:Y49"/>
    <mergeCell ref="Z47:AE47"/>
    <mergeCell ref="AF47:AK47"/>
    <mergeCell ref="E48:F48"/>
    <mergeCell ref="G48:J48"/>
    <mergeCell ref="K48:M48"/>
    <mergeCell ref="P48:S48"/>
    <mergeCell ref="T48:U48"/>
    <mergeCell ref="X48:Y48"/>
    <mergeCell ref="Z48:AE48"/>
    <mergeCell ref="AF48:AK48"/>
    <mergeCell ref="E47:F47"/>
    <mergeCell ref="G47:J47"/>
    <mergeCell ref="K47:M47"/>
    <mergeCell ref="P47:S47"/>
    <mergeCell ref="T47:U47"/>
    <mergeCell ref="X47:Y47"/>
    <mergeCell ref="Z45:AE45"/>
    <mergeCell ref="AF45:AK45"/>
    <mergeCell ref="E46:F46"/>
    <mergeCell ref="G46:J46"/>
    <mergeCell ref="K46:M46"/>
    <mergeCell ref="P46:S46"/>
    <mergeCell ref="T46:U46"/>
    <mergeCell ref="X46:Y46"/>
    <mergeCell ref="Z46:AE46"/>
    <mergeCell ref="AF46:AK46"/>
    <mergeCell ref="E45:F45"/>
    <mergeCell ref="G45:J45"/>
    <mergeCell ref="K45:M45"/>
    <mergeCell ref="P45:S45"/>
    <mergeCell ref="T45:U45"/>
    <mergeCell ref="X45:Y45"/>
    <mergeCell ref="E44:F44"/>
    <mergeCell ref="G44:J44"/>
    <mergeCell ref="K44:M44"/>
    <mergeCell ref="P44:S44"/>
    <mergeCell ref="T44:U44"/>
    <mergeCell ref="X44:Y44"/>
    <mergeCell ref="Z44:AE44"/>
    <mergeCell ref="AF44:AK44"/>
    <mergeCell ref="E43:F43"/>
    <mergeCell ref="G43:J43"/>
    <mergeCell ref="K43:M43"/>
    <mergeCell ref="P43:S43"/>
    <mergeCell ref="T43:U43"/>
    <mergeCell ref="X43:Y43"/>
    <mergeCell ref="E42:F42"/>
    <mergeCell ref="G42:J42"/>
    <mergeCell ref="K42:M42"/>
    <mergeCell ref="P42:S42"/>
    <mergeCell ref="T42:U42"/>
    <mergeCell ref="X42:Y42"/>
    <mergeCell ref="Z42:AE42"/>
    <mergeCell ref="AF42:AK42"/>
    <mergeCell ref="Z43:AE43"/>
    <mergeCell ref="AF43:AK43"/>
    <mergeCell ref="AF37:AK37"/>
    <mergeCell ref="E40:N40"/>
    <mergeCell ref="P40:AK40"/>
    <mergeCell ref="E41:F41"/>
    <mergeCell ref="G41:J41"/>
    <mergeCell ref="K41:M41"/>
    <mergeCell ref="P41:S41"/>
    <mergeCell ref="T41:U41"/>
    <mergeCell ref="V41:W41"/>
    <mergeCell ref="X41:Y41"/>
    <mergeCell ref="E37:M37"/>
    <mergeCell ref="P37:S37"/>
    <mergeCell ref="T37:U37"/>
    <mergeCell ref="V37:W37"/>
    <mergeCell ref="X37:Y37"/>
    <mergeCell ref="Z37:AE37"/>
    <mergeCell ref="Z41:AE41"/>
    <mergeCell ref="AF41:AK41"/>
    <mergeCell ref="Z35:AE35"/>
    <mergeCell ref="AF35:AK35"/>
    <mergeCell ref="E36:F36"/>
    <mergeCell ref="G36:J36"/>
    <mergeCell ref="K36:M36"/>
    <mergeCell ref="P36:S36"/>
    <mergeCell ref="T36:U36"/>
    <mergeCell ref="X36:Y36"/>
    <mergeCell ref="Z36:AE36"/>
    <mergeCell ref="AF36:AK36"/>
    <mergeCell ref="E35:F35"/>
    <mergeCell ref="G35:J35"/>
    <mergeCell ref="K35:M35"/>
    <mergeCell ref="P35:S35"/>
    <mergeCell ref="T35:U35"/>
    <mergeCell ref="X35:Y35"/>
    <mergeCell ref="Z33:AE33"/>
    <mergeCell ref="AF33:AK33"/>
    <mergeCell ref="E34:F34"/>
    <mergeCell ref="G34:J34"/>
    <mergeCell ref="K34:M34"/>
    <mergeCell ref="P34:S34"/>
    <mergeCell ref="T34:U34"/>
    <mergeCell ref="X34:Y34"/>
    <mergeCell ref="Z34:AE34"/>
    <mergeCell ref="AF34:AK34"/>
    <mergeCell ref="E33:F33"/>
    <mergeCell ref="G33:J33"/>
    <mergeCell ref="K33:M33"/>
    <mergeCell ref="P33:S33"/>
    <mergeCell ref="T33:U33"/>
    <mergeCell ref="X33:Y33"/>
    <mergeCell ref="Z31:AE31"/>
    <mergeCell ref="AF31:AK31"/>
    <mergeCell ref="E32:F32"/>
    <mergeCell ref="G32:J32"/>
    <mergeCell ref="K32:M32"/>
    <mergeCell ref="P32:S32"/>
    <mergeCell ref="T32:U32"/>
    <mergeCell ref="X32:Y32"/>
    <mergeCell ref="Z32:AE32"/>
    <mergeCell ref="AF32:AK32"/>
    <mergeCell ref="E31:F31"/>
    <mergeCell ref="G31:J31"/>
    <mergeCell ref="K31:M31"/>
    <mergeCell ref="P31:S31"/>
    <mergeCell ref="T31:U31"/>
    <mergeCell ref="X31:Y31"/>
    <mergeCell ref="Z29:AE29"/>
    <mergeCell ref="AF29:AK29"/>
    <mergeCell ref="E30:F30"/>
    <mergeCell ref="G30:J30"/>
    <mergeCell ref="K30:M30"/>
    <mergeCell ref="P30:S30"/>
    <mergeCell ref="T30:U30"/>
    <mergeCell ref="X30:Y30"/>
    <mergeCell ref="Z30:AE30"/>
    <mergeCell ref="AF30:AK30"/>
    <mergeCell ref="E29:F29"/>
    <mergeCell ref="G29:J29"/>
    <mergeCell ref="K29:M29"/>
    <mergeCell ref="P29:S29"/>
    <mergeCell ref="T29:U29"/>
    <mergeCell ref="X29:Y29"/>
    <mergeCell ref="E27:F27"/>
    <mergeCell ref="G27:J27"/>
    <mergeCell ref="K27:M27"/>
    <mergeCell ref="P27:S27"/>
    <mergeCell ref="T27:U27"/>
    <mergeCell ref="X27:Y27"/>
    <mergeCell ref="Z27:AE27"/>
    <mergeCell ref="AF27:AK27"/>
    <mergeCell ref="E28:F28"/>
    <mergeCell ref="G28:J28"/>
    <mergeCell ref="K28:M28"/>
    <mergeCell ref="P28:S28"/>
    <mergeCell ref="T28:U28"/>
    <mergeCell ref="X28:Y28"/>
    <mergeCell ref="Z28:AE28"/>
    <mergeCell ref="AF28:AK28"/>
    <mergeCell ref="P25:AK25"/>
    <mergeCell ref="E26:F26"/>
    <mergeCell ref="G26:J26"/>
    <mergeCell ref="K26:M26"/>
    <mergeCell ref="P26:S26"/>
    <mergeCell ref="T26:U26"/>
    <mergeCell ref="V26:W26"/>
    <mergeCell ref="X26:Y26"/>
    <mergeCell ref="Z26:AE26"/>
    <mergeCell ref="AF26:AK26"/>
    <mergeCell ref="E1:K3"/>
    <mergeCell ref="E6:M7"/>
    <mergeCell ref="E9:H12"/>
    <mergeCell ref="I9:I12"/>
    <mergeCell ref="E14:H17"/>
    <mergeCell ref="I14:I17"/>
    <mergeCell ref="E19:H22"/>
    <mergeCell ref="I19:I22"/>
    <mergeCell ref="E25:N25"/>
  </mergeCells>
  <conditionalFormatting sqref="X27:Y36">
    <cfRule type="cellIs" dxfId="4" priority="2" operator="lessThan">
      <formula>0</formula>
    </cfRule>
  </conditionalFormatting>
  <conditionalFormatting sqref="X42:Y56">
    <cfRule type="cellIs" dxfId="3" priority="3" operator="lessThan">
      <formula>0</formula>
    </cfRule>
  </conditionalFormatting>
  <conditionalFormatting sqref="AE92:AE101">
    <cfRule type="dataBar" priority="1">
      <dataBar>
        <cfvo type="min"/>
        <cfvo type="max"/>
        <color theme="6" tint="0.39997558519241921"/>
      </dataBar>
      <extLst>
        <ext xmlns:x14="http://schemas.microsoft.com/office/spreadsheetml/2009/9/main" uri="{B025F937-C7B1-47D3-B67F-A62EFF666E3E}">
          <x14:id>{63D07F82-5B46-4940-9F97-52FD938B5D38}</x14:id>
        </ext>
      </extLst>
    </cfRule>
  </conditionalFormatting>
  <dataValidations count="1">
    <dataValidation allowBlank="1" showInputMessage="1" showErrorMessage="1" prompt="Nhập dữ liệu" sqref="E60:F82 E95:F105 K60:M82 K27:N36 I91:Y105 N42:N82" xr:uid="{00000000-0002-0000-1000-000000000000}"/>
  </dataValidations>
  <hyperlinks>
    <hyperlink ref="F4" location="'T11'!E7" display="Phần 1" xr:uid="{00000000-0004-0000-1000-000000000000}"/>
    <hyperlink ref="G4" location="'T11'!E87" display="Phần 2" xr:uid="{00000000-0004-0000-1000-000001000000}"/>
    <hyperlink ref="H4" location="'T11'!E109" display="Phần 3" xr:uid="{00000000-0004-0000-1000-000002000000}"/>
  </hyperlinks>
  <pageMargins left="0.7" right="0.7" top="0.75" bottom="0.75" header="0.3" footer="0.3"/>
  <pageSetup scale="31" orientation="portrait" r:id="rId1"/>
  <drawing r:id="rId2"/>
  <extLst>
    <ext xmlns:x14="http://schemas.microsoft.com/office/spreadsheetml/2009/9/main" uri="{78C0D931-6437-407d-A8EE-F0AAD7539E65}">
      <x14:conditionalFormattings>
        <x14:conditionalFormatting xmlns:xm="http://schemas.microsoft.com/office/excel/2006/main">
          <x14:cfRule type="dataBar" id="{63D07F82-5B46-4940-9F97-52FD938B5D38}">
            <x14:dataBar minLength="0" maxLength="100" gradient="0">
              <x14:cfvo type="autoMin"/>
              <x14:cfvo type="autoMax"/>
              <x14:negativeFillColor rgb="FFFF0000"/>
              <x14:axisColor rgb="FF000000"/>
            </x14:dataBar>
          </x14:cfRule>
          <xm:sqref>AE92:AE101</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prompt="Chọn dữ liệu" xr:uid="{00000000-0002-0000-1000-000001000000}">
          <x14:formula1>
            <xm:f>'Từ khóa'!$M$12:$M$19</xm:f>
          </x14:formula1>
          <xm:sqref>G27:J36</xm:sqref>
        </x14:dataValidation>
        <x14:dataValidation type="list" allowBlank="1" showInputMessage="1" showErrorMessage="1" prompt="Chọn dữ liệu" xr:uid="{00000000-0002-0000-1000-000002000000}">
          <x14:formula1>
            <xm:f>'Từ khóa'!$F$12:$F$26</xm:f>
          </x14:formula1>
          <xm:sqref>G47:J82</xm:sqref>
        </x14:dataValidation>
        <x14:dataValidation type="list" allowBlank="1" showInputMessage="1" showErrorMessage="1" prompt="Chọn dữ liệu" xr:uid="{00000000-0002-0000-1000-000003000000}">
          <x14:formula1>
            <xm:f>'Từ khóa'!$S$12:$S$21</xm:f>
          </x14:formula1>
          <xm:sqref>G91:H105</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
  <sheetViews>
    <sheetView workbookViewId="0">
      <selection activeCell="G28" sqref="G28"/>
    </sheetView>
  </sheetViews>
  <sheetFormatPr defaultRowHeight="14.25" x14ac:dyDescent="0.4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K180"/>
  <sheetViews>
    <sheetView showGridLines="0" zoomScale="80" zoomScaleNormal="80" workbookViewId="0">
      <pane xSplit="4" ySplit="4" topLeftCell="E5" activePane="bottomRight" state="frozen"/>
      <selection pane="topRight" activeCell="E1" sqref="E1"/>
      <selection pane="bottomLeft" activeCell="A5" sqref="A5"/>
      <selection pane="bottomRight" activeCell="E6" sqref="E6:M7"/>
    </sheetView>
  </sheetViews>
  <sheetFormatPr defaultColWidth="9.19921875" defaultRowHeight="14.25" x14ac:dyDescent="0.45"/>
  <cols>
    <col min="1" max="3" width="9.19921875" style="1"/>
    <col min="4" max="5" width="9.19921875" style="4"/>
    <col min="6" max="9" width="13.19921875" style="4" customWidth="1"/>
    <col min="10" max="10" width="11.19921875" style="4" customWidth="1"/>
    <col min="11" max="14" width="9.19921875" style="4"/>
    <col min="15" max="15" width="13.19921875" style="4" customWidth="1"/>
    <col min="16" max="16384" width="9.19921875" style="4"/>
  </cols>
  <sheetData>
    <row r="1" spans="1:27" s="2" customFormat="1" ht="15" customHeight="1" x14ac:dyDescent="0.45">
      <c r="A1" s="1"/>
      <c r="B1" s="1"/>
      <c r="C1" s="1"/>
      <c r="E1" s="353" t="s">
        <v>338</v>
      </c>
      <c r="F1" s="353"/>
      <c r="G1" s="353"/>
      <c r="H1" s="353"/>
      <c r="I1" s="353"/>
      <c r="J1" s="353"/>
      <c r="K1" s="353"/>
    </row>
    <row r="2" spans="1:27" s="2" customFormat="1" ht="15" customHeight="1" x14ac:dyDescent="0.45">
      <c r="A2" s="1"/>
      <c r="B2" s="1"/>
      <c r="C2" s="1"/>
      <c r="E2" s="353"/>
      <c r="F2" s="353"/>
      <c r="G2" s="353"/>
      <c r="H2" s="353"/>
      <c r="I2" s="353"/>
      <c r="J2" s="353"/>
      <c r="K2" s="353"/>
    </row>
    <row r="3" spans="1:27" s="2" customFormat="1" ht="14.65" thickBot="1" x14ac:dyDescent="0.5">
      <c r="A3" s="1"/>
      <c r="B3" s="1"/>
      <c r="C3" s="1"/>
      <c r="E3" s="353"/>
      <c r="F3" s="353"/>
      <c r="G3" s="353"/>
      <c r="H3" s="353"/>
      <c r="I3" s="353"/>
      <c r="J3" s="353"/>
      <c r="K3" s="353"/>
      <c r="L3" s="3" t="s">
        <v>45</v>
      </c>
    </row>
    <row r="4" spans="1:27" ht="14.65" thickBot="1" x14ac:dyDescent="0.5">
      <c r="F4" s="154" t="s">
        <v>132</v>
      </c>
      <c r="G4" s="154" t="s">
        <v>133</v>
      </c>
      <c r="H4" s="154" t="s">
        <v>134</v>
      </c>
      <c r="I4" s="154" t="s">
        <v>179</v>
      </c>
      <c r="J4" s="160"/>
      <c r="K4" s="160"/>
    </row>
    <row r="5" spans="1:27" ht="15" customHeight="1" x14ac:dyDescent="0.45">
      <c r="F5" s="6"/>
      <c r="G5" s="6"/>
      <c r="H5" s="6"/>
      <c r="I5" s="6"/>
      <c r="J5" s="6"/>
      <c r="K5" s="6"/>
      <c r="L5" s="6"/>
      <c r="M5" s="6"/>
      <c r="N5" s="6"/>
      <c r="O5" s="6"/>
      <c r="P5" s="6"/>
      <c r="Q5" s="6"/>
      <c r="R5" s="6"/>
      <c r="S5" s="6"/>
      <c r="T5" s="6"/>
      <c r="U5" s="6"/>
      <c r="V5" s="6"/>
      <c r="W5" s="6"/>
      <c r="X5" s="6"/>
      <c r="Y5" s="6"/>
      <c r="Z5" s="6"/>
      <c r="AA5" s="6"/>
    </row>
    <row r="6" spans="1:27" ht="15" customHeight="1" x14ac:dyDescent="0.45">
      <c r="E6" s="532" t="s">
        <v>135</v>
      </c>
      <c r="F6" s="532"/>
      <c r="G6" s="532"/>
      <c r="H6" s="532"/>
      <c r="I6" s="532"/>
      <c r="J6" s="532"/>
      <c r="K6" s="532"/>
      <c r="L6" s="532"/>
      <c r="M6" s="532"/>
      <c r="N6" s="5"/>
      <c r="O6" s="5"/>
      <c r="P6" s="5"/>
      <c r="Q6" s="5"/>
      <c r="R6" s="5"/>
      <c r="S6" s="6"/>
      <c r="T6" s="6"/>
      <c r="U6" s="6"/>
      <c r="V6" s="6"/>
      <c r="W6" s="6"/>
      <c r="X6" s="6"/>
      <c r="Y6" s="6"/>
      <c r="Z6" s="6"/>
      <c r="AA6" s="6"/>
    </row>
    <row r="7" spans="1:27" s="8" customFormat="1" ht="15" customHeight="1" thickBot="1" x14ac:dyDescent="0.5">
      <c r="A7" s="7"/>
      <c r="B7" s="7"/>
      <c r="C7" s="7"/>
      <c r="E7" s="533"/>
      <c r="F7" s="533"/>
      <c r="G7" s="533"/>
      <c r="H7" s="533"/>
      <c r="I7" s="533"/>
      <c r="J7" s="533"/>
      <c r="K7" s="533"/>
      <c r="L7" s="533"/>
      <c r="M7" s="533"/>
      <c r="N7" s="9"/>
      <c r="O7" s="9"/>
      <c r="P7" s="9"/>
      <c r="Q7" s="9"/>
      <c r="R7" s="9"/>
      <c r="S7" s="10"/>
      <c r="T7" s="10"/>
      <c r="U7" s="10"/>
      <c r="V7" s="10"/>
      <c r="W7" s="10"/>
      <c r="X7" s="10"/>
      <c r="Y7" s="10"/>
      <c r="Z7" s="10"/>
      <c r="AA7" s="10"/>
    </row>
    <row r="8" spans="1:27" ht="15" customHeight="1" x14ac:dyDescent="0.45">
      <c r="E8" s="6"/>
      <c r="F8" s="6"/>
      <c r="G8" s="6"/>
      <c r="H8" s="6"/>
      <c r="I8" s="6"/>
      <c r="J8" s="6"/>
      <c r="K8" s="6"/>
      <c r="L8" s="6"/>
      <c r="M8" s="6"/>
      <c r="N8" s="6"/>
      <c r="O8" s="6"/>
      <c r="P8" s="6"/>
      <c r="Q8" s="6"/>
      <c r="R8" s="6"/>
      <c r="S8" s="6"/>
      <c r="T8" s="6"/>
      <c r="U8" s="6"/>
      <c r="V8" s="6"/>
      <c r="W8" s="6"/>
      <c r="X8" s="6"/>
      <c r="Y8" s="6"/>
      <c r="Z8" s="6"/>
      <c r="AA8" s="6"/>
    </row>
    <row r="9" spans="1:27" ht="15" customHeight="1" x14ac:dyDescent="0.45">
      <c r="E9" s="632" t="s">
        <v>124</v>
      </c>
      <c r="F9" s="632"/>
      <c r="G9" s="632"/>
      <c r="H9" s="632"/>
      <c r="I9" s="708">
        <f>N37</f>
        <v>35</v>
      </c>
    </row>
    <row r="10" spans="1:27" ht="15" customHeight="1" x14ac:dyDescent="0.45">
      <c r="E10" s="632"/>
      <c r="F10" s="632"/>
      <c r="G10" s="632"/>
      <c r="H10" s="632"/>
      <c r="I10" s="708"/>
    </row>
    <row r="11" spans="1:27" ht="15" customHeight="1" x14ac:dyDescent="0.45">
      <c r="E11" s="632"/>
      <c r="F11" s="632"/>
      <c r="G11" s="632"/>
      <c r="H11" s="632"/>
      <c r="I11" s="708"/>
    </row>
    <row r="12" spans="1:27" ht="15" customHeight="1" x14ac:dyDescent="0.45">
      <c r="E12" s="632"/>
      <c r="F12" s="632"/>
      <c r="G12" s="632"/>
      <c r="H12" s="632"/>
      <c r="I12" s="708"/>
    </row>
    <row r="13" spans="1:27" x14ac:dyDescent="0.45">
      <c r="E13" s="89"/>
      <c r="F13" s="89"/>
      <c r="G13" s="89"/>
      <c r="I13" s="89"/>
    </row>
    <row r="14" spans="1:27" ht="15" customHeight="1" x14ac:dyDescent="0.45">
      <c r="E14" s="633" t="s">
        <v>136</v>
      </c>
      <c r="F14" s="633"/>
      <c r="G14" s="633"/>
      <c r="H14" s="633"/>
      <c r="I14" s="708">
        <f>N83</f>
        <v>25.05</v>
      </c>
    </row>
    <row r="15" spans="1:27" ht="15" customHeight="1" x14ac:dyDescent="0.45">
      <c r="E15" s="633"/>
      <c r="F15" s="633"/>
      <c r="G15" s="633"/>
      <c r="H15" s="633"/>
      <c r="I15" s="708"/>
    </row>
    <row r="16" spans="1:27" ht="15" customHeight="1" x14ac:dyDescent="0.45">
      <c r="E16" s="633"/>
      <c r="F16" s="633"/>
      <c r="G16" s="633"/>
      <c r="H16" s="633"/>
      <c r="I16" s="708"/>
    </row>
    <row r="17" spans="5:37" ht="15" customHeight="1" x14ac:dyDescent="0.45">
      <c r="E17" s="633"/>
      <c r="F17" s="633"/>
      <c r="G17" s="633"/>
      <c r="H17" s="633"/>
      <c r="I17" s="708"/>
    </row>
    <row r="18" spans="5:37" x14ac:dyDescent="0.45">
      <c r="E18" s="89"/>
      <c r="F18" s="89"/>
      <c r="G18" s="89"/>
      <c r="I18" s="89"/>
    </row>
    <row r="19" spans="5:37" ht="15" customHeight="1" x14ac:dyDescent="0.45">
      <c r="E19" s="634" t="s">
        <v>96</v>
      </c>
      <c r="F19" s="634"/>
      <c r="G19" s="634"/>
      <c r="H19" s="634"/>
      <c r="I19" s="708">
        <f>I9-I14</f>
        <v>9.9499999999999993</v>
      </c>
    </row>
    <row r="20" spans="5:37" ht="15" customHeight="1" x14ac:dyDescent="0.45">
      <c r="E20" s="634"/>
      <c r="F20" s="634"/>
      <c r="G20" s="634"/>
      <c r="H20" s="634"/>
      <c r="I20" s="708"/>
    </row>
    <row r="21" spans="5:37" ht="15" customHeight="1" x14ac:dyDescent="0.45">
      <c r="E21" s="634"/>
      <c r="F21" s="634"/>
      <c r="G21" s="634"/>
      <c r="H21" s="634"/>
      <c r="I21" s="708"/>
    </row>
    <row r="22" spans="5:37" ht="15" customHeight="1" x14ac:dyDescent="0.45">
      <c r="E22" s="634"/>
      <c r="F22" s="634"/>
      <c r="G22" s="634"/>
      <c r="H22" s="634"/>
      <c r="I22" s="708"/>
    </row>
    <row r="24" spans="5:37" ht="14.65" thickBot="1" x14ac:dyDescent="0.5">
      <c r="E24" s="6"/>
      <c r="F24" s="6"/>
      <c r="G24" s="6"/>
      <c r="H24" s="6"/>
    </row>
    <row r="25" spans="5:37" ht="15.75" customHeight="1" thickBot="1" x14ac:dyDescent="0.6">
      <c r="E25" s="626" t="s">
        <v>143</v>
      </c>
      <c r="F25" s="627"/>
      <c r="G25" s="627"/>
      <c r="H25" s="627"/>
      <c r="I25" s="627"/>
      <c r="J25" s="627"/>
      <c r="K25" s="627"/>
      <c r="L25" s="627"/>
      <c r="M25" s="627"/>
      <c r="N25" s="628"/>
      <c r="P25" s="626" t="s">
        <v>144</v>
      </c>
      <c r="Q25" s="627"/>
      <c r="R25" s="627"/>
      <c r="S25" s="627"/>
      <c r="T25" s="627"/>
      <c r="U25" s="627"/>
      <c r="V25" s="627"/>
      <c r="W25" s="627"/>
      <c r="X25" s="627"/>
      <c r="Y25" s="627"/>
      <c r="Z25" s="627"/>
      <c r="AA25" s="627"/>
      <c r="AB25" s="627"/>
      <c r="AC25" s="627"/>
      <c r="AD25" s="627"/>
      <c r="AE25" s="627"/>
      <c r="AF25" s="627"/>
      <c r="AG25" s="627"/>
      <c r="AH25" s="627"/>
      <c r="AI25" s="627"/>
      <c r="AJ25" s="627"/>
      <c r="AK25" s="628"/>
    </row>
    <row r="26" spans="5:37" ht="15" customHeight="1" x14ac:dyDescent="0.45">
      <c r="E26" s="644" t="s">
        <v>146</v>
      </c>
      <c r="F26" s="645"/>
      <c r="G26" s="647" t="s">
        <v>346</v>
      </c>
      <c r="H26" s="647"/>
      <c r="I26" s="647"/>
      <c r="J26" s="647"/>
      <c r="K26" s="647" t="s">
        <v>345</v>
      </c>
      <c r="L26" s="647"/>
      <c r="M26" s="647"/>
      <c r="N26" s="134" t="s">
        <v>148</v>
      </c>
      <c r="P26" s="706" t="s">
        <v>147</v>
      </c>
      <c r="Q26" s="707"/>
      <c r="R26" s="707"/>
      <c r="S26" s="707"/>
      <c r="T26" s="707" t="s">
        <v>149</v>
      </c>
      <c r="U26" s="707"/>
      <c r="V26" s="707" t="s">
        <v>150</v>
      </c>
      <c r="W26" s="707"/>
      <c r="X26" s="707" t="s">
        <v>151</v>
      </c>
      <c r="Y26" s="707"/>
      <c r="Z26" s="652" t="s">
        <v>152</v>
      </c>
      <c r="AA26" s="652"/>
      <c r="AB26" s="652"/>
      <c r="AC26" s="652"/>
      <c r="AD26" s="652"/>
      <c r="AE26" s="652"/>
      <c r="AF26" s="652" t="s">
        <v>153</v>
      </c>
      <c r="AG26" s="652"/>
      <c r="AH26" s="652"/>
      <c r="AI26" s="652"/>
      <c r="AJ26" s="652"/>
      <c r="AK26" s="659"/>
    </row>
    <row r="27" spans="5:37" ht="15" x14ac:dyDescent="0.45">
      <c r="E27" s="687">
        <v>44910</v>
      </c>
      <c r="F27" s="688"/>
      <c r="G27" s="643" t="s">
        <v>21</v>
      </c>
      <c r="H27" s="643"/>
      <c r="I27" s="643"/>
      <c r="J27" s="643"/>
      <c r="K27" s="646"/>
      <c r="L27" s="646"/>
      <c r="M27" s="646"/>
      <c r="N27" s="135">
        <v>20</v>
      </c>
      <c r="P27" s="694" t="str">
        <f>'Từ khóa'!M12</f>
        <v>Lương từ công ty</v>
      </c>
      <c r="Q27" s="695"/>
      <c r="R27" s="695"/>
      <c r="S27" s="695"/>
      <c r="T27" s="696">
        <f>'Kế hoạch thu nhập và chi tiêu'!L11</f>
        <v>20</v>
      </c>
      <c r="U27" s="696"/>
      <c r="V27" s="152"/>
      <c r="W27" s="153">
        <f t="shared" ref="W27:W34" ca="1" si="0">SUMIF($G$27:$J$36,P27,$N$27:$N$36)</f>
        <v>20</v>
      </c>
      <c r="X27" s="696">
        <f t="shared" ref="X27:X34" ca="1" si="1">W27-T27</f>
        <v>0</v>
      </c>
      <c r="Y27" s="696"/>
      <c r="Z27" s="646"/>
      <c r="AA27" s="646"/>
      <c r="AB27" s="646"/>
      <c r="AC27" s="646"/>
      <c r="AD27" s="646"/>
      <c r="AE27" s="646"/>
      <c r="AF27" s="646"/>
      <c r="AG27" s="646"/>
      <c r="AH27" s="646"/>
      <c r="AI27" s="646"/>
      <c r="AJ27" s="646"/>
      <c r="AK27" s="658"/>
    </row>
    <row r="28" spans="5:37" ht="15" x14ac:dyDescent="0.45">
      <c r="E28" s="687">
        <v>44915</v>
      </c>
      <c r="F28" s="688">
        <v>44612</v>
      </c>
      <c r="G28" s="643" t="s">
        <v>372</v>
      </c>
      <c r="H28" s="643"/>
      <c r="I28" s="643"/>
      <c r="J28" s="643"/>
      <c r="K28" s="646"/>
      <c r="L28" s="646"/>
      <c r="M28" s="646"/>
      <c r="N28" s="135">
        <v>10</v>
      </c>
      <c r="P28" s="694" t="str">
        <f>'Từ khóa'!M13</f>
        <v>Thu nhập khác</v>
      </c>
      <c r="Q28" s="695"/>
      <c r="R28" s="695"/>
      <c r="S28" s="695"/>
      <c r="T28" s="696">
        <f>'Kế hoạch thu nhập và chi tiêu'!L12</f>
        <v>10</v>
      </c>
      <c r="U28" s="696"/>
      <c r="V28" s="152"/>
      <c r="W28" s="153">
        <f t="shared" ca="1" si="0"/>
        <v>15</v>
      </c>
      <c r="X28" s="696">
        <f t="shared" ca="1" si="1"/>
        <v>5</v>
      </c>
      <c r="Y28" s="696"/>
      <c r="Z28" s="646"/>
      <c r="AA28" s="646"/>
      <c r="AB28" s="646"/>
      <c r="AC28" s="646"/>
      <c r="AD28" s="646"/>
      <c r="AE28" s="646"/>
      <c r="AF28" s="646"/>
      <c r="AG28" s="646"/>
      <c r="AH28" s="646"/>
      <c r="AI28" s="646"/>
      <c r="AJ28" s="646"/>
      <c r="AK28" s="658"/>
    </row>
    <row r="29" spans="5:37" ht="15" x14ac:dyDescent="0.45">
      <c r="E29" s="687">
        <v>44923</v>
      </c>
      <c r="F29" s="688">
        <v>44620</v>
      </c>
      <c r="G29" s="643" t="s">
        <v>372</v>
      </c>
      <c r="H29" s="643"/>
      <c r="I29" s="643"/>
      <c r="J29" s="643"/>
      <c r="K29" s="646"/>
      <c r="L29" s="646"/>
      <c r="M29" s="646"/>
      <c r="N29" s="135">
        <v>3</v>
      </c>
      <c r="P29" s="694">
        <f>'Từ khóa'!M14</f>
        <v>0</v>
      </c>
      <c r="Q29" s="695"/>
      <c r="R29" s="695"/>
      <c r="S29" s="695"/>
      <c r="T29" s="696">
        <f>'Kế hoạch thu nhập và chi tiêu'!L13</f>
        <v>0</v>
      </c>
      <c r="U29" s="696"/>
      <c r="V29" s="152"/>
      <c r="W29" s="153">
        <f t="shared" ca="1" si="0"/>
        <v>0</v>
      </c>
      <c r="X29" s="696">
        <f t="shared" ca="1" si="1"/>
        <v>0</v>
      </c>
      <c r="Y29" s="696"/>
      <c r="Z29" s="646"/>
      <c r="AA29" s="646"/>
      <c r="AB29" s="646"/>
      <c r="AC29" s="646"/>
      <c r="AD29" s="646"/>
      <c r="AE29" s="646"/>
      <c r="AF29" s="646"/>
      <c r="AG29" s="646"/>
      <c r="AH29" s="646"/>
      <c r="AI29" s="646"/>
      <c r="AJ29" s="646"/>
      <c r="AK29" s="658"/>
    </row>
    <row r="30" spans="5:37" ht="15" x14ac:dyDescent="0.45">
      <c r="E30" s="687">
        <v>44925</v>
      </c>
      <c r="F30" s="688">
        <v>44620</v>
      </c>
      <c r="G30" s="643" t="s">
        <v>372</v>
      </c>
      <c r="H30" s="643"/>
      <c r="I30" s="643"/>
      <c r="J30" s="643"/>
      <c r="K30" s="646"/>
      <c r="L30" s="646"/>
      <c r="M30" s="646"/>
      <c r="N30" s="135">
        <v>2</v>
      </c>
      <c r="P30" s="694">
        <f>'Từ khóa'!M15</f>
        <v>0</v>
      </c>
      <c r="Q30" s="695"/>
      <c r="R30" s="695"/>
      <c r="S30" s="695"/>
      <c r="T30" s="696">
        <f>'Kế hoạch thu nhập và chi tiêu'!L14</f>
        <v>0</v>
      </c>
      <c r="U30" s="696"/>
      <c r="V30" s="152"/>
      <c r="W30" s="153">
        <f t="shared" ca="1" si="0"/>
        <v>0</v>
      </c>
      <c r="X30" s="696">
        <f t="shared" ca="1" si="1"/>
        <v>0</v>
      </c>
      <c r="Y30" s="696"/>
      <c r="Z30" s="646"/>
      <c r="AA30" s="646"/>
      <c r="AB30" s="646"/>
      <c r="AC30" s="646"/>
      <c r="AD30" s="646"/>
      <c r="AE30" s="646"/>
      <c r="AF30" s="646"/>
      <c r="AG30" s="646"/>
      <c r="AH30" s="646"/>
      <c r="AI30" s="646"/>
      <c r="AJ30" s="646"/>
      <c r="AK30" s="658"/>
    </row>
    <row r="31" spans="5:37" ht="15" x14ac:dyDescent="0.45">
      <c r="E31" s="687"/>
      <c r="F31" s="688"/>
      <c r="G31" s="643"/>
      <c r="H31" s="643"/>
      <c r="I31" s="643"/>
      <c r="J31" s="643"/>
      <c r="K31" s="646"/>
      <c r="L31" s="646"/>
      <c r="M31" s="646"/>
      <c r="N31" s="135"/>
      <c r="P31" s="694">
        <f>'Từ khóa'!M16</f>
        <v>0</v>
      </c>
      <c r="Q31" s="695"/>
      <c r="R31" s="695"/>
      <c r="S31" s="695"/>
      <c r="T31" s="696">
        <f>'Kế hoạch thu nhập và chi tiêu'!L15</f>
        <v>0</v>
      </c>
      <c r="U31" s="696"/>
      <c r="V31" s="152"/>
      <c r="W31" s="153">
        <f t="shared" ca="1" si="0"/>
        <v>0</v>
      </c>
      <c r="X31" s="696">
        <f t="shared" ca="1" si="1"/>
        <v>0</v>
      </c>
      <c r="Y31" s="696"/>
      <c r="Z31" s="646"/>
      <c r="AA31" s="646"/>
      <c r="AB31" s="646"/>
      <c r="AC31" s="646"/>
      <c r="AD31" s="646"/>
      <c r="AE31" s="646"/>
      <c r="AF31" s="646"/>
      <c r="AG31" s="646"/>
      <c r="AH31" s="646"/>
      <c r="AI31" s="646"/>
      <c r="AJ31" s="646"/>
      <c r="AK31" s="658"/>
    </row>
    <row r="32" spans="5:37" ht="15" x14ac:dyDescent="0.45">
      <c r="E32" s="687"/>
      <c r="F32" s="688"/>
      <c r="G32" s="643"/>
      <c r="H32" s="643"/>
      <c r="I32" s="643"/>
      <c r="J32" s="643"/>
      <c r="K32" s="646"/>
      <c r="L32" s="646"/>
      <c r="M32" s="646"/>
      <c r="N32" s="135"/>
      <c r="P32" s="694">
        <f>'Từ khóa'!M17</f>
        <v>0</v>
      </c>
      <c r="Q32" s="695"/>
      <c r="R32" s="695"/>
      <c r="S32" s="695"/>
      <c r="T32" s="696">
        <f>'Kế hoạch thu nhập và chi tiêu'!L16</f>
        <v>0</v>
      </c>
      <c r="U32" s="696"/>
      <c r="V32" s="152"/>
      <c r="W32" s="153">
        <f t="shared" ca="1" si="0"/>
        <v>0</v>
      </c>
      <c r="X32" s="696">
        <f t="shared" ca="1" si="1"/>
        <v>0</v>
      </c>
      <c r="Y32" s="696"/>
      <c r="Z32" s="646"/>
      <c r="AA32" s="646"/>
      <c r="AB32" s="646"/>
      <c r="AC32" s="646"/>
      <c r="AD32" s="646"/>
      <c r="AE32" s="646"/>
      <c r="AF32" s="646"/>
      <c r="AG32" s="646"/>
      <c r="AH32" s="646"/>
      <c r="AI32" s="646"/>
      <c r="AJ32" s="646"/>
      <c r="AK32" s="658"/>
    </row>
    <row r="33" spans="5:37" ht="15" x14ac:dyDescent="0.45">
      <c r="E33" s="687"/>
      <c r="F33" s="688"/>
      <c r="G33" s="643"/>
      <c r="H33" s="643"/>
      <c r="I33" s="643"/>
      <c r="J33" s="643"/>
      <c r="K33" s="646"/>
      <c r="L33" s="646"/>
      <c r="M33" s="646"/>
      <c r="N33" s="135"/>
      <c r="P33" s="694">
        <f>'Từ khóa'!M18</f>
        <v>0</v>
      </c>
      <c r="Q33" s="695"/>
      <c r="R33" s="695"/>
      <c r="S33" s="695"/>
      <c r="T33" s="696">
        <f>'Kế hoạch thu nhập và chi tiêu'!L17</f>
        <v>0</v>
      </c>
      <c r="U33" s="696"/>
      <c r="V33" s="152"/>
      <c r="W33" s="153">
        <f t="shared" ca="1" si="0"/>
        <v>0</v>
      </c>
      <c r="X33" s="696">
        <f t="shared" ca="1" si="1"/>
        <v>0</v>
      </c>
      <c r="Y33" s="696"/>
      <c r="Z33" s="646"/>
      <c r="AA33" s="646"/>
      <c r="AB33" s="646"/>
      <c r="AC33" s="646"/>
      <c r="AD33" s="646"/>
      <c r="AE33" s="646"/>
      <c r="AF33" s="646"/>
      <c r="AG33" s="646"/>
      <c r="AH33" s="646"/>
      <c r="AI33" s="646"/>
      <c r="AJ33" s="646"/>
      <c r="AK33" s="658"/>
    </row>
    <row r="34" spans="5:37" ht="15" x14ac:dyDescent="0.45">
      <c r="E34" s="687"/>
      <c r="F34" s="688"/>
      <c r="G34" s="643"/>
      <c r="H34" s="643"/>
      <c r="I34" s="643"/>
      <c r="J34" s="643"/>
      <c r="K34" s="646"/>
      <c r="L34" s="646"/>
      <c r="M34" s="646"/>
      <c r="N34" s="135"/>
      <c r="P34" s="694">
        <f>'Từ khóa'!M19</f>
        <v>0</v>
      </c>
      <c r="Q34" s="695"/>
      <c r="R34" s="695"/>
      <c r="S34" s="695"/>
      <c r="T34" s="696">
        <f>'Kế hoạch thu nhập và chi tiêu'!L18</f>
        <v>0</v>
      </c>
      <c r="U34" s="696"/>
      <c r="V34" s="152"/>
      <c r="W34" s="153">
        <f t="shared" ca="1" si="0"/>
        <v>0</v>
      </c>
      <c r="X34" s="696">
        <f t="shared" ca="1" si="1"/>
        <v>0</v>
      </c>
      <c r="Y34" s="696"/>
      <c r="Z34" s="646"/>
      <c r="AA34" s="646"/>
      <c r="AB34" s="646"/>
      <c r="AC34" s="646"/>
      <c r="AD34" s="646"/>
      <c r="AE34" s="646"/>
      <c r="AF34" s="646"/>
      <c r="AG34" s="646"/>
      <c r="AH34" s="646"/>
      <c r="AI34" s="646"/>
      <c r="AJ34" s="646"/>
      <c r="AK34" s="658"/>
    </row>
    <row r="35" spans="5:37" ht="15" x14ac:dyDescent="0.45">
      <c r="E35" s="687"/>
      <c r="F35" s="688"/>
      <c r="G35" s="643"/>
      <c r="H35" s="643"/>
      <c r="I35" s="643"/>
      <c r="J35" s="643"/>
      <c r="K35" s="646"/>
      <c r="L35" s="646"/>
      <c r="M35" s="646"/>
      <c r="N35" s="135"/>
      <c r="P35" s="694"/>
      <c r="Q35" s="695"/>
      <c r="R35" s="695"/>
      <c r="S35" s="695"/>
      <c r="T35" s="697"/>
      <c r="U35" s="698"/>
      <c r="V35" s="152"/>
      <c r="W35" s="153"/>
      <c r="X35" s="696"/>
      <c r="Y35" s="696"/>
      <c r="Z35" s="646"/>
      <c r="AA35" s="646"/>
      <c r="AB35" s="646"/>
      <c r="AC35" s="646"/>
      <c r="AD35" s="646"/>
      <c r="AE35" s="646"/>
      <c r="AF35" s="646"/>
      <c r="AG35" s="646"/>
      <c r="AH35" s="646"/>
      <c r="AI35" s="646"/>
      <c r="AJ35" s="646"/>
      <c r="AK35" s="658"/>
    </row>
    <row r="36" spans="5:37" ht="15" x14ac:dyDescent="0.45">
      <c r="E36" s="687"/>
      <c r="F36" s="688"/>
      <c r="G36" s="643"/>
      <c r="H36" s="643"/>
      <c r="I36" s="643"/>
      <c r="J36" s="643"/>
      <c r="K36" s="646"/>
      <c r="L36" s="646"/>
      <c r="M36" s="646"/>
      <c r="N36" s="135"/>
      <c r="P36" s="694"/>
      <c r="Q36" s="695"/>
      <c r="R36" s="695"/>
      <c r="S36" s="695"/>
      <c r="T36" s="697"/>
      <c r="U36" s="698"/>
      <c r="V36" s="152"/>
      <c r="W36" s="153"/>
      <c r="X36" s="696"/>
      <c r="Y36" s="696"/>
      <c r="Z36" s="646"/>
      <c r="AA36" s="646"/>
      <c r="AB36" s="646"/>
      <c r="AC36" s="646"/>
      <c r="AD36" s="646"/>
      <c r="AE36" s="646"/>
      <c r="AF36" s="646"/>
      <c r="AG36" s="646"/>
      <c r="AH36" s="646"/>
      <c r="AI36" s="646"/>
      <c r="AJ36" s="646"/>
      <c r="AK36" s="658"/>
    </row>
    <row r="37" spans="5:37" ht="16.5" customHeight="1" thickBot="1" x14ac:dyDescent="0.6">
      <c r="E37" s="648" t="s">
        <v>124</v>
      </c>
      <c r="F37" s="649"/>
      <c r="G37" s="649"/>
      <c r="H37" s="649"/>
      <c r="I37" s="649"/>
      <c r="J37" s="649"/>
      <c r="K37" s="649"/>
      <c r="L37" s="649"/>
      <c r="M37" s="650"/>
      <c r="N37" s="144">
        <f>SUBTOTAL(109,'T12'!$N$27:$N$36)</f>
        <v>35</v>
      </c>
      <c r="P37" s="701" t="s">
        <v>124</v>
      </c>
      <c r="Q37" s="702"/>
      <c r="R37" s="702"/>
      <c r="S37" s="703"/>
      <c r="T37" s="704">
        <f>SUM(T27:U36)</f>
        <v>30</v>
      </c>
      <c r="U37" s="705"/>
      <c r="V37" s="704">
        <f ca="1">SUM(W27:W36)</f>
        <v>35</v>
      </c>
      <c r="W37" s="705"/>
      <c r="X37" s="704">
        <f t="shared" ref="X37" ca="1" si="2">SUM(X27:Y36)</f>
        <v>5</v>
      </c>
      <c r="Y37" s="705"/>
      <c r="Z37" s="660"/>
      <c r="AA37" s="660"/>
      <c r="AB37" s="660"/>
      <c r="AC37" s="660"/>
      <c r="AD37" s="660"/>
      <c r="AE37" s="660"/>
      <c r="AF37" s="660"/>
      <c r="AG37" s="660"/>
      <c r="AH37" s="660"/>
      <c r="AI37" s="660"/>
      <c r="AJ37" s="660"/>
      <c r="AK37" s="661"/>
    </row>
    <row r="39" spans="5:37" ht="14.65" thickBot="1" x14ac:dyDescent="0.5"/>
    <row r="40" spans="5:37" ht="15.75" customHeight="1" x14ac:dyDescent="0.55000000000000004">
      <c r="E40" s="623" t="s">
        <v>320</v>
      </c>
      <c r="F40" s="624"/>
      <c r="G40" s="624"/>
      <c r="H40" s="624"/>
      <c r="I40" s="624"/>
      <c r="J40" s="624"/>
      <c r="K40" s="624"/>
      <c r="L40" s="624"/>
      <c r="M40" s="624"/>
      <c r="N40" s="625"/>
      <c r="P40" s="623" t="s">
        <v>321</v>
      </c>
      <c r="Q40" s="624"/>
      <c r="R40" s="624"/>
      <c r="S40" s="624"/>
      <c r="T40" s="624"/>
      <c r="U40" s="624"/>
      <c r="V40" s="624"/>
      <c r="W40" s="624"/>
      <c r="X40" s="624"/>
      <c r="Y40" s="624"/>
      <c r="Z40" s="624"/>
      <c r="AA40" s="624"/>
      <c r="AB40" s="624"/>
      <c r="AC40" s="624"/>
      <c r="AD40" s="624"/>
      <c r="AE40" s="624"/>
      <c r="AF40" s="624"/>
      <c r="AG40" s="624"/>
      <c r="AH40" s="624"/>
      <c r="AI40" s="624"/>
      <c r="AJ40" s="624"/>
      <c r="AK40" s="625"/>
    </row>
    <row r="41" spans="5:37" ht="15" x14ac:dyDescent="0.45">
      <c r="E41" s="664" t="s">
        <v>146</v>
      </c>
      <c r="F41" s="665"/>
      <c r="G41" s="666" t="s">
        <v>347</v>
      </c>
      <c r="H41" s="666"/>
      <c r="I41" s="666"/>
      <c r="J41" s="666"/>
      <c r="K41" s="666" t="s">
        <v>345</v>
      </c>
      <c r="L41" s="666"/>
      <c r="M41" s="666"/>
      <c r="N41" s="136" t="s">
        <v>148</v>
      </c>
      <c r="P41" s="699" t="s">
        <v>147</v>
      </c>
      <c r="Q41" s="700"/>
      <c r="R41" s="700"/>
      <c r="S41" s="700"/>
      <c r="T41" s="700" t="s">
        <v>149</v>
      </c>
      <c r="U41" s="700"/>
      <c r="V41" s="700" t="s">
        <v>150</v>
      </c>
      <c r="W41" s="700"/>
      <c r="X41" s="700" t="s">
        <v>151</v>
      </c>
      <c r="Y41" s="700"/>
      <c r="Z41" s="666" t="s">
        <v>152</v>
      </c>
      <c r="AA41" s="666"/>
      <c r="AB41" s="666"/>
      <c r="AC41" s="666"/>
      <c r="AD41" s="666"/>
      <c r="AE41" s="666"/>
      <c r="AF41" s="666" t="s">
        <v>153</v>
      </c>
      <c r="AG41" s="666"/>
      <c r="AH41" s="666"/>
      <c r="AI41" s="666"/>
      <c r="AJ41" s="666"/>
      <c r="AK41" s="667"/>
    </row>
    <row r="42" spans="5:37" ht="15" customHeight="1" x14ac:dyDescent="0.55000000000000004">
      <c r="E42" s="687">
        <v>44896</v>
      </c>
      <c r="F42" s="688">
        <v>44593</v>
      </c>
      <c r="G42" s="640" t="s">
        <v>5</v>
      </c>
      <c r="H42" s="641"/>
      <c r="I42" s="641"/>
      <c r="J42" s="642"/>
      <c r="K42" s="640"/>
      <c r="L42" s="641"/>
      <c r="M42" s="642"/>
      <c r="N42" s="137">
        <v>2</v>
      </c>
      <c r="P42" s="694" t="str">
        <f>'Từ khóa'!F12</f>
        <v>Mua thực phẩm</v>
      </c>
      <c r="Q42" s="695"/>
      <c r="R42" s="695"/>
      <c r="S42" s="695"/>
      <c r="T42" s="696">
        <f>'Kế hoạch thu nhập và chi tiêu'!L26</f>
        <v>5</v>
      </c>
      <c r="U42" s="696"/>
      <c r="V42" s="152"/>
      <c r="W42" s="153">
        <f t="shared" ref="W42:W56" ca="1" si="3">SUMIF($G$42:$J$82,P42,$N$42:$N$82)</f>
        <v>5</v>
      </c>
      <c r="X42" s="697">
        <f t="shared" ref="X42:X56" ca="1" si="4">T42-W42</f>
        <v>0</v>
      </c>
      <c r="Y42" s="698"/>
      <c r="Z42" s="646"/>
      <c r="AA42" s="646"/>
      <c r="AB42" s="646"/>
      <c r="AC42" s="646"/>
      <c r="AD42" s="646"/>
      <c r="AE42" s="646"/>
      <c r="AF42" s="646"/>
      <c r="AG42" s="646"/>
      <c r="AH42" s="646"/>
      <c r="AI42" s="646"/>
      <c r="AJ42" s="646"/>
      <c r="AK42" s="658"/>
    </row>
    <row r="43" spans="5:37" ht="15" customHeight="1" x14ac:dyDescent="0.55000000000000004">
      <c r="E43" s="687">
        <v>44896</v>
      </c>
      <c r="F43" s="688">
        <v>44593</v>
      </c>
      <c r="G43" s="640" t="s">
        <v>6</v>
      </c>
      <c r="H43" s="641" t="s">
        <v>6</v>
      </c>
      <c r="I43" s="641" t="s">
        <v>6</v>
      </c>
      <c r="J43" s="642" t="s">
        <v>6</v>
      </c>
      <c r="K43" s="640"/>
      <c r="L43" s="641"/>
      <c r="M43" s="642"/>
      <c r="N43" s="138">
        <v>1</v>
      </c>
      <c r="P43" s="694" t="str">
        <f>'Từ khóa'!F13</f>
        <v>Mua đồ dùng trong nhà</v>
      </c>
      <c r="Q43" s="695"/>
      <c r="R43" s="695"/>
      <c r="S43" s="695"/>
      <c r="T43" s="696">
        <v>3</v>
      </c>
      <c r="U43" s="696"/>
      <c r="V43" s="152"/>
      <c r="W43" s="153">
        <f t="shared" ca="1" si="3"/>
        <v>4.5</v>
      </c>
      <c r="X43" s="697">
        <f t="shared" ca="1" si="4"/>
        <v>-1.5</v>
      </c>
      <c r="Y43" s="698"/>
      <c r="Z43" s="646" t="s">
        <v>411</v>
      </c>
      <c r="AA43" s="646"/>
      <c r="AB43" s="646"/>
      <c r="AC43" s="646"/>
      <c r="AD43" s="646"/>
      <c r="AE43" s="646"/>
      <c r="AF43" s="646"/>
      <c r="AG43" s="646"/>
      <c r="AH43" s="646"/>
      <c r="AI43" s="646"/>
      <c r="AJ43" s="646"/>
      <c r="AK43" s="658"/>
    </row>
    <row r="44" spans="5:37" ht="15" customHeight="1" x14ac:dyDescent="0.55000000000000004">
      <c r="E44" s="687">
        <v>44897</v>
      </c>
      <c r="F44" s="688">
        <v>44594</v>
      </c>
      <c r="G44" s="640" t="s">
        <v>10</v>
      </c>
      <c r="H44" s="641" t="s">
        <v>10</v>
      </c>
      <c r="I44" s="641" t="s">
        <v>10</v>
      </c>
      <c r="J44" s="642" t="s">
        <v>10</v>
      </c>
      <c r="K44" s="640" t="s">
        <v>159</v>
      </c>
      <c r="L44" s="641" t="s">
        <v>159</v>
      </c>
      <c r="M44" s="642" t="s">
        <v>159</v>
      </c>
      <c r="N44" s="138">
        <v>0.6</v>
      </c>
      <c r="P44" s="694" t="str">
        <f>'Từ khóa'!F14</f>
        <v>Đi ăn ở ngoài</v>
      </c>
      <c r="Q44" s="695"/>
      <c r="R44" s="695"/>
      <c r="S44" s="695"/>
      <c r="T44" s="696">
        <v>2</v>
      </c>
      <c r="U44" s="696"/>
      <c r="V44" s="152"/>
      <c r="W44" s="153">
        <f t="shared" ca="1" si="3"/>
        <v>3</v>
      </c>
      <c r="X44" s="697">
        <f t="shared" ca="1" si="4"/>
        <v>-1</v>
      </c>
      <c r="Y44" s="698"/>
      <c r="Z44" s="646"/>
      <c r="AA44" s="646"/>
      <c r="AB44" s="646"/>
      <c r="AC44" s="646"/>
      <c r="AD44" s="646"/>
      <c r="AE44" s="646"/>
      <c r="AF44" s="646"/>
      <c r="AG44" s="646"/>
      <c r="AH44" s="646"/>
      <c r="AI44" s="646"/>
      <c r="AJ44" s="646"/>
      <c r="AK44" s="658"/>
    </row>
    <row r="45" spans="5:37" ht="15" customHeight="1" x14ac:dyDescent="0.55000000000000004">
      <c r="E45" s="687">
        <v>44898</v>
      </c>
      <c r="F45" s="688">
        <v>44595</v>
      </c>
      <c r="G45" s="640" t="s">
        <v>10</v>
      </c>
      <c r="H45" s="641" t="s">
        <v>10</v>
      </c>
      <c r="I45" s="641" t="s">
        <v>10</v>
      </c>
      <c r="J45" s="642" t="s">
        <v>10</v>
      </c>
      <c r="K45" s="640" t="s">
        <v>161</v>
      </c>
      <c r="L45" s="641" t="s">
        <v>161</v>
      </c>
      <c r="M45" s="642" t="s">
        <v>161</v>
      </c>
      <c r="N45" s="138">
        <v>0.2</v>
      </c>
      <c r="P45" s="694" t="str">
        <f>'Từ khóa'!F15</f>
        <v>Chi tiền phát triển bản thân</v>
      </c>
      <c r="Q45" s="695"/>
      <c r="R45" s="695"/>
      <c r="S45" s="695"/>
      <c r="T45" s="696">
        <v>2</v>
      </c>
      <c r="U45" s="696"/>
      <c r="V45" s="152"/>
      <c r="W45" s="153">
        <f t="shared" ca="1" si="3"/>
        <v>2</v>
      </c>
      <c r="X45" s="697">
        <f t="shared" ca="1" si="4"/>
        <v>0</v>
      </c>
      <c r="Y45" s="698"/>
      <c r="Z45" s="646"/>
      <c r="AA45" s="646"/>
      <c r="AB45" s="646"/>
      <c r="AC45" s="646"/>
      <c r="AD45" s="646"/>
      <c r="AE45" s="646"/>
      <c r="AF45" s="646"/>
      <c r="AG45" s="646"/>
      <c r="AH45" s="646"/>
      <c r="AI45" s="646"/>
      <c r="AJ45" s="646"/>
      <c r="AK45" s="658"/>
    </row>
    <row r="46" spans="5:37" ht="15" customHeight="1" x14ac:dyDescent="0.55000000000000004">
      <c r="E46" s="687">
        <v>44899</v>
      </c>
      <c r="F46" s="688">
        <v>44596</v>
      </c>
      <c r="G46" s="640" t="s">
        <v>10</v>
      </c>
      <c r="H46" s="641" t="s">
        <v>10</v>
      </c>
      <c r="I46" s="641" t="s">
        <v>10</v>
      </c>
      <c r="J46" s="642" t="s">
        <v>10</v>
      </c>
      <c r="K46" s="640" t="s">
        <v>162</v>
      </c>
      <c r="L46" s="641" t="s">
        <v>162</v>
      </c>
      <c r="M46" s="642" t="s">
        <v>162</v>
      </c>
      <c r="N46" s="138">
        <v>0.3</v>
      </c>
      <c r="P46" s="694" t="str">
        <f>'Từ khóa'!F16</f>
        <v>Chi tiền bảo hiểm</v>
      </c>
      <c r="Q46" s="695"/>
      <c r="R46" s="695"/>
      <c r="S46" s="695"/>
      <c r="T46" s="696">
        <v>1</v>
      </c>
      <c r="U46" s="696"/>
      <c r="V46" s="152"/>
      <c r="W46" s="153">
        <f t="shared" ca="1" si="3"/>
        <v>0</v>
      </c>
      <c r="X46" s="697">
        <f t="shared" ca="1" si="4"/>
        <v>1</v>
      </c>
      <c r="Y46" s="698"/>
      <c r="Z46" s="646"/>
      <c r="AA46" s="646"/>
      <c r="AB46" s="646"/>
      <c r="AC46" s="646"/>
      <c r="AD46" s="646"/>
      <c r="AE46" s="646"/>
      <c r="AF46" s="646"/>
      <c r="AG46" s="646"/>
      <c r="AH46" s="646"/>
      <c r="AI46" s="646"/>
      <c r="AJ46" s="646"/>
      <c r="AK46" s="658"/>
    </row>
    <row r="47" spans="5:37" ht="15" customHeight="1" x14ac:dyDescent="0.55000000000000004">
      <c r="E47" s="687">
        <v>44900</v>
      </c>
      <c r="F47" s="688">
        <v>44597</v>
      </c>
      <c r="G47" s="640" t="s">
        <v>10</v>
      </c>
      <c r="H47" s="641" t="s">
        <v>10</v>
      </c>
      <c r="I47" s="641" t="s">
        <v>10</v>
      </c>
      <c r="J47" s="642" t="s">
        <v>10</v>
      </c>
      <c r="K47" s="640" t="s">
        <v>163</v>
      </c>
      <c r="L47" s="641" t="s">
        <v>163</v>
      </c>
      <c r="M47" s="642" t="s">
        <v>163</v>
      </c>
      <c r="N47" s="138">
        <v>0.2</v>
      </c>
      <c r="P47" s="694" t="str">
        <f>'Từ khóa'!F17</f>
        <v>Chi tiền điện, nước, internet, điện thoại, xăng xe</v>
      </c>
      <c r="Q47" s="695"/>
      <c r="R47" s="695"/>
      <c r="S47" s="695"/>
      <c r="T47" s="696">
        <v>2</v>
      </c>
      <c r="U47" s="696"/>
      <c r="V47" s="152"/>
      <c r="W47" s="153">
        <f t="shared" ca="1" si="3"/>
        <v>1.55</v>
      </c>
      <c r="X47" s="697">
        <f t="shared" ca="1" si="4"/>
        <v>0.44999999999999996</v>
      </c>
      <c r="Y47" s="698"/>
      <c r="Z47" s="646"/>
      <c r="AA47" s="646"/>
      <c r="AB47" s="646"/>
      <c r="AC47" s="646"/>
      <c r="AD47" s="646"/>
      <c r="AE47" s="646"/>
      <c r="AF47" s="646"/>
      <c r="AG47" s="646"/>
      <c r="AH47" s="646"/>
      <c r="AI47" s="646"/>
      <c r="AJ47" s="646"/>
      <c r="AK47" s="658"/>
    </row>
    <row r="48" spans="5:37" ht="15" customHeight="1" x14ac:dyDescent="0.55000000000000004">
      <c r="E48" s="687">
        <v>44902</v>
      </c>
      <c r="F48" s="688">
        <v>44599</v>
      </c>
      <c r="G48" s="640" t="s">
        <v>10</v>
      </c>
      <c r="H48" s="641" t="s">
        <v>10</v>
      </c>
      <c r="I48" s="641" t="s">
        <v>10</v>
      </c>
      <c r="J48" s="642" t="s">
        <v>10</v>
      </c>
      <c r="K48" s="640" t="s">
        <v>164</v>
      </c>
      <c r="L48" s="641" t="s">
        <v>164</v>
      </c>
      <c r="M48" s="642" t="s">
        <v>164</v>
      </c>
      <c r="N48" s="138">
        <v>0.05</v>
      </c>
      <c r="P48" s="694" t="str">
        <f>'Từ khóa'!F18</f>
        <v>Chi tiền giải trí, quà tặng</v>
      </c>
      <c r="Q48" s="695"/>
      <c r="R48" s="695"/>
      <c r="S48" s="695"/>
      <c r="T48" s="696">
        <v>2</v>
      </c>
      <c r="U48" s="696"/>
      <c r="V48" s="152"/>
      <c r="W48" s="153">
        <f t="shared" ca="1" si="3"/>
        <v>2.5</v>
      </c>
      <c r="X48" s="697">
        <f t="shared" ca="1" si="4"/>
        <v>-0.5</v>
      </c>
      <c r="Y48" s="698"/>
      <c r="Z48" s="646"/>
      <c r="AA48" s="646"/>
      <c r="AB48" s="646"/>
      <c r="AC48" s="646"/>
      <c r="AD48" s="646"/>
      <c r="AE48" s="646"/>
      <c r="AF48" s="646"/>
      <c r="AG48" s="646"/>
      <c r="AH48" s="646"/>
      <c r="AI48" s="646"/>
      <c r="AJ48" s="646"/>
      <c r="AK48" s="658"/>
    </row>
    <row r="49" spans="5:37" ht="15" customHeight="1" x14ac:dyDescent="0.55000000000000004">
      <c r="E49" s="687">
        <v>44904</v>
      </c>
      <c r="F49" s="688">
        <v>44601</v>
      </c>
      <c r="G49" s="640" t="s">
        <v>7</v>
      </c>
      <c r="H49" s="641" t="s">
        <v>7</v>
      </c>
      <c r="I49" s="641" t="s">
        <v>7</v>
      </c>
      <c r="J49" s="642" t="s">
        <v>7</v>
      </c>
      <c r="K49" s="640"/>
      <c r="L49" s="641"/>
      <c r="M49" s="642"/>
      <c r="N49" s="138">
        <v>2</v>
      </c>
      <c r="P49" s="694" t="str">
        <f>'Từ khóa'!F19</f>
        <v>Chi tiền cho con</v>
      </c>
      <c r="Q49" s="695"/>
      <c r="R49" s="695"/>
      <c r="S49" s="695"/>
      <c r="T49" s="696">
        <v>1</v>
      </c>
      <c r="U49" s="696"/>
      <c r="V49" s="152"/>
      <c r="W49" s="153">
        <f t="shared" ca="1" si="3"/>
        <v>0</v>
      </c>
      <c r="X49" s="697">
        <f t="shared" ca="1" si="4"/>
        <v>1</v>
      </c>
      <c r="Y49" s="698"/>
      <c r="Z49" s="646"/>
      <c r="AA49" s="646"/>
      <c r="AB49" s="646"/>
      <c r="AC49" s="646"/>
      <c r="AD49" s="646"/>
      <c r="AE49" s="646"/>
      <c r="AF49" s="646"/>
      <c r="AG49" s="646"/>
      <c r="AH49" s="646"/>
      <c r="AI49" s="646"/>
      <c r="AJ49" s="646"/>
      <c r="AK49" s="658"/>
    </row>
    <row r="50" spans="5:37" ht="15" customHeight="1" x14ac:dyDescent="0.55000000000000004">
      <c r="E50" s="687">
        <v>44906</v>
      </c>
      <c r="F50" s="688">
        <v>44603</v>
      </c>
      <c r="G50" s="640" t="s">
        <v>8</v>
      </c>
      <c r="H50" s="641" t="s">
        <v>8</v>
      </c>
      <c r="I50" s="641" t="s">
        <v>8</v>
      </c>
      <c r="J50" s="642" t="s">
        <v>8</v>
      </c>
      <c r="K50" s="640" t="s">
        <v>165</v>
      </c>
      <c r="L50" s="641" t="s">
        <v>165</v>
      </c>
      <c r="M50" s="642" t="s">
        <v>165</v>
      </c>
      <c r="N50" s="138">
        <v>1</v>
      </c>
      <c r="P50" s="694" t="str">
        <f>'Từ khóa'!F20</f>
        <v>Chi tiền trả nợ</v>
      </c>
      <c r="Q50" s="695"/>
      <c r="R50" s="695"/>
      <c r="S50" s="695"/>
      <c r="T50" s="696">
        <f>'Kế hoạch thu nhập và chi tiêu'!L34</f>
        <v>6.5</v>
      </c>
      <c r="U50" s="696"/>
      <c r="V50" s="152"/>
      <c r="W50" s="153">
        <f t="shared" ca="1" si="3"/>
        <v>6.5</v>
      </c>
      <c r="X50" s="697">
        <f t="shared" ca="1" si="4"/>
        <v>0</v>
      </c>
      <c r="Y50" s="698"/>
      <c r="Z50" s="646"/>
      <c r="AA50" s="646"/>
      <c r="AB50" s="646"/>
      <c r="AC50" s="646"/>
      <c r="AD50" s="646"/>
      <c r="AE50" s="646"/>
      <c r="AF50" s="646"/>
      <c r="AG50" s="646"/>
      <c r="AH50" s="646"/>
      <c r="AI50" s="646"/>
      <c r="AJ50" s="646"/>
      <c r="AK50" s="658"/>
    </row>
    <row r="51" spans="5:37" ht="15" customHeight="1" x14ac:dyDescent="0.55000000000000004">
      <c r="E51" s="687">
        <v>44907</v>
      </c>
      <c r="F51" s="688">
        <v>44604</v>
      </c>
      <c r="G51" s="640" t="s">
        <v>8</v>
      </c>
      <c r="H51" s="641" t="s">
        <v>8</v>
      </c>
      <c r="I51" s="641" t="s">
        <v>8</v>
      </c>
      <c r="J51" s="642" t="s">
        <v>8</v>
      </c>
      <c r="K51" s="640" t="s">
        <v>23</v>
      </c>
      <c r="L51" s="641" t="s">
        <v>165</v>
      </c>
      <c r="M51" s="642" t="s">
        <v>165</v>
      </c>
      <c r="N51" s="138">
        <v>1</v>
      </c>
      <c r="P51" s="694" t="str">
        <f>'Từ khóa'!F21</f>
        <v>Chi tiền cho tặng gia đình</v>
      </c>
      <c r="Q51" s="695"/>
      <c r="R51" s="695"/>
      <c r="S51" s="695"/>
      <c r="T51" s="696">
        <f>'Kế hoạch thu nhập và chi tiêu'!L35</f>
        <v>1</v>
      </c>
      <c r="U51" s="696"/>
      <c r="V51" s="152"/>
      <c r="W51" s="153">
        <f t="shared" ca="1" si="3"/>
        <v>0</v>
      </c>
      <c r="X51" s="697">
        <f t="shared" ca="1" si="4"/>
        <v>1</v>
      </c>
      <c r="Y51" s="698"/>
      <c r="Z51" s="646"/>
      <c r="AA51" s="646"/>
      <c r="AB51" s="646"/>
      <c r="AC51" s="646"/>
      <c r="AD51" s="646"/>
      <c r="AE51" s="646"/>
      <c r="AF51" s="646"/>
      <c r="AG51" s="646"/>
      <c r="AH51" s="646"/>
      <c r="AI51" s="646"/>
      <c r="AJ51" s="646"/>
      <c r="AK51" s="658"/>
    </row>
    <row r="52" spans="5:37" ht="15" customHeight="1" x14ac:dyDescent="0.55000000000000004">
      <c r="E52" s="687">
        <v>44909</v>
      </c>
      <c r="F52" s="688"/>
      <c r="G52" s="640" t="s">
        <v>5</v>
      </c>
      <c r="H52" s="641"/>
      <c r="I52" s="641"/>
      <c r="J52" s="642"/>
      <c r="K52" s="640"/>
      <c r="L52" s="641"/>
      <c r="M52" s="642"/>
      <c r="N52" s="138">
        <v>3</v>
      </c>
      <c r="P52" s="694" t="str">
        <f>'Từ khóa'!F22</f>
        <v>Chi tiêu 1</v>
      </c>
      <c r="Q52" s="695"/>
      <c r="R52" s="695"/>
      <c r="S52" s="695"/>
      <c r="T52" s="696">
        <f>'Kế hoạch thu nhập và chi tiêu'!L36</f>
        <v>0</v>
      </c>
      <c r="U52" s="696"/>
      <c r="V52" s="152"/>
      <c r="W52" s="153">
        <f t="shared" ca="1" si="3"/>
        <v>0</v>
      </c>
      <c r="X52" s="697">
        <f t="shared" ca="1" si="4"/>
        <v>0</v>
      </c>
      <c r="Y52" s="698"/>
      <c r="Z52" s="646"/>
      <c r="AA52" s="646"/>
      <c r="AB52" s="646"/>
      <c r="AC52" s="646"/>
      <c r="AD52" s="646"/>
      <c r="AE52" s="646"/>
      <c r="AF52" s="646"/>
      <c r="AG52" s="646"/>
      <c r="AH52" s="646"/>
      <c r="AI52" s="646"/>
      <c r="AJ52" s="646"/>
      <c r="AK52" s="658"/>
    </row>
    <row r="53" spans="5:37" ht="15" customHeight="1" x14ac:dyDescent="0.55000000000000004">
      <c r="E53" s="687">
        <v>44910</v>
      </c>
      <c r="F53" s="688"/>
      <c r="G53" s="640" t="s">
        <v>6</v>
      </c>
      <c r="H53" s="641"/>
      <c r="I53" s="641"/>
      <c r="J53" s="642"/>
      <c r="K53" s="640"/>
      <c r="L53" s="641"/>
      <c r="M53" s="642"/>
      <c r="N53" s="138">
        <v>2</v>
      </c>
      <c r="P53" s="694" t="str">
        <f>'Từ khóa'!F23</f>
        <v>Chi tiêu 2</v>
      </c>
      <c r="Q53" s="695"/>
      <c r="R53" s="695"/>
      <c r="S53" s="695"/>
      <c r="T53" s="696">
        <f>'Kế hoạch thu nhập và chi tiêu'!L37</f>
        <v>0</v>
      </c>
      <c r="U53" s="696"/>
      <c r="V53" s="152"/>
      <c r="W53" s="153">
        <f t="shared" ca="1" si="3"/>
        <v>0</v>
      </c>
      <c r="X53" s="697">
        <f t="shared" ca="1" si="4"/>
        <v>0</v>
      </c>
      <c r="Y53" s="698"/>
      <c r="Z53" s="646"/>
      <c r="AA53" s="646"/>
      <c r="AB53" s="646"/>
      <c r="AC53" s="646"/>
      <c r="AD53" s="646"/>
      <c r="AE53" s="646"/>
      <c r="AF53" s="646"/>
      <c r="AG53" s="646"/>
      <c r="AH53" s="646"/>
      <c r="AI53" s="646"/>
      <c r="AJ53" s="646"/>
      <c r="AK53" s="658"/>
    </row>
    <row r="54" spans="5:37" ht="15" customHeight="1" x14ac:dyDescent="0.55000000000000004">
      <c r="E54" s="687">
        <v>44912</v>
      </c>
      <c r="F54" s="688"/>
      <c r="G54" s="640" t="s">
        <v>13</v>
      </c>
      <c r="H54" s="641"/>
      <c r="I54" s="641"/>
      <c r="J54" s="642"/>
      <c r="K54" s="640"/>
      <c r="L54" s="641"/>
      <c r="M54" s="642"/>
      <c r="N54" s="138">
        <v>6.5</v>
      </c>
      <c r="P54" s="694" t="str">
        <f>'Từ khóa'!F24</f>
        <v>Chi tiêu 3</v>
      </c>
      <c r="Q54" s="695"/>
      <c r="R54" s="695"/>
      <c r="S54" s="695"/>
      <c r="T54" s="696">
        <f>'Kế hoạch thu nhập và chi tiêu'!L38</f>
        <v>0</v>
      </c>
      <c r="U54" s="696"/>
      <c r="V54" s="152"/>
      <c r="W54" s="153">
        <f t="shared" ca="1" si="3"/>
        <v>0</v>
      </c>
      <c r="X54" s="697">
        <f t="shared" ca="1" si="4"/>
        <v>0</v>
      </c>
      <c r="Y54" s="698"/>
      <c r="Z54" s="646"/>
      <c r="AA54" s="646"/>
      <c r="AB54" s="646"/>
      <c r="AC54" s="646"/>
      <c r="AD54" s="646"/>
      <c r="AE54" s="646"/>
      <c r="AF54" s="646"/>
      <c r="AG54" s="646"/>
      <c r="AH54" s="646"/>
      <c r="AI54" s="646"/>
      <c r="AJ54" s="646"/>
      <c r="AK54" s="658"/>
    </row>
    <row r="55" spans="5:37" ht="15" customHeight="1" x14ac:dyDescent="0.55000000000000004">
      <c r="E55" s="687">
        <v>44915</v>
      </c>
      <c r="F55" s="688"/>
      <c r="G55" s="640" t="s">
        <v>6</v>
      </c>
      <c r="H55" s="641"/>
      <c r="I55" s="641"/>
      <c r="J55" s="642"/>
      <c r="K55" s="640"/>
      <c r="L55" s="641"/>
      <c r="M55" s="642"/>
      <c r="N55" s="138">
        <v>0.5</v>
      </c>
      <c r="P55" s="694" t="str">
        <f>'Từ khóa'!F25</f>
        <v>Chi tiêu 4</v>
      </c>
      <c r="Q55" s="695"/>
      <c r="R55" s="695"/>
      <c r="S55" s="695"/>
      <c r="T55" s="696">
        <f>'Kế hoạch thu nhập và chi tiêu'!L39</f>
        <v>0</v>
      </c>
      <c r="U55" s="696"/>
      <c r="V55" s="152"/>
      <c r="W55" s="153">
        <f t="shared" ca="1" si="3"/>
        <v>0</v>
      </c>
      <c r="X55" s="697">
        <f t="shared" ca="1" si="4"/>
        <v>0</v>
      </c>
      <c r="Y55" s="698"/>
      <c r="Z55" s="646"/>
      <c r="AA55" s="646"/>
      <c r="AB55" s="646"/>
      <c r="AC55" s="646"/>
      <c r="AD55" s="646"/>
      <c r="AE55" s="646"/>
      <c r="AF55" s="646"/>
      <c r="AG55" s="646"/>
      <c r="AH55" s="646"/>
      <c r="AI55" s="646"/>
      <c r="AJ55" s="646"/>
      <c r="AK55" s="658"/>
    </row>
    <row r="56" spans="5:37" ht="15" customHeight="1" x14ac:dyDescent="0.55000000000000004">
      <c r="E56" s="687">
        <v>44916</v>
      </c>
      <c r="F56" s="688"/>
      <c r="G56" s="640" t="s">
        <v>10</v>
      </c>
      <c r="H56" s="641"/>
      <c r="I56" s="641"/>
      <c r="J56" s="642"/>
      <c r="K56" s="640"/>
      <c r="L56" s="641"/>
      <c r="M56" s="642"/>
      <c r="N56" s="138">
        <v>0.2</v>
      </c>
      <c r="P56" s="694" t="str">
        <f>'Từ khóa'!F26</f>
        <v>Chi tiêu 5</v>
      </c>
      <c r="Q56" s="695"/>
      <c r="R56" s="695"/>
      <c r="S56" s="695"/>
      <c r="T56" s="696">
        <f>'Kế hoạch thu nhập và chi tiêu'!L40</f>
        <v>0</v>
      </c>
      <c r="U56" s="696"/>
      <c r="V56" s="152"/>
      <c r="W56" s="153">
        <f t="shared" ca="1" si="3"/>
        <v>0</v>
      </c>
      <c r="X56" s="697">
        <f t="shared" ca="1" si="4"/>
        <v>0</v>
      </c>
      <c r="Y56" s="698"/>
      <c r="Z56" s="646"/>
      <c r="AA56" s="646"/>
      <c r="AB56" s="646"/>
      <c r="AC56" s="646"/>
      <c r="AD56" s="646"/>
      <c r="AE56" s="646"/>
      <c r="AF56" s="646"/>
      <c r="AG56" s="646"/>
      <c r="AH56" s="646"/>
      <c r="AI56" s="646"/>
      <c r="AJ56" s="646"/>
      <c r="AK56" s="658"/>
    </row>
    <row r="57" spans="5:37" ht="15.75" customHeight="1" thickBot="1" x14ac:dyDescent="0.6">
      <c r="E57" s="687">
        <v>44919</v>
      </c>
      <c r="F57" s="688"/>
      <c r="G57" s="640" t="s">
        <v>7</v>
      </c>
      <c r="H57" s="641"/>
      <c r="I57" s="641"/>
      <c r="J57" s="642"/>
      <c r="K57" s="640"/>
      <c r="L57" s="641"/>
      <c r="M57" s="642"/>
      <c r="N57" s="138">
        <v>1</v>
      </c>
      <c r="P57" s="691" t="s">
        <v>317</v>
      </c>
      <c r="Q57" s="692"/>
      <c r="R57" s="692"/>
      <c r="S57" s="693"/>
      <c r="T57" s="689">
        <f>SUM(T42:U56)</f>
        <v>25.5</v>
      </c>
      <c r="U57" s="690"/>
      <c r="V57" s="689">
        <f ca="1">SUM(W42:W56)</f>
        <v>25.05</v>
      </c>
      <c r="W57" s="690"/>
      <c r="X57" s="689">
        <f t="shared" ref="X57" ca="1" si="5">SUM(X42:Y56)</f>
        <v>0.44999999999999996</v>
      </c>
      <c r="Y57" s="690"/>
      <c r="Z57" s="669"/>
      <c r="AA57" s="669"/>
      <c r="AB57" s="669"/>
      <c r="AC57" s="669"/>
      <c r="AD57" s="669"/>
      <c r="AE57" s="669"/>
      <c r="AF57" s="669"/>
      <c r="AG57" s="669"/>
      <c r="AH57" s="669"/>
      <c r="AI57" s="669"/>
      <c r="AJ57" s="669"/>
      <c r="AK57" s="670"/>
    </row>
    <row r="58" spans="5:37" ht="15.75" customHeight="1" x14ac:dyDescent="0.55000000000000004">
      <c r="E58" s="687">
        <v>44921</v>
      </c>
      <c r="F58" s="688"/>
      <c r="G58" s="640" t="s">
        <v>11</v>
      </c>
      <c r="H58" s="641"/>
      <c r="I58" s="641"/>
      <c r="J58" s="642"/>
      <c r="K58" s="640"/>
      <c r="L58" s="641"/>
      <c r="M58" s="642"/>
      <c r="N58" s="139">
        <v>2</v>
      </c>
      <c r="Q58" s="6"/>
      <c r="R58" s="6"/>
      <c r="S58" s="6"/>
      <c r="T58" s="6"/>
    </row>
    <row r="59" spans="5:37" ht="15.75" customHeight="1" x14ac:dyDescent="0.55000000000000004">
      <c r="E59" s="687">
        <v>44922</v>
      </c>
      <c r="F59" s="688"/>
      <c r="G59" s="640" t="s">
        <v>11</v>
      </c>
      <c r="H59" s="641"/>
      <c r="I59" s="641"/>
      <c r="J59" s="642"/>
      <c r="K59" s="640"/>
      <c r="L59" s="641"/>
      <c r="M59" s="642"/>
      <c r="N59" s="140">
        <v>0.5</v>
      </c>
      <c r="Q59" s="6"/>
      <c r="R59" s="6"/>
      <c r="S59" s="6"/>
      <c r="T59" s="6"/>
    </row>
    <row r="60" spans="5:37" ht="15" x14ac:dyDescent="0.55000000000000004">
      <c r="E60" s="638">
        <v>44925</v>
      </c>
      <c r="F60" s="639"/>
      <c r="G60" s="640" t="s">
        <v>6</v>
      </c>
      <c r="H60" s="641"/>
      <c r="I60" s="641"/>
      <c r="J60" s="642"/>
      <c r="K60" s="640"/>
      <c r="L60" s="641"/>
      <c r="M60" s="642"/>
      <c r="N60" s="140">
        <v>1</v>
      </c>
    </row>
    <row r="61" spans="5:37" ht="15" x14ac:dyDescent="0.55000000000000004">
      <c r="E61" s="638"/>
      <c r="F61" s="639"/>
      <c r="G61" s="640"/>
      <c r="H61" s="641"/>
      <c r="I61" s="641"/>
      <c r="J61" s="642"/>
      <c r="K61" s="640"/>
      <c r="L61" s="641"/>
      <c r="M61" s="642"/>
      <c r="N61" s="140"/>
    </row>
    <row r="62" spans="5:37" ht="15" x14ac:dyDescent="0.55000000000000004">
      <c r="E62" s="638"/>
      <c r="F62" s="639"/>
      <c r="G62" s="640"/>
      <c r="H62" s="641"/>
      <c r="I62" s="641"/>
      <c r="J62" s="642"/>
      <c r="K62" s="640"/>
      <c r="L62" s="641"/>
      <c r="M62" s="642"/>
      <c r="N62" s="140"/>
    </row>
    <row r="63" spans="5:37" ht="15" x14ac:dyDescent="0.55000000000000004">
      <c r="E63" s="638"/>
      <c r="F63" s="639"/>
      <c r="G63" s="640"/>
      <c r="H63" s="641"/>
      <c r="I63" s="641"/>
      <c r="J63" s="642"/>
      <c r="K63" s="640"/>
      <c r="L63" s="641"/>
      <c r="M63" s="642"/>
      <c r="N63" s="140"/>
    </row>
    <row r="64" spans="5:37" ht="15" x14ac:dyDescent="0.55000000000000004">
      <c r="E64" s="638"/>
      <c r="F64" s="639"/>
      <c r="G64" s="640"/>
      <c r="H64" s="641"/>
      <c r="I64" s="641"/>
      <c r="J64" s="642"/>
      <c r="K64" s="640"/>
      <c r="L64" s="641"/>
      <c r="M64" s="642"/>
      <c r="N64" s="140"/>
    </row>
    <row r="65" spans="5:14" ht="15" x14ac:dyDescent="0.55000000000000004">
      <c r="E65" s="638"/>
      <c r="F65" s="639"/>
      <c r="G65" s="640"/>
      <c r="H65" s="641"/>
      <c r="I65" s="641"/>
      <c r="J65" s="642"/>
      <c r="K65" s="640"/>
      <c r="L65" s="641"/>
      <c r="M65" s="642"/>
      <c r="N65" s="140"/>
    </row>
    <row r="66" spans="5:14" ht="15" x14ac:dyDescent="0.55000000000000004">
      <c r="E66" s="638"/>
      <c r="F66" s="639"/>
      <c r="G66" s="640"/>
      <c r="H66" s="641"/>
      <c r="I66" s="641"/>
      <c r="J66" s="642"/>
      <c r="K66" s="640"/>
      <c r="L66" s="641"/>
      <c r="M66" s="642"/>
      <c r="N66" s="140"/>
    </row>
    <row r="67" spans="5:14" ht="15" x14ac:dyDescent="0.55000000000000004">
      <c r="E67" s="638"/>
      <c r="F67" s="639"/>
      <c r="G67" s="640"/>
      <c r="H67" s="641"/>
      <c r="I67" s="641"/>
      <c r="J67" s="642"/>
      <c r="K67" s="640"/>
      <c r="L67" s="641"/>
      <c r="M67" s="642"/>
      <c r="N67" s="140"/>
    </row>
    <row r="68" spans="5:14" ht="15" x14ac:dyDescent="0.55000000000000004">
      <c r="E68" s="638"/>
      <c r="F68" s="639"/>
      <c r="G68" s="640"/>
      <c r="H68" s="641"/>
      <c r="I68" s="641"/>
      <c r="J68" s="642"/>
      <c r="K68" s="640"/>
      <c r="L68" s="641"/>
      <c r="M68" s="642"/>
      <c r="N68" s="140"/>
    </row>
    <row r="69" spans="5:14" ht="15" x14ac:dyDescent="0.55000000000000004">
      <c r="E69" s="638"/>
      <c r="F69" s="639"/>
      <c r="G69" s="640"/>
      <c r="H69" s="641"/>
      <c r="I69" s="641"/>
      <c r="J69" s="642"/>
      <c r="K69" s="640"/>
      <c r="L69" s="641"/>
      <c r="M69" s="642"/>
      <c r="N69" s="140"/>
    </row>
    <row r="70" spans="5:14" ht="15" x14ac:dyDescent="0.55000000000000004">
      <c r="E70" s="638"/>
      <c r="F70" s="639"/>
      <c r="G70" s="640"/>
      <c r="H70" s="641"/>
      <c r="I70" s="641"/>
      <c r="J70" s="642"/>
      <c r="K70" s="640"/>
      <c r="L70" s="641"/>
      <c r="M70" s="642"/>
      <c r="N70" s="140"/>
    </row>
    <row r="71" spans="5:14" ht="15" x14ac:dyDescent="0.55000000000000004">
      <c r="E71" s="638"/>
      <c r="F71" s="639"/>
      <c r="G71" s="640"/>
      <c r="H71" s="641"/>
      <c r="I71" s="641"/>
      <c r="J71" s="642"/>
      <c r="K71" s="640"/>
      <c r="L71" s="641"/>
      <c r="M71" s="642"/>
      <c r="N71" s="140"/>
    </row>
    <row r="72" spans="5:14" ht="15" x14ac:dyDescent="0.55000000000000004">
      <c r="E72" s="638"/>
      <c r="F72" s="639"/>
      <c r="G72" s="640"/>
      <c r="H72" s="641"/>
      <c r="I72" s="641"/>
      <c r="J72" s="642"/>
      <c r="K72" s="640"/>
      <c r="L72" s="641"/>
      <c r="M72" s="642"/>
      <c r="N72" s="140"/>
    </row>
    <row r="73" spans="5:14" ht="15" x14ac:dyDescent="0.55000000000000004">
      <c r="E73" s="638"/>
      <c r="F73" s="639"/>
      <c r="G73" s="640"/>
      <c r="H73" s="641"/>
      <c r="I73" s="641"/>
      <c r="J73" s="642"/>
      <c r="K73" s="640"/>
      <c r="L73" s="641"/>
      <c r="M73" s="642"/>
      <c r="N73" s="140"/>
    </row>
    <row r="74" spans="5:14" ht="15" x14ac:dyDescent="0.55000000000000004">
      <c r="E74" s="638"/>
      <c r="F74" s="639"/>
      <c r="G74" s="640"/>
      <c r="H74" s="641"/>
      <c r="I74" s="641"/>
      <c r="J74" s="642"/>
      <c r="K74" s="640"/>
      <c r="L74" s="641"/>
      <c r="M74" s="642"/>
      <c r="N74" s="140"/>
    </row>
    <row r="75" spans="5:14" ht="15" x14ac:dyDescent="0.55000000000000004">
      <c r="E75" s="638"/>
      <c r="F75" s="639"/>
      <c r="G75" s="640"/>
      <c r="H75" s="641"/>
      <c r="I75" s="641"/>
      <c r="J75" s="642"/>
      <c r="K75" s="640"/>
      <c r="L75" s="641"/>
      <c r="M75" s="642"/>
      <c r="N75" s="140"/>
    </row>
    <row r="76" spans="5:14" ht="15" x14ac:dyDescent="0.55000000000000004">
      <c r="E76" s="638"/>
      <c r="F76" s="639"/>
      <c r="G76" s="640"/>
      <c r="H76" s="641"/>
      <c r="I76" s="641"/>
      <c r="J76" s="642"/>
      <c r="K76" s="640"/>
      <c r="L76" s="641"/>
      <c r="M76" s="642"/>
      <c r="N76" s="140"/>
    </row>
    <row r="77" spans="5:14" ht="15" x14ac:dyDescent="0.55000000000000004">
      <c r="E77" s="638"/>
      <c r="F77" s="639"/>
      <c r="G77" s="640"/>
      <c r="H77" s="641"/>
      <c r="I77" s="641"/>
      <c r="J77" s="642"/>
      <c r="K77" s="640"/>
      <c r="L77" s="641"/>
      <c r="M77" s="642"/>
      <c r="N77" s="140"/>
    </row>
    <row r="78" spans="5:14" ht="15" x14ac:dyDescent="0.55000000000000004">
      <c r="E78" s="638"/>
      <c r="F78" s="639"/>
      <c r="G78" s="640"/>
      <c r="H78" s="641"/>
      <c r="I78" s="641"/>
      <c r="J78" s="642"/>
      <c r="K78" s="640"/>
      <c r="L78" s="641"/>
      <c r="M78" s="642"/>
      <c r="N78" s="140"/>
    </row>
    <row r="79" spans="5:14" ht="15" x14ac:dyDescent="0.55000000000000004">
      <c r="E79" s="638"/>
      <c r="F79" s="639"/>
      <c r="G79" s="640"/>
      <c r="H79" s="641"/>
      <c r="I79" s="641"/>
      <c r="J79" s="642"/>
      <c r="K79" s="640"/>
      <c r="L79" s="641"/>
      <c r="M79" s="642"/>
      <c r="N79" s="140"/>
    </row>
    <row r="80" spans="5:14" ht="15" x14ac:dyDescent="0.55000000000000004">
      <c r="E80" s="638"/>
      <c r="F80" s="639"/>
      <c r="G80" s="640"/>
      <c r="H80" s="641"/>
      <c r="I80" s="641"/>
      <c r="J80" s="642"/>
      <c r="K80" s="640"/>
      <c r="L80" s="641"/>
      <c r="M80" s="642"/>
      <c r="N80" s="140"/>
    </row>
    <row r="81" spans="1:31" ht="15" x14ac:dyDescent="0.55000000000000004">
      <c r="E81" s="638"/>
      <c r="F81" s="639"/>
      <c r="G81" s="640"/>
      <c r="H81" s="641"/>
      <c r="I81" s="641"/>
      <c r="J81" s="642"/>
      <c r="K81" s="640"/>
      <c r="L81" s="641"/>
      <c r="M81" s="642"/>
      <c r="N81" s="140"/>
    </row>
    <row r="82" spans="1:31" ht="15" x14ac:dyDescent="0.55000000000000004">
      <c r="E82" s="638"/>
      <c r="F82" s="639"/>
      <c r="G82" s="640"/>
      <c r="H82" s="641"/>
      <c r="I82" s="641"/>
      <c r="J82" s="642"/>
      <c r="K82" s="640"/>
      <c r="L82" s="641"/>
      <c r="M82" s="642"/>
      <c r="N82" s="140"/>
    </row>
    <row r="83" spans="1:31" ht="15.4" thickBot="1" x14ac:dyDescent="0.6">
      <c r="E83" s="671" t="s">
        <v>317</v>
      </c>
      <c r="F83" s="672"/>
      <c r="G83" s="672"/>
      <c r="H83" s="672"/>
      <c r="I83" s="672"/>
      <c r="J83" s="672"/>
      <c r="K83" s="672"/>
      <c r="L83" s="672"/>
      <c r="M83" s="673"/>
      <c r="N83" s="143">
        <f>SUM(N42:N82)</f>
        <v>25.05</v>
      </c>
    </row>
    <row r="86" spans="1:31" ht="15" customHeight="1" x14ac:dyDescent="0.45">
      <c r="E86" s="532" t="s">
        <v>348</v>
      </c>
      <c r="F86" s="532"/>
      <c r="G86" s="532"/>
      <c r="H86" s="532"/>
      <c r="I86" s="532"/>
      <c r="J86" s="532"/>
      <c r="K86" s="532"/>
      <c r="L86" s="532"/>
      <c r="M86" s="532"/>
      <c r="N86" s="5"/>
      <c r="O86" s="5"/>
      <c r="P86" s="5"/>
      <c r="Q86" s="5"/>
      <c r="R86" s="5"/>
      <c r="S86" s="6"/>
      <c r="T86" s="6"/>
      <c r="U86" s="6"/>
      <c r="V86" s="6"/>
      <c r="W86" s="6"/>
      <c r="X86" s="6"/>
      <c r="Y86" s="6"/>
      <c r="Z86" s="6"/>
      <c r="AA86" s="6"/>
    </row>
    <row r="87" spans="1:31" s="8" customFormat="1" ht="15" customHeight="1" thickBot="1" x14ac:dyDescent="0.5">
      <c r="A87" s="7"/>
      <c r="B87" s="7"/>
      <c r="C87" s="7"/>
      <c r="E87" s="533"/>
      <c r="F87" s="533"/>
      <c r="G87" s="533"/>
      <c r="H87" s="533"/>
      <c r="I87" s="533"/>
      <c r="J87" s="533"/>
      <c r="K87" s="533"/>
      <c r="L87" s="533"/>
      <c r="M87" s="533"/>
      <c r="N87" s="9"/>
      <c r="O87" s="9"/>
      <c r="P87" s="9"/>
      <c r="Q87" s="9"/>
      <c r="R87" s="9"/>
      <c r="S87" s="10"/>
      <c r="T87" s="10"/>
      <c r="U87" s="10"/>
      <c r="V87" s="10"/>
      <c r="W87" s="10"/>
      <c r="X87" s="10"/>
      <c r="Y87" s="10"/>
      <c r="Z87" s="10"/>
      <c r="AA87" s="10"/>
    </row>
    <row r="88" spans="1:31" ht="14.65" thickBot="1" x14ac:dyDescent="0.5"/>
    <row r="89" spans="1:31" ht="14.65" thickBot="1" x14ac:dyDescent="0.5">
      <c r="E89" s="620" t="s">
        <v>350</v>
      </c>
      <c r="F89" s="621"/>
      <c r="G89" s="621"/>
      <c r="H89" s="621"/>
      <c r="I89" s="621"/>
      <c r="J89" s="621"/>
      <c r="K89" s="621"/>
      <c r="L89" s="621"/>
      <c r="M89" s="621"/>
      <c r="N89" s="621"/>
      <c r="O89" s="621"/>
      <c r="P89" s="621"/>
      <c r="Q89" s="621"/>
      <c r="R89" s="621"/>
      <c r="S89" s="621"/>
      <c r="T89" s="621"/>
      <c r="U89" s="621"/>
      <c r="V89" s="621"/>
      <c r="W89" s="621"/>
      <c r="X89" s="621"/>
      <c r="Y89" s="622"/>
      <c r="AA89" s="629" t="s">
        <v>353</v>
      </c>
      <c r="AB89" s="630"/>
      <c r="AC89" s="630"/>
      <c r="AD89" s="630"/>
      <c r="AE89" s="631"/>
    </row>
    <row r="90" spans="1:31" x14ac:dyDescent="0.45">
      <c r="E90" s="615" t="s">
        <v>146</v>
      </c>
      <c r="F90" s="350"/>
      <c r="G90" s="350" t="s">
        <v>349</v>
      </c>
      <c r="H90" s="350"/>
      <c r="I90" s="350" t="s">
        <v>345</v>
      </c>
      <c r="J90" s="350"/>
      <c r="K90" s="133" t="s">
        <v>148</v>
      </c>
      <c r="L90" s="350" t="s">
        <v>166</v>
      </c>
      <c r="M90" s="350"/>
      <c r="N90" s="350"/>
      <c r="O90" s="350"/>
      <c r="P90" s="350"/>
      <c r="Q90" s="350"/>
      <c r="R90" s="350"/>
      <c r="S90" s="350" t="s">
        <v>352</v>
      </c>
      <c r="T90" s="350"/>
      <c r="U90" s="350"/>
      <c r="V90" s="350"/>
      <c r="W90" s="350"/>
      <c r="X90" s="350"/>
      <c r="Y90" s="614"/>
      <c r="AA90" s="685" t="s">
        <v>147</v>
      </c>
      <c r="AB90" s="686"/>
      <c r="AC90" s="686"/>
      <c r="AD90" s="686"/>
      <c r="AE90" s="684" t="s">
        <v>324</v>
      </c>
    </row>
    <row r="91" spans="1:31" ht="15" x14ac:dyDescent="0.45">
      <c r="E91" s="680">
        <v>44906</v>
      </c>
      <c r="F91" s="681"/>
      <c r="G91" s="555" t="s">
        <v>24</v>
      </c>
      <c r="H91" s="555"/>
      <c r="I91" s="555" t="s">
        <v>412</v>
      </c>
      <c r="J91" s="555"/>
      <c r="K91" s="149">
        <v>1</v>
      </c>
      <c r="L91" s="619" t="s">
        <v>168</v>
      </c>
      <c r="M91" s="619"/>
      <c r="N91" s="619"/>
      <c r="O91" s="619"/>
      <c r="P91" s="619"/>
      <c r="Q91" s="619"/>
      <c r="R91" s="619"/>
      <c r="S91" s="555"/>
      <c r="T91" s="555"/>
      <c r="U91" s="555"/>
      <c r="V91" s="555"/>
      <c r="W91" s="555"/>
      <c r="X91" s="555"/>
      <c r="Y91" s="556"/>
      <c r="AA91" s="685"/>
      <c r="AB91" s="686"/>
      <c r="AC91" s="686"/>
      <c r="AD91" s="686"/>
      <c r="AE91" s="684"/>
    </row>
    <row r="92" spans="1:31" ht="15" x14ac:dyDescent="0.45">
      <c r="E92" s="680">
        <v>44907</v>
      </c>
      <c r="F92" s="681"/>
      <c r="G92" s="557" t="s">
        <v>23</v>
      </c>
      <c r="H92" s="557"/>
      <c r="I92" s="557" t="s">
        <v>167</v>
      </c>
      <c r="J92" s="557"/>
      <c r="K92" s="150">
        <v>0.5</v>
      </c>
      <c r="L92" s="606" t="s">
        <v>168</v>
      </c>
      <c r="M92" s="606"/>
      <c r="N92" s="606"/>
      <c r="O92" s="606"/>
      <c r="P92" s="606"/>
      <c r="Q92" s="606"/>
      <c r="R92" s="606"/>
      <c r="S92" s="557"/>
      <c r="T92" s="557"/>
      <c r="U92" s="557"/>
      <c r="V92" s="557"/>
      <c r="W92" s="557"/>
      <c r="X92" s="557"/>
      <c r="Y92" s="558"/>
      <c r="AA92" s="682" t="str">
        <f>'Từ khóa'!S12:S12</f>
        <v>Mua sách</v>
      </c>
      <c r="AB92" s="683"/>
      <c r="AC92" s="683"/>
      <c r="AD92" s="683"/>
      <c r="AE92" s="145">
        <f ca="1">SUMIF($G$91:$H$105,AA92,$K$91:$K$105)</f>
        <v>0.5</v>
      </c>
    </row>
    <row r="93" spans="1:31" ht="15" x14ac:dyDescent="0.45">
      <c r="E93" s="680"/>
      <c r="F93" s="681"/>
      <c r="G93" s="557"/>
      <c r="H93" s="557"/>
      <c r="I93" s="557"/>
      <c r="J93" s="557"/>
      <c r="K93" s="150"/>
      <c r="L93" s="606"/>
      <c r="M93" s="606"/>
      <c r="N93" s="606"/>
      <c r="O93" s="606"/>
      <c r="P93" s="606"/>
      <c r="Q93" s="606"/>
      <c r="R93" s="606"/>
      <c r="S93" s="557"/>
      <c r="T93" s="557"/>
      <c r="U93" s="557"/>
      <c r="V93" s="557"/>
      <c r="W93" s="557"/>
      <c r="X93" s="557"/>
      <c r="Y93" s="558"/>
      <c r="AA93" s="678" t="str">
        <f>'Từ khóa'!S13:S13</f>
        <v>Khóa học ngắn hạn</v>
      </c>
      <c r="AB93" s="679"/>
      <c r="AC93" s="679"/>
      <c r="AD93" s="679"/>
      <c r="AE93" s="146">
        <f t="shared" ref="AE93:AE101" ca="1" si="6">SUMIF($G$91:$H$105,AA93,$K$91:$K$105)</f>
        <v>1</v>
      </c>
    </row>
    <row r="94" spans="1:31" ht="15" x14ac:dyDescent="0.45">
      <c r="E94" s="680"/>
      <c r="F94" s="681"/>
      <c r="G94" s="557"/>
      <c r="H94" s="557"/>
      <c r="I94" s="557"/>
      <c r="J94" s="557"/>
      <c r="K94" s="150"/>
      <c r="L94" s="606"/>
      <c r="M94" s="606"/>
      <c r="N94" s="606"/>
      <c r="O94" s="606"/>
      <c r="P94" s="606"/>
      <c r="Q94" s="606"/>
      <c r="R94" s="606"/>
      <c r="S94" s="557"/>
      <c r="T94" s="557"/>
      <c r="U94" s="557"/>
      <c r="V94" s="557"/>
      <c r="W94" s="557"/>
      <c r="X94" s="557"/>
      <c r="Y94" s="558"/>
      <c r="AA94" s="678" t="str">
        <f>'Từ khóa'!S14:S14</f>
        <v>Khóa học dài hạn</v>
      </c>
      <c r="AB94" s="679"/>
      <c r="AC94" s="679"/>
      <c r="AD94" s="679"/>
      <c r="AE94" s="146">
        <f t="shared" ca="1" si="6"/>
        <v>0</v>
      </c>
    </row>
    <row r="95" spans="1:31" x14ac:dyDescent="0.45">
      <c r="E95" s="604"/>
      <c r="F95" s="605"/>
      <c r="G95" s="557"/>
      <c r="H95" s="557"/>
      <c r="I95" s="557"/>
      <c r="J95" s="557"/>
      <c r="K95" s="150"/>
      <c r="L95" s="606"/>
      <c r="M95" s="606"/>
      <c r="N95" s="606"/>
      <c r="O95" s="606"/>
      <c r="P95" s="606"/>
      <c r="Q95" s="606"/>
      <c r="R95" s="606"/>
      <c r="S95" s="557"/>
      <c r="T95" s="557"/>
      <c r="U95" s="557"/>
      <c r="V95" s="557"/>
      <c r="W95" s="557"/>
      <c r="X95" s="557"/>
      <c r="Y95" s="558"/>
      <c r="AA95" s="678" t="e">
        <f>'Từ khóa'!#REF!</f>
        <v>#REF!</v>
      </c>
      <c r="AB95" s="679"/>
      <c r="AC95" s="679"/>
      <c r="AD95" s="679"/>
      <c r="AE95" s="146">
        <f t="shared" ca="1" si="6"/>
        <v>0</v>
      </c>
    </row>
    <row r="96" spans="1:31" x14ac:dyDescent="0.45">
      <c r="E96" s="604"/>
      <c r="F96" s="605"/>
      <c r="G96" s="557"/>
      <c r="H96" s="557"/>
      <c r="I96" s="557"/>
      <c r="J96" s="557"/>
      <c r="K96" s="150"/>
      <c r="L96" s="606"/>
      <c r="M96" s="606"/>
      <c r="N96" s="606"/>
      <c r="O96" s="606"/>
      <c r="P96" s="606"/>
      <c r="Q96" s="606"/>
      <c r="R96" s="606"/>
      <c r="S96" s="557"/>
      <c r="T96" s="557"/>
      <c r="U96" s="557"/>
      <c r="V96" s="557"/>
      <c r="W96" s="557"/>
      <c r="X96" s="557"/>
      <c r="Y96" s="558"/>
      <c r="AA96" s="678" t="str">
        <f>'Từ khóa'!S15:S15</f>
        <v>Tham gia các buổi diễn thuyết</v>
      </c>
      <c r="AB96" s="679"/>
      <c r="AC96" s="679"/>
      <c r="AD96" s="679"/>
      <c r="AE96" s="146">
        <f t="shared" ca="1" si="6"/>
        <v>0</v>
      </c>
    </row>
    <row r="97" spans="1:31" x14ac:dyDescent="0.45">
      <c r="E97" s="604"/>
      <c r="F97" s="605"/>
      <c r="G97" s="557"/>
      <c r="H97" s="557"/>
      <c r="I97" s="557"/>
      <c r="J97" s="557"/>
      <c r="K97" s="150"/>
      <c r="L97" s="606"/>
      <c r="M97" s="606"/>
      <c r="N97" s="606"/>
      <c r="O97" s="606"/>
      <c r="P97" s="606"/>
      <c r="Q97" s="606"/>
      <c r="R97" s="606"/>
      <c r="S97" s="557"/>
      <c r="T97" s="557"/>
      <c r="U97" s="557"/>
      <c r="V97" s="557"/>
      <c r="W97" s="557"/>
      <c r="X97" s="557"/>
      <c r="Y97" s="558"/>
      <c r="AA97" s="678" t="str">
        <f>'Từ khóa'!S16:S16</f>
        <v>Chi phát triển bản thân khác</v>
      </c>
      <c r="AB97" s="679"/>
      <c r="AC97" s="679"/>
      <c r="AD97" s="679"/>
      <c r="AE97" s="146">
        <f t="shared" ca="1" si="6"/>
        <v>0</v>
      </c>
    </row>
    <row r="98" spans="1:31" x14ac:dyDescent="0.45">
      <c r="E98" s="604"/>
      <c r="F98" s="605"/>
      <c r="G98" s="557"/>
      <c r="H98" s="557"/>
      <c r="I98" s="557"/>
      <c r="J98" s="557"/>
      <c r="K98" s="150"/>
      <c r="L98" s="606"/>
      <c r="M98" s="606"/>
      <c r="N98" s="606"/>
      <c r="O98" s="606"/>
      <c r="P98" s="606"/>
      <c r="Q98" s="606"/>
      <c r="R98" s="606"/>
      <c r="S98" s="557"/>
      <c r="T98" s="557"/>
      <c r="U98" s="557"/>
      <c r="V98" s="557"/>
      <c r="W98" s="557"/>
      <c r="X98" s="557"/>
      <c r="Y98" s="558"/>
      <c r="AA98" s="678">
        <f>'Từ khóa'!S18:S18</f>
        <v>0</v>
      </c>
      <c r="AB98" s="679"/>
      <c r="AC98" s="679"/>
      <c r="AD98" s="679"/>
      <c r="AE98" s="146">
        <f t="shared" ca="1" si="6"/>
        <v>0</v>
      </c>
    </row>
    <row r="99" spans="1:31" x14ac:dyDescent="0.45">
      <c r="E99" s="604"/>
      <c r="F99" s="605"/>
      <c r="G99" s="557"/>
      <c r="H99" s="557"/>
      <c r="I99" s="557"/>
      <c r="J99" s="557"/>
      <c r="K99" s="150"/>
      <c r="L99" s="606"/>
      <c r="M99" s="606"/>
      <c r="N99" s="606"/>
      <c r="O99" s="606"/>
      <c r="P99" s="606"/>
      <c r="Q99" s="606"/>
      <c r="R99" s="606"/>
      <c r="S99" s="557"/>
      <c r="T99" s="557"/>
      <c r="U99" s="557"/>
      <c r="V99" s="557"/>
      <c r="W99" s="557"/>
      <c r="X99" s="557"/>
      <c r="Y99" s="558"/>
      <c r="AA99" s="678">
        <f>'Từ khóa'!S19:S19</f>
        <v>0</v>
      </c>
      <c r="AB99" s="679"/>
      <c r="AC99" s="679"/>
      <c r="AD99" s="679"/>
      <c r="AE99" s="146">
        <f t="shared" ca="1" si="6"/>
        <v>0</v>
      </c>
    </row>
    <row r="100" spans="1:31" x14ac:dyDescent="0.45">
      <c r="E100" s="604"/>
      <c r="F100" s="605"/>
      <c r="G100" s="557"/>
      <c r="H100" s="557"/>
      <c r="I100" s="557"/>
      <c r="J100" s="557"/>
      <c r="K100" s="150"/>
      <c r="L100" s="606"/>
      <c r="M100" s="606"/>
      <c r="N100" s="606"/>
      <c r="O100" s="606"/>
      <c r="P100" s="606"/>
      <c r="Q100" s="606"/>
      <c r="R100" s="606"/>
      <c r="S100" s="557"/>
      <c r="T100" s="557"/>
      <c r="U100" s="557"/>
      <c r="V100" s="557"/>
      <c r="W100" s="557"/>
      <c r="X100" s="557"/>
      <c r="Y100" s="558"/>
      <c r="AA100" s="678">
        <f>'Từ khóa'!S20:S20</f>
        <v>0</v>
      </c>
      <c r="AB100" s="679"/>
      <c r="AC100" s="679"/>
      <c r="AD100" s="679"/>
      <c r="AE100" s="146">
        <f t="shared" ca="1" si="6"/>
        <v>0</v>
      </c>
    </row>
    <row r="101" spans="1:31" ht="14.65" thickBot="1" x14ac:dyDescent="0.5">
      <c r="E101" s="604"/>
      <c r="F101" s="605"/>
      <c r="G101" s="557"/>
      <c r="H101" s="557"/>
      <c r="I101" s="557"/>
      <c r="J101" s="557"/>
      <c r="K101" s="150"/>
      <c r="L101" s="606"/>
      <c r="M101" s="606"/>
      <c r="N101" s="606"/>
      <c r="O101" s="606"/>
      <c r="P101" s="606"/>
      <c r="Q101" s="606"/>
      <c r="R101" s="606"/>
      <c r="S101" s="557"/>
      <c r="T101" s="557"/>
      <c r="U101" s="557"/>
      <c r="V101" s="557"/>
      <c r="W101" s="557"/>
      <c r="X101" s="557"/>
      <c r="Y101" s="558"/>
      <c r="AA101" s="676">
        <f>'Từ khóa'!S21:S21</f>
        <v>0</v>
      </c>
      <c r="AB101" s="677"/>
      <c r="AC101" s="677"/>
      <c r="AD101" s="677"/>
      <c r="AE101" s="147">
        <f t="shared" ca="1" si="6"/>
        <v>0</v>
      </c>
    </row>
    <row r="102" spans="1:31" ht="14.65" thickBot="1" x14ac:dyDescent="0.5">
      <c r="E102" s="604"/>
      <c r="F102" s="605"/>
      <c r="G102" s="557"/>
      <c r="H102" s="557"/>
      <c r="I102" s="557"/>
      <c r="J102" s="557"/>
      <c r="K102" s="150"/>
      <c r="L102" s="606"/>
      <c r="M102" s="606"/>
      <c r="N102" s="606"/>
      <c r="O102" s="606"/>
      <c r="P102" s="606"/>
      <c r="Q102" s="606"/>
      <c r="R102" s="606"/>
      <c r="S102" s="557"/>
      <c r="T102" s="557"/>
      <c r="U102" s="557"/>
      <c r="V102" s="557"/>
      <c r="W102" s="557"/>
      <c r="X102" s="557"/>
      <c r="Y102" s="558"/>
      <c r="AA102" s="598" t="s">
        <v>351</v>
      </c>
      <c r="AB102" s="599"/>
      <c r="AC102" s="599"/>
      <c r="AD102" s="599"/>
      <c r="AE102" s="262">
        <f ca="1">SUM(AE92:AE101)</f>
        <v>1.5</v>
      </c>
    </row>
    <row r="103" spans="1:31" x14ac:dyDescent="0.45">
      <c r="E103" s="604"/>
      <c r="F103" s="605"/>
      <c r="G103" s="557"/>
      <c r="H103" s="557"/>
      <c r="I103" s="557"/>
      <c r="J103" s="557"/>
      <c r="K103" s="150"/>
      <c r="L103" s="606"/>
      <c r="M103" s="606"/>
      <c r="N103" s="606"/>
      <c r="O103" s="606"/>
      <c r="P103" s="606"/>
      <c r="Q103" s="606"/>
      <c r="R103" s="606"/>
      <c r="S103" s="557"/>
      <c r="T103" s="557"/>
      <c r="U103" s="557"/>
      <c r="V103" s="557"/>
      <c r="W103" s="557"/>
      <c r="X103" s="557"/>
      <c r="Y103" s="558"/>
      <c r="AA103" s="600"/>
      <c r="AB103" s="600"/>
      <c r="AC103" s="600"/>
      <c r="AD103" s="600"/>
    </row>
    <row r="104" spans="1:31" x14ac:dyDescent="0.45">
      <c r="E104" s="604"/>
      <c r="F104" s="605"/>
      <c r="G104" s="557"/>
      <c r="H104" s="557"/>
      <c r="I104" s="557"/>
      <c r="J104" s="557"/>
      <c r="K104" s="150"/>
      <c r="L104" s="606"/>
      <c r="M104" s="606"/>
      <c r="N104" s="606"/>
      <c r="O104" s="606"/>
      <c r="P104" s="606"/>
      <c r="Q104" s="606"/>
      <c r="R104" s="606"/>
      <c r="S104" s="557"/>
      <c r="T104" s="557"/>
      <c r="U104" s="557"/>
      <c r="V104" s="557"/>
      <c r="W104" s="557"/>
      <c r="X104" s="557"/>
      <c r="Y104" s="558"/>
      <c r="AA104" s="600"/>
      <c r="AB104" s="600"/>
      <c r="AC104" s="600"/>
      <c r="AD104" s="600"/>
    </row>
    <row r="105" spans="1:31" ht="14.65" thickBot="1" x14ac:dyDescent="0.5">
      <c r="E105" s="607"/>
      <c r="F105" s="608"/>
      <c r="G105" s="546"/>
      <c r="H105" s="546"/>
      <c r="I105" s="546"/>
      <c r="J105" s="546"/>
      <c r="K105" s="151"/>
      <c r="L105" s="609"/>
      <c r="M105" s="609"/>
      <c r="N105" s="609"/>
      <c r="O105" s="609"/>
      <c r="P105" s="609"/>
      <c r="Q105" s="609"/>
      <c r="R105" s="609"/>
      <c r="S105" s="546"/>
      <c r="T105" s="546"/>
      <c r="U105" s="546"/>
      <c r="V105" s="546"/>
      <c r="W105" s="546"/>
      <c r="X105" s="546"/>
      <c r="Y105" s="547"/>
      <c r="AA105" s="600"/>
      <c r="AB105" s="600"/>
      <c r="AC105" s="600"/>
      <c r="AD105" s="600"/>
    </row>
    <row r="106" spans="1:31" ht="14.65" thickBot="1" x14ac:dyDescent="0.5">
      <c r="E106" s="601" t="s">
        <v>351</v>
      </c>
      <c r="F106" s="602"/>
      <c r="G106" s="602"/>
      <c r="H106" s="602"/>
      <c r="I106" s="602"/>
      <c r="J106" s="602"/>
      <c r="K106" s="603">
        <f>SUM(K91:K105)</f>
        <v>1.5</v>
      </c>
      <c r="L106" s="603"/>
      <c r="M106" s="603"/>
      <c r="N106" s="603"/>
      <c r="O106" s="603"/>
      <c r="P106" s="603"/>
      <c r="Q106" s="603"/>
      <c r="R106" s="603"/>
      <c r="S106" s="141"/>
      <c r="T106" s="141"/>
      <c r="U106" s="141"/>
      <c r="V106" s="141"/>
      <c r="W106" s="141"/>
      <c r="X106" s="141"/>
      <c r="Y106" s="142"/>
    </row>
    <row r="108" spans="1:31" ht="15" customHeight="1" x14ac:dyDescent="0.45">
      <c r="E108" s="532" t="s">
        <v>355</v>
      </c>
      <c r="F108" s="532"/>
      <c r="G108" s="532"/>
      <c r="H108" s="532"/>
      <c r="I108" s="532"/>
      <c r="J108" s="532"/>
      <c r="K108" s="532"/>
      <c r="L108" s="532"/>
      <c r="M108" s="532"/>
      <c r="N108" s="532"/>
      <c r="O108" s="532"/>
      <c r="P108" s="5"/>
      <c r="Q108" s="5"/>
      <c r="R108" s="5"/>
      <c r="S108" s="6"/>
      <c r="T108" s="6"/>
      <c r="U108" s="6"/>
      <c r="V108" s="6"/>
      <c r="W108" s="6"/>
      <c r="X108" s="6"/>
      <c r="Y108" s="6"/>
      <c r="Z108" s="6"/>
      <c r="AA108" s="6"/>
    </row>
    <row r="109" spans="1:31" s="8" customFormat="1" ht="15" customHeight="1" thickBot="1" x14ac:dyDescent="0.5">
      <c r="A109" s="7"/>
      <c r="B109" s="7"/>
      <c r="C109" s="7"/>
      <c r="E109" s="533"/>
      <c r="F109" s="533"/>
      <c r="G109" s="533"/>
      <c r="H109" s="533"/>
      <c r="I109" s="533"/>
      <c r="J109" s="533"/>
      <c r="K109" s="533"/>
      <c r="L109" s="533"/>
      <c r="M109" s="533"/>
      <c r="N109" s="533"/>
      <c r="O109" s="533"/>
      <c r="P109" s="9"/>
      <c r="Q109" s="9"/>
      <c r="R109" s="9"/>
      <c r="S109" s="10"/>
      <c r="T109" s="10"/>
      <c r="U109" s="10"/>
      <c r="V109" s="10"/>
      <c r="W109" s="10"/>
      <c r="X109" s="10"/>
      <c r="Y109" s="10"/>
      <c r="Z109" s="10"/>
      <c r="AA109" s="10"/>
    </row>
    <row r="110" spans="1:31" ht="14.65" thickBot="1" x14ac:dyDescent="0.5"/>
    <row r="111" spans="1:31" x14ac:dyDescent="0.45">
      <c r="E111" s="775" t="s">
        <v>356</v>
      </c>
      <c r="F111" s="776"/>
      <c r="G111" s="776"/>
      <c r="H111" s="776"/>
      <c r="I111" s="779" t="s">
        <v>325</v>
      </c>
      <c r="K111" s="775" t="s">
        <v>357</v>
      </c>
      <c r="L111" s="776"/>
      <c r="M111" s="776"/>
      <c r="N111" s="776"/>
      <c r="O111" s="779" t="s">
        <v>325</v>
      </c>
    </row>
    <row r="112" spans="1:31" x14ac:dyDescent="0.45">
      <c r="E112" s="777"/>
      <c r="F112" s="778"/>
      <c r="G112" s="778"/>
      <c r="H112" s="778"/>
      <c r="I112" s="780"/>
      <c r="K112" s="777"/>
      <c r="L112" s="778"/>
      <c r="M112" s="778"/>
      <c r="N112" s="778"/>
      <c r="O112" s="780"/>
    </row>
    <row r="113" spans="5:15" ht="15.75" customHeight="1" x14ac:dyDescent="0.45">
      <c r="E113" s="34" t="s">
        <v>364</v>
      </c>
      <c r="F113" s="34"/>
      <c r="I113" s="331"/>
      <c r="K113" s="766" t="s">
        <v>357</v>
      </c>
      <c r="L113" s="767"/>
      <c r="M113" s="767"/>
      <c r="N113" s="768"/>
      <c r="O113" s="331"/>
    </row>
    <row r="114" spans="5:15" ht="15.75" customHeight="1" x14ac:dyDescent="0.45">
      <c r="E114" s="796" t="str">
        <f>'Từ khóa'!W12</f>
        <v>ETF - ETFVFM</v>
      </c>
      <c r="F114" s="797"/>
      <c r="G114" s="797"/>
      <c r="H114" s="798"/>
      <c r="I114" s="331">
        <v>59</v>
      </c>
      <c r="K114" s="769" t="s">
        <v>171</v>
      </c>
      <c r="L114" s="770"/>
      <c r="M114" s="770"/>
      <c r="N114" s="771"/>
      <c r="O114" s="331">
        <v>654.29999999999995</v>
      </c>
    </row>
    <row r="115" spans="5:15" x14ac:dyDescent="0.45">
      <c r="E115" s="796" t="str">
        <f>'Từ khóa'!W13</f>
        <v>ETF - ETFFINLEAD</v>
      </c>
      <c r="F115" s="797"/>
      <c r="G115" s="797"/>
      <c r="H115" s="798"/>
      <c r="I115" s="331"/>
      <c r="K115" s="769" t="s">
        <v>172</v>
      </c>
      <c r="L115" s="770"/>
      <c r="M115" s="770"/>
      <c r="N115" s="771"/>
      <c r="O115" s="331">
        <v>44</v>
      </c>
    </row>
    <row r="116" spans="5:15" x14ac:dyDescent="0.45">
      <c r="E116" s="796" t="str">
        <f>'Từ khóa'!W14</f>
        <v>DCBC</v>
      </c>
      <c r="F116" s="797"/>
      <c r="G116" s="797"/>
      <c r="H116" s="798"/>
      <c r="I116" s="331"/>
      <c r="K116" s="769"/>
      <c r="L116" s="770"/>
      <c r="M116" s="770"/>
      <c r="N116" s="771"/>
      <c r="O116" s="331"/>
    </row>
    <row r="117" spans="5:15" x14ac:dyDescent="0.45">
      <c r="E117" s="312" t="str">
        <f>'Từ khóa'!W15</f>
        <v>DCDS</v>
      </c>
      <c r="F117" s="313"/>
      <c r="G117" s="313"/>
      <c r="H117" s="314"/>
      <c r="I117" s="331"/>
      <c r="K117" s="769"/>
      <c r="L117" s="770"/>
      <c r="M117" s="770"/>
      <c r="N117" s="771"/>
      <c r="O117" s="331"/>
    </row>
    <row r="118" spans="5:15" x14ac:dyDescent="0.45">
      <c r="E118" s="312" t="str">
        <f>'Từ khóa'!W16</f>
        <v>DCBF</v>
      </c>
      <c r="F118" s="313"/>
      <c r="G118" s="313"/>
      <c r="H118" s="314"/>
      <c r="I118" s="331"/>
      <c r="K118" s="769"/>
      <c r="L118" s="770"/>
      <c r="M118" s="770"/>
      <c r="N118" s="771"/>
      <c r="O118" s="331"/>
    </row>
    <row r="119" spans="5:15" x14ac:dyDescent="0.45">
      <c r="E119" s="312" t="str">
        <f>'Từ khóa'!W17</f>
        <v>Trái phiếu Techcombank</v>
      </c>
      <c r="F119" s="313"/>
      <c r="G119" s="313"/>
      <c r="H119" s="314"/>
      <c r="I119" s="331"/>
      <c r="K119" s="769"/>
      <c r="L119" s="770"/>
      <c r="M119" s="770"/>
      <c r="N119" s="771"/>
      <c r="O119" s="331"/>
    </row>
    <row r="120" spans="5:15" x14ac:dyDescent="0.45">
      <c r="E120" s="312" t="str">
        <f>'Từ khóa'!W18</f>
        <v>Trái phiếu FE Credit</v>
      </c>
      <c r="F120" s="313"/>
      <c r="G120" s="313"/>
      <c r="H120" s="314"/>
      <c r="I120" s="331"/>
      <c r="K120" s="769"/>
      <c r="L120" s="770"/>
      <c r="M120" s="770"/>
      <c r="N120" s="771"/>
      <c r="O120" s="331"/>
    </row>
    <row r="121" spans="5:15" x14ac:dyDescent="0.45">
      <c r="E121" s="312" t="str">
        <f>'Từ khóa'!W19</f>
        <v>Finhay</v>
      </c>
      <c r="F121" s="313"/>
      <c r="G121" s="313"/>
      <c r="H121" s="314"/>
      <c r="I121" s="331"/>
      <c r="K121" s="769"/>
      <c r="L121" s="770"/>
      <c r="M121" s="770"/>
      <c r="N121" s="771"/>
      <c r="O121" s="331"/>
    </row>
    <row r="122" spans="5:15" x14ac:dyDescent="0.45">
      <c r="E122" s="312" t="str">
        <f>'Từ khóa'!W20</f>
        <v>Bảo hiểm thuần túy</v>
      </c>
      <c r="F122" s="313"/>
      <c r="G122" s="313"/>
      <c r="H122" s="314"/>
      <c r="I122" s="331"/>
      <c r="K122" s="769"/>
      <c r="L122" s="770"/>
      <c r="M122" s="770"/>
      <c r="N122" s="771"/>
      <c r="O122" s="331"/>
    </row>
    <row r="123" spans="5:15" x14ac:dyDescent="0.45">
      <c r="E123" s="312" t="str">
        <f>'Từ khóa'!W21</f>
        <v>BH liên kết đầu tư</v>
      </c>
      <c r="F123" s="313"/>
      <c r="G123" s="313"/>
      <c r="H123" s="314"/>
      <c r="I123" s="331"/>
      <c r="K123" s="769"/>
      <c r="L123" s="770"/>
      <c r="M123" s="770"/>
      <c r="N123" s="771"/>
      <c r="O123" s="331"/>
    </row>
    <row r="124" spans="5:15" x14ac:dyDescent="0.45">
      <c r="E124" s="312" t="str">
        <f>'Từ khóa'!W22</f>
        <v>Tiền gửi ngân hàng</v>
      </c>
      <c r="F124" s="313"/>
      <c r="G124" s="313"/>
      <c r="H124" s="314"/>
      <c r="I124" s="331">
        <v>200</v>
      </c>
      <c r="K124" s="769"/>
      <c r="L124" s="770"/>
      <c r="M124" s="770"/>
      <c r="N124" s="771"/>
      <c r="O124" s="331"/>
    </row>
    <row r="125" spans="5:15" x14ac:dyDescent="0.45">
      <c r="E125" s="312" t="str">
        <f>'Từ khóa'!W23</f>
        <v>Cổ phiếu riêng lẻ</v>
      </c>
      <c r="F125" s="313"/>
      <c r="G125" s="313"/>
      <c r="H125" s="314"/>
      <c r="I125" s="331">
        <v>30</v>
      </c>
      <c r="K125" s="769"/>
      <c r="L125" s="770"/>
      <c r="M125" s="770"/>
      <c r="N125" s="771"/>
      <c r="O125" s="331"/>
    </row>
    <row r="126" spans="5:15" x14ac:dyDescent="0.45">
      <c r="E126" s="312" t="str">
        <f>'Từ khóa'!W24</f>
        <v>Sản phẩm 1</v>
      </c>
      <c r="F126" s="313"/>
      <c r="G126" s="313"/>
      <c r="H126" s="314"/>
      <c r="I126" s="331">
        <v>0</v>
      </c>
      <c r="K126" s="769"/>
      <c r="L126" s="770"/>
      <c r="M126" s="770"/>
      <c r="N126" s="771"/>
      <c r="O126" s="331"/>
    </row>
    <row r="127" spans="5:15" x14ac:dyDescent="0.45">
      <c r="E127" s="312" t="str">
        <f>'Từ khóa'!W25</f>
        <v>Sản phẩm 2</v>
      </c>
      <c r="F127" s="313"/>
      <c r="G127" s="313"/>
      <c r="H127" s="314"/>
      <c r="I127" s="331">
        <v>0</v>
      </c>
      <c r="K127" s="769"/>
      <c r="L127" s="770"/>
      <c r="M127" s="770"/>
      <c r="N127" s="771"/>
      <c r="O127" s="331"/>
    </row>
    <row r="128" spans="5:15" x14ac:dyDescent="0.45">
      <c r="E128" s="312" t="str">
        <f>'Từ khóa'!W26</f>
        <v>Sản phẩm 3</v>
      </c>
      <c r="F128" s="313"/>
      <c r="G128" s="313"/>
      <c r="H128" s="314"/>
      <c r="I128" s="331">
        <v>0</v>
      </c>
      <c r="K128" s="769"/>
      <c r="L128" s="770"/>
      <c r="M128" s="770"/>
      <c r="N128" s="771"/>
      <c r="O128" s="331"/>
    </row>
    <row r="129" spans="1:15" x14ac:dyDescent="0.45">
      <c r="E129" s="295" t="s">
        <v>371</v>
      </c>
      <c r="F129" s="296"/>
      <c r="G129" s="296"/>
      <c r="H129" s="297"/>
      <c r="I129" s="331">
        <v>1000</v>
      </c>
      <c r="K129" s="769"/>
      <c r="L129" s="770"/>
      <c r="M129" s="770"/>
      <c r="N129" s="771"/>
      <c r="O129" s="331"/>
    </row>
    <row r="130" spans="1:15" x14ac:dyDescent="0.45">
      <c r="E130" s="295"/>
      <c r="F130" s="296"/>
      <c r="G130" s="296"/>
      <c r="H130" s="297"/>
      <c r="I130" s="331"/>
      <c r="K130" s="769"/>
      <c r="L130" s="770"/>
      <c r="M130" s="770"/>
      <c r="N130" s="771"/>
      <c r="O130" s="331"/>
    </row>
    <row r="131" spans="1:15" x14ac:dyDescent="0.45">
      <c r="E131" s="295"/>
      <c r="F131" s="296"/>
      <c r="G131" s="296"/>
      <c r="H131" s="297"/>
      <c r="I131" s="331"/>
      <c r="K131" s="769"/>
      <c r="L131" s="770"/>
      <c r="M131" s="770"/>
      <c r="N131" s="771"/>
      <c r="O131" s="331"/>
    </row>
    <row r="132" spans="1:15" x14ac:dyDescent="0.45">
      <c r="E132" s="295"/>
      <c r="F132" s="296"/>
      <c r="G132" s="296"/>
      <c r="H132" s="297"/>
      <c r="I132" s="331"/>
      <c r="K132" s="769"/>
      <c r="L132" s="770"/>
      <c r="M132" s="770"/>
      <c r="N132" s="771"/>
      <c r="O132" s="331"/>
    </row>
    <row r="133" spans="1:15" x14ac:dyDescent="0.45">
      <c r="E133" s="295"/>
      <c r="F133" s="296"/>
      <c r="G133" s="296"/>
      <c r="H133" s="297"/>
      <c r="I133" s="331"/>
      <c r="K133" s="769"/>
      <c r="L133" s="770"/>
      <c r="M133" s="770"/>
      <c r="N133" s="771"/>
      <c r="O133" s="331"/>
    </row>
    <row r="134" spans="1:15" x14ac:dyDescent="0.45">
      <c r="E134" s="315" t="s">
        <v>365</v>
      </c>
      <c r="F134" s="316"/>
      <c r="G134" s="296"/>
      <c r="H134" s="297"/>
      <c r="I134" s="331"/>
      <c r="K134" s="315" t="s">
        <v>366</v>
      </c>
      <c r="L134" s="316"/>
      <c r="M134" s="316"/>
      <c r="N134" s="297"/>
      <c r="O134" s="331"/>
    </row>
    <row r="135" spans="1:15" x14ac:dyDescent="0.45">
      <c r="E135" s="772" t="s">
        <v>362</v>
      </c>
      <c r="F135" s="773"/>
      <c r="G135" s="773"/>
      <c r="H135" s="774"/>
      <c r="I135" s="332">
        <f>SUM('T1'!N37,'T2'!N37,'T3'!$N$37,'T4'!N37,'T5'!N37,'T6'!N37,'T7'!N37,'T8'!N37,'T9'!N37,'T10'!N37,'T11'!N37,'T12'!N37)</f>
        <v>329.4</v>
      </c>
      <c r="K135" s="772" t="s">
        <v>363</v>
      </c>
      <c r="L135" s="773"/>
      <c r="M135" s="773"/>
      <c r="N135" s="774"/>
      <c r="O135" s="332">
        <f>SUM('T1'!N83,'T2'!N83,'T3'!$N$83,'T4'!N83,'T5'!N83,'T6'!N83,'T7'!N83,'T8'!N83,'T9'!N83,'T10'!N83,'T11'!N83,'T12'!N83)</f>
        <v>223.75</v>
      </c>
    </row>
    <row r="136" spans="1:15" x14ac:dyDescent="0.45">
      <c r="E136" s="295"/>
      <c r="F136" s="296"/>
      <c r="G136" s="296"/>
      <c r="H136" s="297"/>
      <c r="I136" s="331"/>
      <c r="K136" s="295"/>
      <c r="L136" s="296"/>
      <c r="M136" s="296"/>
      <c r="N136" s="297"/>
      <c r="O136" s="331"/>
    </row>
    <row r="137" spans="1:15" x14ac:dyDescent="0.45">
      <c r="E137" s="295"/>
      <c r="F137" s="296"/>
      <c r="G137" s="296"/>
      <c r="H137" s="297"/>
      <c r="I137" s="331"/>
      <c r="K137" s="295"/>
      <c r="L137" s="296"/>
      <c r="M137" s="296"/>
      <c r="N137" s="297"/>
      <c r="O137" s="331"/>
    </row>
    <row r="138" spans="1:15" x14ac:dyDescent="0.45">
      <c r="E138" s="295"/>
      <c r="F138" s="296"/>
      <c r="G138" s="296"/>
      <c r="H138" s="297"/>
      <c r="I138" s="331"/>
      <c r="K138" s="295"/>
      <c r="L138" s="296"/>
      <c r="M138" s="296"/>
      <c r="N138" s="297"/>
      <c r="O138" s="331"/>
    </row>
    <row r="139" spans="1:15" x14ac:dyDescent="0.45">
      <c r="E139" s="769"/>
      <c r="F139" s="770"/>
      <c r="G139" s="770"/>
      <c r="H139" s="771"/>
      <c r="I139" s="331"/>
      <c r="K139" s="769"/>
      <c r="L139" s="770"/>
      <c r="M139" s="770"/>
      <c r="N139" s="771"/>
      <c r="O139" s="331"/>
    </row>
    <row r="140" spans="1:15" s="6" customFormat="1" ht="14.65" thickBot="1" x14ac:dyDescent="0.5">
      <c r="A140" s="268"/>
      <c r="B140" s="268"/>
      <c r="C140" s="268"/>
      <c r="D140" s="4"/>
      <c r="E140" s="786" t="s">
        <v>170</v>
      </c>
      <c r="F140" s="787"/>
      <c r="G140" s="787"/>
      <c r="H140" s="787"/>
      <c r="I140" s="333">
        <f>SUM(I113:I139)</f>
        <v>1618.4</v>
      </c>
      <c r="K140" s="786" t="s">
        <v>326</v>
      </c>
      <c r="L140" s="787"/>
      <c r="M140" s="787"/>
      <c r="N140" s="787"/>
      <c r="O140" s="334">
        <f>SUM(O113:O139)</f>
        <v>922.05</v>
      </c>
    </row>
    <row r="141" spans="1:15" ht="14.65" thickBot="1" x14ac:dyDescent="0.5"/>
    <row r="142" spans="1:15" x14ac:dyDescent="0.45">
      <c r="E142" s="791" t="s">
        <v>173</v>
      </c>
      <c r="F142" s="792"/>
      <c r="G142" s="792"/>
      <c r="H142" s="792"/>
      <c r="I142" s="792"/>
      <c r="J142" s="792"/>
      <c r="K142" s="792"/>
      <c r="L142" s="792"/>
      <c r="M142" s="792"/>
      <c r="N142" s="792"/>
      <c r="O142" s="294" t="s">
        <v>325</v>
      </c>
    </row>
    <row r="143" spans="1:15" ht="14.65" thickBot="1" x14ac:dyDescent="0.5">
      <c r="E143" s="793" t="s">
        <v>49</v>
      </c>
      <c r="F143" s="794"/>
      <c r="G143" s="794"/>
      <c r="H143" s="794"/>
      <c r="I143" s="794"/>
      <c r="J143" s="794"/>
      <c r="K143" s="794"/>
      <c r="L143" s="794"/>
      <c r="M143" s="794"/>
      <c r="N143" s="795"/>
      <c r="O143" s="269">
        <f>I140-O140</f>
        <v>696.35000000000014</v>
      </c>
    </row>
    <row r="145" spans="1:27" ht="15" customHeight="1" x14ac:dyDescent="0.45">
      <c r="E145" s="532" t="s">
        <v>178</v>
      </c>
      <c r="F145" s="532"/>
      <c r="G145" s="532"/>
      <c r="H145" s="532"/>
      <c r="I145" s="532"/>
      <c r="J145" s="532"/>
      <c r="K145" s="532"/>
      <c r="L145" s="532"/>
      <c r="M145" s="532"/>
      <c r="N145" s="5"/>
      <c r="O145" s="5"/>
      <c r="P145" s="5"/>
      <c r="Q145" s="5"/>
      <c r="R145" s="5"/>
      <c r="S145" s="6"/>
      <c r="T145" s="6"/>
      <c r="U145" s="6"/>
      <c r="V145" s="6"/>
      <c r="W145" s="6"/>
      <c r="X145" s="6"/>
      <c r="Y145" s="6"/>
      <c r="Z145" s="6"/>
      <c r="AA145" s="6"/>
    </row>
    <row r="146" spans="1:27" s="8" customFormat="1" ht="15" customHeight="1" thickBot="1" x14ac:dyDescent="0.5">
      <c r="A146" s="7"/>
      <c r="B146" s="7"/>
      <c r="C146" s="7"/>
      <c r="E146" s="533"/>
      <c r="F146" s="533"/>
      <c r="G146" s="533"/>
      <c r="H146" s="533"/>
      <c r="I146" s="533"/>
      <c r="J146" s="533"/>
      <c r="K146" s="533"/>
      <c r="L146" s="533"/>
      <c r="M146" s="533"/>
      <c r="N146" s="9"/>
      <c r="O146" s="9"/>
      <c r="P146" s="9"/>
      <c r="Q146" s="9"/>
      <c r="R146" s="9"/>
      <c r="S146" s="10"/>
      <c r="T146" s="10"/>
      <c r="U146" s="10"/>
      <c r="V146" s="10"/>
      <c r="W146" s="10"/>
      <c r="X146" s="10"/>
      <c r="Y146" s="10"/>
      <c r="Z146" s="10"/>
      <c r="AA146" s="10"/>
    </row>
    <row r="147" spans="1:27" ht="14.65" thickBot="1" x14ac:dyDescent="0.5"/>
    <row r="148" spans="1:27" ht="14.65" thickBot="1" x14ac:dyDescent="0.5">
      <c r="E148" s="788" t="s">
        <v>177</v>
      </c>
      <c r="F148" s="789"/>
      <c r="G148" s="789"/>
      <c r="H148" s="789"/>
      <c r="I148" s="789"/>
      <c r="J148" s="789"/>
      <c r="K148" s="789"/>
      <c r="L148" s="789"/>
      <c r="M148" s="789"/>
      <c r="N148" s="789"/>
      <c r="O148" s="789"/>
      <c r="P148" s="789"/>
      <c r="Q148" s="789"/>
      <c r="R148" s="789"/>
      <c r="S148" s="789"/>
      <c r="T148" s="789"/>
      <c r="U148" s="790"/>
    </row>
    <row r="149" spans="1:27" ht="18.75" customHeight="1" x14ac:dyDescent="0.45">
      <c r="E149" s="799" t="s">
        <v>176</v>
      </c>
      <c r="F149" s="800"/>
      <c r="G149" s="800"/>
      <c r="H149" s="169" t="s">
        <v>149</v>
      </c>
      <c r="I149" s="169" t="s">
        <v>150</v>
      </c>
      <c r="J149" s="169" t="s">
        <v>151</v>
      </c>
      <c r="K149" s="801" t="s">
        <v>152</v>
      </c>
      <c r="L149" s="802"/>
      <c r="M149" s="802"/>
      <c r="N149" s="802"/>
      <c r="O149" s="802"/>
      <c r="P149" s="803"/>
      <c r="Q149" s="804" t="s">
        <v>354</v>
      </c>
      <c r="R149" s="804"/>
      <c r="S149" s="804"/>
      <c r="T149" s="804"/>
      <c r="U149" s="805"/>
    </row>
    <row r="150" spans="1:27" x14ac:dyDescent="0.45">
      <c r="E150" s="781" t="str">
        <f>'Mục tiêu bản thân'!$I$8&amp;" "&amp;'Mục tiêu bản thân'!I9&amp;": "&amp;'Mục tiêu bản thân'!M9</f>
        <v>Mục tiêu trả nợ 1: Vay mua chung cư</v>
      </c>
      <c r="F150" s="782"/>
      <c r="G150" s="782"/>
      <c r="H150" s="155">
        <f>IF('Từ khóa'!$E$7='Mục tiêu tài chính'!$I$11,'Mục tiêu tài chính'!$O$16,0)</f>
        <v>0</v>
      </c>
      <c r="I150" s="156">
        <v>78</v>
      </c>
      <c r="J150" s="155">
        <f t="shared" ref="J150:J159" si="7">I150-H150</f>
        <v>78</v>
      </c>
      <c r="K150" s="783"/>
      <c r="L150" s="784"/>
      <c r="M150" s="784"/>
      <c r="N150" s="784"/>
      <c r="O150" s="784"/>
      <c r="P150" s="785"/>
      <c r="Q150" s="808"/>
      <c r="R150" s="808"/>
      <c r="S150" s="808"/>
      <c r="T150" s="808"/>
      <c r="U150" s="809"/>
    </row>
    <row r="151" spans="1:27" x14ac:dyDescent="0.45">
      <c r="E151" s="781" t="str">
        <f>'Mục tiêu bản thân'!$I$8&amp;" "&amp;'Mục tiêu bản thân'!I10&amp;": "&amp;'Mục tiêu bản thân'!M10</f>
        <v xml:space="preserve">Mục tiêu trả nợ 2: </v>
      </c>
      <c r="F151" s="782"/>
      <c r="G151" s="782"/>
      <c r="H151" s="155">
        <f>IF('Từ khóa'!$E$7='Mục tiêu tài chính'!$I$20,'Mục tiêu tài chính'!$O$25,0)</f>
        <v>0</v>
      </c>
      <c r="I151" s="156"/>
      <c r="J151" s="155">
        <f t="shared" si="7"/>
        <v>0</v>
      </c>
      <c r="K151" s="783"/>
      <c r="L151" s="784"/>
      <c r="M151" s="784"/>
      <c r="N151" s="784"/>
      <c r="O151" s="784"/>
      <c r="P151" s="785"/>
      <c r="Q151" s="808"/>
      <c r="R151" s="808"/>
      <c r="S151" s="808"/>
      <c r="T151" s="808"/>
      <c r="U151" s="809"/>
    </row>
    <row r="152" spans="1:27" x14ac:dyDescent="0.45">
      <c r="E152" s="781" t="str">
        <f>'Mục tiêu bản thân'!$I$8&amp;" "&amp;'Mục tiêu bản thân'!I11&amp;": "&amp;'Mục tiêu bản thân'!M11</f>
        <v xml:space="preserve">Mục tiêu trả nợ 3: </v>
      </c>
      <c r="F152" s="782"/>
      <c r="G152" s="782"/>
      <c r="H152" s="155">
        <f>IF('Từ khóa'!$E$7='Mục tiêu tài chính'!$I$29,'Mục tiêu tài chính'!$O$34,0)</f>
        <v>0</v>
      </c>
      <c r="I152" s="156">
        <v>0</v>
      </c>
      <c r="J152" s="155">
        <f t="shared" si="7"/>
        <v>0</v>
      </c>
      <c r="K152" s="783"/>
      <c r="L152" s="784"/>
      <c r="M152" s="784"/>
      <c r="N152" s="784"/>
      <c r="O152" s="784"/>
      <c r="P152" s="785"/>
      <c r="Q152" s="808"/>
      <c r="R152" s="808"/>
      <c r="S152" s="808"/>
      <c r="T152" s="808"/>
      <c r="U152" s="809"/>
    </row>
    <row r="153" spans="1:27" x14ac:dyDescent="0.45">
      <c r="E153" s="781" t="str">
        <f>'Mục tiêu bản thân'!$I$8&amp;" "&amp;'Mục tiêu bản thân'!I14&amp;": "&amp;'Mục tiêu bản thân'!M14</f>
        <v>Mục tiêu trả nợ 4: Du lịch xuyên Thái Lan</v>
      </c>
      <c r="F153" s="782"/>
      <c r="G153" s="782"/>
      <c r="H153" s="155">
        <f>IF('Từ khóa'!$E$7='Mục tiêu tài chính'!$I$39,'Mục tiêu tài chính'!$O$44,0)</f>
        <v>10.506509557146369</v>
      </c>
      <c r="I153" s="156">
        <v>18</v>
      </c>
      <c r="J153" s="155">
        <f t="shared" si="7"/>
        <v>7.4934904428536306</v>
      </c>
      <c r="K153" s="783"/>
      <c r="L153" s="784"/>
      <c r="M153" s="784"/>
      <c r="N153" s="784"/>
      <c r="O153" s="784"/>
      <c r="P153" s="785"/>
      <c r="Q153" s="808"/>
      <c r="R153" s="808"/>
      <c r="S153" s="808"/>
      <c r="T153" s="808"/>
      <c r="U153" s="809"/>
    </row>
    <row r="154" spans="1:27" x14ac:dyDescent="0.45">
      <c r="E154" s="781" t="str">
        <f>'Mục tiêu bản thân'!$I$8&amp;" "&amp;'Mục tiêu bản thân'!I15&amp;": "&amp;'Mục tiêu bản thân'!M15</f>
        <v>Mục tiêu trả nợ 5: Quỹ dự phòng tài chính</v>
      </c>
      <c r="F154" s="782"/>
      <c r="G154" s="782"/>
      <c r="H154" s="155">
        <f>IF('Từ khóa'!$E$7='Mục tiêu tài chính'!$I$48,'Mục tiêu tài chính'!$O$53,0)</f>
        <v>20.22405570228484</v>
      </c>
      <c r="I154" s="156"/>
      <c r="J154" s="155">
        <f t="shared" si="7"/>
        <v>-20.22405570228484</v>
      </c>
      <c r="K154" s="783"/>
      <c r="L154" s="784"/>
      <c r="M154" s="784"/>
      <c r="N154" s="784"/>
      <c r="O154" s="784"/>
      <c r="P154" s="785"/>
      <c r="Q154" s="808"/>
      <c r="R154" s="808"/>
      <c r="S154" s="808"/>
      <c r="T154" s="808"/>
      <c r="U154" s="809"/>
    </row>
    <row r="155" spans="1:27" x14ac:dyDescent="0.45">
      <c r="E155" s="781" t="str">
        <f>'Mục tiêu bản thân'!$I$8&amp;" "&amp;'Mục tiêu bản thân'!I16&amp;": "&amp;'Mục tiêu bản thân'!M16</f>
        <v>Mục tiêu trả nợ 6: Đám cưới</v>
      </c>
      <c r="F155" s="782"/>
      <c r="G155" s="782"/>
      <c r="H155" s="155">
        <f>IF('Từ khóa'!$E$7='Mục tiêu tài chính'!$I$57,'Mục tiêu tài chính'!$O$62,0)</f>
        <v>0</v>
      </c>
      <c r="I155" s="156"/>
      <c r="J155" s="155">
        <f t="shared" si="7"/>
        <v>0</v>
      </c>
      <c r="K155" s="783"/>
      <c r="L155" s="784"/>
      <c r="M155" s="784"/>
      <c r="N155" s="784"/>
      <c r="O155" s="784"/>
      <c r="P155" s="785"/>
      <c r="Q155" s="808"/>
      <c r="R155" s="808"/>
      <c r="S155" s="808"/>
      <c r="T155" s="808"/>
      <c r="U155" s="809"/>
    </row>
    <row r="156" spans="1:27" x14ac:dyDescent="0.45">
      <c r="E156" s="781" t="str">
        <f>'Mục tiêu bản thân'!$I$8&amp;" "&amp;'Mục tiêu bản thân'!I19&amp;": "&amp;'Mục tiêu bản thân'!M19</f>
        <v>Mục tiêu trả nợ 9: Cho con đi học đại học</v>
      </c>
      <c r="F156" s="782"/>
      <c r="G156" s="782"/>
      <c r="H156" s="155">
        <f>IF('Từ khóa'!$E$7='Mục tiêu tài chính'!$I$66,'Mục tiêu tài chính'!$O$90,0)</f>
        <v>0</v>
      </c>
      <c r="I156" s="156"/>
      <c r="J156" s="155">
        <f t="shared" si="7"/>
        <v>0</v>
      </c>
      <c r="K156" s="783"/>
      <c r="L156" s="784"/>
      <c r="M156" s="784"/>
      <c r="N156" s="784"/>
      <c r="O156" s="784"/>
      <c r="P156" s="785"/>
      <c r="Q156" s="808"/>
      <c r="R156" s="808"/>
      <c r="S156" s="808"/>
      <c r="T156" s="808"/>
      <c r="U156" s="809"/>
    </row>
    <row r="157" spans="1:27" x14ac:dyDescent="0.45">
      <c r="E157" s="781" t="str">
        <f>'Mục tiêu bản thân'!$I$8&amp;" "&amp;'Mục tiêu bản thân'!I20&amp;": "&amp;'Mục tiêu bản thân'!M20</f>
        <v>Mục tiêu trả nợ 10: Hưu trí</v>
      </c>
      <c r="F157" s="782"/>
      <c r="G157" s="782"/>
      <c r="H157" s="155">
        <f>IF('Từ khóa'!$E$7='Mục tiêu tài chính'!$I$75,'Mục tiêu tài chính'!$O$100,0)</f>
        <v>0</v>
      </c>
      <c r="I157" s="156"/>
      <c r="J157" s="155">
        <f t="shared" si="7"/>
        <v>0</v>
      </c>
      <c r="K157" s="783"/>
      <c r="L157" s="784"/>
      <c r="M157" s="784"/>
      <c r="N157" s="784"/>
      <c r="O157" s="784"/>
      <c r="P157" s="785"/>
      <c r="Q157" s="808"/>
      <c r="R157" s="808"/>
      <c r="S157" s="808"/>
      <c r="T157" s="808"/>
      <c r="U157" s="809"/>
    </row>
    <row r="158" spans="1:27" x14ac:dyDescent="0.45">
      <c r="E158" s="781" t="str">
        <f>'Mục tiêu bản thân'!$I$8&amp;" "&amp;'Mục tiêu bản thân'!I17&amp;": "&amp;'Mục tiêu bản thân'!M17</f>
        <v>Mục tiêu trả nợ 7: Khởi nghiệp</v>
      </c>
      <c r="F158" s="782"/>
      <c r="G158" s="782"/>
      <c r="H158" s="155">
        <f>IF('Từ khóa'!$E$7='Mục tiêu tài chính'!$I$84,'Mục tiêu tài chính'!$O$71,0)</f>
        <v>0</v>
      </c>
      <c r="I158" s="156"/>
      <c r="J158" s="155">
        <f t="shared" si="7"/>
        <v>0</v>
      </c>
      <c r="K158" s="783"/>
      <c r="L158" s="784"/>
      <c r="M158" s="784"/>
      <c r="N158" s="784"/>
      <c r="O158" s="784"/>
      <c r="P158" s="785"/>
      <c r="Q158" s="808"/>
      <c r="R158" s="808"/>
      <c r="S158" s="808"/>
      <c r="T158" s="808"/>
      <c r="U158" s="809"/>
    </row>
    <row r="159" spans="1:27" x14ac:dyDescent="0.45">
      <c r="E159" s="781" t="str">
        <f>'Mục tiêu bản thân'!$I$8&amp;" "&amp;'Mục tiêu bản thân'!I18&amp;": "&amp;'Mục tiêu bản thân'!M18</f>
        <v xml:space="preserve">Mục tiêu trả nợ 8: Mua chung cư </v>
      </c>
      <c r="F159" s="782"/>
      <c r="G159" s="782"/>
      <c r="H159" s="155">
        <f>IF('Từ khóa'!$E$7='Mục tiêu tài chính'!$I$94,'Mục tiêu tài chính'!$O$80,0)</f>
        <v>0</v>
      </c>
      <c r="I159" s="156"/>
      <c r="J159" s="155">
        <f t="shared" si="7"/>
        <v>0</v>
      </c>
      <c r="K159" s="783"/>
      <c r="L159" s="784"/>
      <c r="M159" s="784"/>
      <c r="N159" s="784"/>
      <c r="O159" s="784"/>
      <c r="P159" s="785"/>
      <c r="Q159" s="808"/>
      <c r="R159" s="808"/>
      <c r="S159" s="808"/>
      <c r="T159" s="808"/>
      <c r="U159" s="809"/>
    </row>
    <row r="160" spans="1:27" ht="14.65" thickBot="1" x14ac:dyDescent="0.5">
      <c r="E160" s="806" t="s">
        <v>175</v>
      </c>
      <c r="F160" s="807"/>
      <c r="G160" s="807"/>
      <c r="H160" s="158">
        <f>SUM(H150:H152)</f>
        <v>0</v>
      </c>
      <c r="I160" s="158">
        <f>SUM(I150:I152)</f>
        <v>78</v>
      </c>
      <c r="J160" s="158">
        <f>SUM(J150:J152)</f>
        <v>78</v>
      </c>
      <c r="K160" s="812"/>
      <c r="L160" s="813"/>
      <c r="M160" s="813"/>
      <c r="N160" s="813"/>
      <c r="O160" s="813"/>
      <c r="P160" s="814"/>
      <c r="Q160" s="810"/>
      <c r="R160" s="810"/>
      <c r="S160" s="810"/>
      <c r="T160" s="810"/>
      <c r="U160" s="811"/>
    </row>
    <row r="161" spans="5:21" x14ac:dyDescent="0.45">
      <c r="I161" s="157"/>
    </row>
    <row r="162" spans="5:21" ht="14.65" thickBot="1" x14ac:dyDescent="0.5"/>
    <row r="163" spans="5:21" ht="14.65" thickBot="1" x14ac:dyDescent="0.5">
      <c r="E163" s="788" t="str">
        <f xml:space="preserve"> "Theo dõi hiệu quả đầu tư theo tổng sản phẩm đầu tư năm " &amp;  'Từ khóa'!E7</f>
        <v>Theo dõi hiệu quả đầu tư theo tổng sản phẩm đầu tư năm 2023</v>
      </c>
      <c r="F163" s="789"/>
      <c r="G163" s="789"/>
      <c r="H163" s="789"/>
      <c r="I163" s="789"/>
      <c r="J163" s="789"/>
      <c r="K163" s="789"/>
      <c r="L163" s="789"/>
      <c r="M163" s="789"/>
      <c r="N163" s="789"/>
      <c r="O163" s="789"/>
      <c r="P163" s="789"/>
      <c r="Q163" s="789"/>
      <c r="R163" s="789"/>
      <c r="S163" s="789"/>
      <c r="T163" s="789"/>
      <c r="U163" s="790"/>
    </row>
    <row r="164" spans="5:21" ht="16.5" customHeight="1" x14ac:dyDescent="0.45">
      <c r="E164" s="799" t="s">
        <v>64</v>
      </c>
      <c r="F164" s="800"/>
      <c r="G164" s="800"/>
      <c r="H164" s="169" t="s">
        <v>149</v>
      </c>
      <c r="I164" s="169" t="s">
        <v>150</v>
      </c>
      <c r="J164" s="169" t="s">
        <v>151</v>
      </c>
      <c r="K164" s="801" t="s">
        <v>152</v>
      </c>
      <c r="L164" s="802"/>
      <c r="M164" s="802"/>
      <c r="N164" s="802"/>
      <c r="O164" s="802"/>
      <c r="P164" s="803"/>
      <c r="Q164" s="804" t="s">
        <v>354</v>
      </c>
      <c r="R164" s="804"/>
      <c r="S164" s="804"/>
      <c r="T164" s="804"/>
      <c r="U164" s="805"/>
    </row>
    <row r="165" spans="5:21" x14ac:dyDescent="0.45">
      <c r="E165" s="781" t="str">
        <f>'Từ khóa'!W12</f>
        <v>ETF - ETFVFM</v>
      </c>
      <c r="F165" s="782"/>
      <c r="G165" s="782"/>
      <c r="H165" s="155">
        <f>'Mục tiêu tài chính'!F186</f>
        <v>3.6306463426047935</v>
      </c>
      <c r="I165" s="156">
        <f t="shared" ref="I165:I179" si="8">SUMIF($E$114:$E$139,E165,$I$114:$I$139)</f>
        <v>59</v>
      </c>
      <c r="J165" s="155">
        <f t="shared" ref="J165:J179" si="9">I165-H165</f>
        <v>55.369353657395209</v>
      </c>
      <c r="K165" s="783"/>
      <c r="L165" s="784"/>
      <c r="M165" s="784"/>
      <c r="N165" s="784"/>
      <c r="O165" s="784"/>
      <c r="P165" s="785"/>
      <c r="Q165" s="808"/>
      <c r="R165" s="808"/>
      <c r="S165" s="808"/>
      <c r="T165" s="808"/>
      <c r="U165" s="809"/>
    </row>
    <row r="166" spans="5:21" x14ac:dyDescent="0.45">
      <c r="E166" s="781" t="str">
        <f>'Từ khóa'!W13</f>
        <v>ETF - ETFFINLEAD</v>
      </c>
      <c r="F166" s="782"/>
      <c r="G166" s="782"/>
      <c r="H166" s="155">
        <f>'Mục tiêu tài chính'!H186</f>
        <v>2.1013019114292741</v>
      </c>
      <c r="I166" s="156">
        <f t="shared" si="8"/>
        <v>0</v>
      </c>
      <c r="J166" s="155">
        <f t="shared" si="9"/>
        <v>-2.1013019114292741</v>
      </c>
      <c r="K166" s="783"/>
      <c r="L166" s="784"/>
      <c r="M166" s="784"/>
      <c r="N166" s="784"/>
      <c r="O166" s="784"/>
      <c r="P166" s="785"/>
      <c r="Q166" s="808"/>
      <c r="R166" s="808"/>
      <c r="S166" s="808"/>
      <c r="T166" s="808"/>
      <c r="U166" s="809"/>
    </row>
    <row r="167" spans="5:21" x14ac:dyDescent="0.45">
      <c r="E167" s="781" t="str">
        <f>'Từ khóa'!W14</f>
        <v>DCBC</v>
      </c>
      <c r="F167" s="782"/>
      <c r="G167" s="782"/>
      <c r="H167" s="155">
        <f>'Mục tiêu tài chính'!J186</f>
        <v>38.437452811727105</v>
      </c>
      <c r="I167" s="156">
        <f t="shared" si="8"/>
        <v>0</v>
      </c>
      <c r="J167" s="155">
        <f t="shared" si="9"/>
        <v>-38.437452811727105</v>
      </c>
      <c r="K167" s="783"/>
      <c r="L167" s="784"/>
      <c r="M167" s="784"/>
      <c r="N167" s="784"/>
      <c r="O167" s="784"/>
      <c r="P167" s="785"/>
      <c r="Q167" s="808"/>
      <c r="R167" s="808"/>
      <c r="S167" s="808"/>
      <c r="T167" s="808"/>
      <c r="U167" s="809"/>
    </row>
    <row r="168" spans="5:21" x14ac:dyDescent="0.45">
      <c r="E168" s="781" t="str">
        <f>'Từ khóa'!W15</f>
        <v>DCDS</v>
      </c>
      <c r="F168" s="782"/>
      <c r="G168" s="782"/>
      <c r="H168" s="155">
        <f>'Mục tiêu tài chính'!L186</f>
        <v>0</v>
      </c>
      <c r="I168" s="156">
        <f t="shared" si="8"/>
        <v>0</v>
      </c>
      <c r="J168" s="155">
        <f t="shared" si="9"/>
        <v>0</v>
      </c>
      <c r="K168" s="783"/>
      <c r="L168" s="784"/>
      <c r="M168" s="784"/>
      <c r="N168" s="784"/>
      <c r="O168" s="784"/>
      <c r="P168" s="785"/>
      <c r="Q168" s="808"/>
      <c r="R168" s="808"/>
      <c r="S168" s="808"/>
      <c r="T168" s="808"/>
      <c r="U168" s="809"/>
    </row>
    <row r="169" spans="5:21" x14ac:dyDescent="0.45">
      <c r="E169" s="781" t="str">
        <f>'Từ khóa'!W16</f>
        <v>DCBF</v>
      </c>
      <c r="F169" s="782"/>
      <c r="G169" s="782"/>
      <c r="H169" s="155">
        <f>'Mục tiêu tài chính'!N186</f>
        <v>0</v>
      </c>
      <c r="I169" s="156">
        <f t="shared" si="8"/>
        <v>0</v>
      </c>
      <c r="J169" s="155">
        <f t="shared" si="9"/>
        <v>0</v>
      </c>
      <c r="K169" s="783"/>
      <c r="L169" s="784"/>
      <c r="M169" s="784"/>
      <c r="N169" s="784"/>
      <c r="O169" s="784"/>
      <c r="P169" s="785"/>
      <c r="Q169" s="808"/>
      <c r="R169" s="808"/>
      <c r="S169" s="808"/>
      <c r="T169" s="808"/>
      <c r="U169" s="809"/>
    </row>
    <row r="170" spans="5:21" x14ac:dyDescent="0.45">
      <c r="E170" s="781" t="str">
        <f>'Từ khóa'!W17</f>
        <v>Trái phiếu Techcombank</v>
      </c>
      <c r="F170" s="782"/>
      <c r="G170" s="782"/>
      <c r="H170" s="155">
        <f>'Mục tiêu tài chính'!P186</f>
        <v>23.376008569428752</v>
      </c>
      <c r="I170" s="156">
        <f t="shared" si="8"/>
        <v>0</v>
      </c>
      <c r="J170" s="155">
        <f t="shared" si="9"/>
        <v>-23.376008569428752</v>
      </c>
      <c r="K170" s="783"/>
      <c r="L170" s="784"/>
      <c r="M170" s="784"/>
      <c r="N170" s="784"/>
      <c r="O170" s="784"/>
      <c r="P170" s="785"/>
      <c r="Q170" s="808"/>
      <c r="R170" s="808"/>
      <c r="S170" s="808"/>
      <c r="T170" s="808"/>
      <c r="U170" s="809"/>
    </row>
    <row r="171" spans="5:21" x14ac:dyDescent="0.45">
      <c r="E171" s="781" t="str">
        <f>'Từ khóa'!W18</f>
        <v>Trái phiếu FE Credit</v>
      </c>
      <c r="F171" s="782"/>
      <c r="G171" s="782"/>
      <c r="H171" s="155">
        <f>'Mục tiêu tài chính'!R186</f>
        <v>41.363845786871295</v>
      </c>
      <c r="I171" s="156">
        <f t="shared" si="8"/>
        <v>0</v>
      </c>
      <c r="J171" s="155">
        <f t="shared" si="9"/>
        <v>-41.363845786871295</v>
      </c>
      <c r="K171" s="783"/>
      <c r="L171" s="784"/>
      <c r="M171" s="784"/>
      <c r="N171" s="784"/>
      <c r="O171" s="784"/>
      <c r="P171" s="785"/>
      <c r="Q171" s="808"/>
      <c r="R171" s="808"/>
      <c r="S171" s="808"/>
      <c r="T171" s="808"/>
      <c r="U171" s="809"/>
    </row>
    <row r="172" spans="5:21" x14ac:dyDescent="0.45">
      <c r="E172" s="781" t="str">
        <f>'Từ khóa'!W19</f>
        <v>Finhay</v>
      </c>
      <c r="F172" s="782"/>
      <c r="G172" s="782"/>
      <c r="H172" s="155">
        <f>'Mục tiêu tài chính'!T186</f>
        <v>0</v>
      </c>
      <c r="I172" s="156">
        <f t="shared" si="8"/>
        <v>0</v>
      </c>
      <c r="J172" s="155">
        <f t="shared" si="9"/>
        <v>0</v>
      </c>
      <c r="K172" s="783"/>
      <c r="L172" s="784"/>
      <c r="M172" s="784"/>
      <c r="N172" s="784"/>
      <c r="O172" s="784"/>
      <c r="P172" s="785"/>
      <c r="Q172" s="808"/>
      <c r="R172" s="808"/>
      <c r="S172" s="808"/>
      <c r="T172" s="808"/>
      <c r="U172" s="809"/>
    </row>
    <row r="173" spans="5:21" x14ac:dyDescent="0.45">
      <c r="E173" s="781" t="str">
        <f>'Từ khóa'!W20</f>
        <v>Bảo hiểm thuần túy</v>
      </c>
      <c r="F173" s="782"/>
      <c r="G173" s="782"/>
      <c r="H173" s="155">
        <f>'Mục tiêu tài chính'!V186</f>
        <v>0</v>
      </c>
      <c r="I173" s="156">
        <f t="shared" si="8"/>
        <v>0</v>
      </c>
      <c r="J173" s="155">
        <f t="shared" si="9"/>
        <v>0</v>
      </c>
      <c r="K173" s="783"/>
      <c r="L173" s="784"/>
      <c r="M173" s="784"/>
      <c r="N173" s="784"/>
      <c r="O173" s="784"/>
      <c r="P173" s="785"/>
      <c r="Q173" s="808"/>
      <c r="R173" s="808"/>
      <c r="S173" s="808"/>
      <c r="T173" s="808"/>
      <c r="U173" s="809"/>
    </row>
    <row r="174" spans="5:21" x14ac:dyDescent="0.45">
      <c r="E174" s="781" t="str">
        <f>'Từ khóa'!W21</f>
        <v>BH liên kết đầu tư</v>
      </c>
      <c r="F174" s="782"/>
      <c r="G174" s="782"/>
      <c r="H174" s="155">
        <f>'Mục tiêu tài chính'!X186</f>
        <v>15.945706662353341</v>
      </c>
      <c r="I174" s="156">
        <f t="shared" si="8"/>
        <v>0</v>
      </c>
      <c r="J174" s="155">
        <f t="shared" si="9"/>
        <v>-15.945706662353341</v>
      </c>
      <c r="K174" s="783"/>
      <c r="L174" s="784"/>
      <c r="M174" s="784"/>
      <c r="N174" s="784"/>
      <c r="O174" s="784"/>
      <c r="P174" s="785"/>
      <c r="Q174" s="808"/>
      <c r="R174" s="808"/>
      <c r="S174" s="808"/>
      <c r="T174" s="808"/>
      <c r="U174" s="809"/>
    </row>
    <row r="175" spans="5:21" x14ac:dyDescent="0.45">
      <c r="E175" s="781" t="str">
        <f>'Từ khóa'!W22</f>
        <v>Tiền gửi ngân hàng</v>
      </c>
      <c r="F175" s="782"/>
      <c r="G175" s="782"/>
      <c r="H175" s="155">
        <f>'Mục tiêu tài chính'!Z186</f>
        <v>62.562807227797819</v>
      </c>
      <c r="I175" s="156">
        <f t="shared" si="8"/>
        <v>200</v>
      </c>
      <c r="J175" s="155">
        <f t="shared" si="9"/>
        <v>137.4371927722022</v>
      </c>
      <c r="K175" s="783"/>
      <c r="L175" s="784"/>
      <c r="M175" s="784"/>
      <c r="N175" s="784"/>
      <c r="O175" s="784"/>
      <c r="P175" s="785"/>
      <c r="Q175" s="808"/>
      <c r="R175" s="808"/>
      <c r="S175" s="808"/>
      <c r="T175" s="808"/>
      <c r="U175" s="809"/>
    </row>
    <row r="176" spans="5:21" x14ac:dyDescent="0.45">
      <c r="E176" s="781" t="str">
        <f>'Từ khóa'!W23</f>
        <v>Cổ phiếu riêng lẻ</v>
      </c>
      <c r="F176" s="782"/>
      <c r="G176" s="782"/>
      <c r="H176" s="155">
        <f>'Mục tiêu tài chính'!AB186</f>
        <v>0</v>
      </c>
      <c r="I176" s="156">
        <f t="shared" si="8"/>
        <v>30</v>
      </c>
      <c r="J176" s="155">
        <f t="shared" si="9"/>
        <v>30</v>
      </c>
      <c r="K176" s="783"/>
      <c r="L176" s="784"/>
      <c r="M176" s="784"/>
      <c r="N176" s="784"/>
      <c r="O176" s="784"/>
      <c r="P176" s="785"/>
      <c r="Q176" s="808"/>
      <c r="R176" s="808"/>
      <c r="S176" s="808"/>
      <c r="T176" s="808"/>
      <c r="U176" s="809"/>
    </row>
    <row r="177" spans="5:21" x14ac:dyDescent="0.45">
      <c r="E177" s="781" t="str">
        <f>'Từ khóa'!W24</f>
        <v>Sản phẩm 1</v>
      </c>
      <c r="F177" s="782"/>
      <c r="G177" s="782"/>
      <c r="H177" s="155">
        <f>'Mục tiêu tài chính'!AD186</f>
        <v>0</v>
      </c>
      <c r="I177" s="156">
        <f t="shared" si="8"/>
        <v>0</v>
      </c>
      <c r="J177" s="155">
        <f t="shared" si="9"/>
        <v>0</v>
      </c>
      <c r="K177" s="783"/>
      <c r="L177" s="784"/>
      <c r="M177" s="784"/>
      <c r="N177" s="784"/>
      <c r="O177" s="784"/>
      <c r="P177" s="785"/>
      <c r="Q177" s="808"/>
      <c r="R177" s="808"/>
      <c r="S177" s="808"/>
      <c r="T177" s="808"/>
      <c r="U177" s="809"/>
    </row>
    <row r="178" spans="5:21" x14ac:dyDescent="0.45">
      <c r="E178" s="781" t="str">
        <f>'Từ khóa'!W25</f>
        <v>Sản phẩm 2</v>
      </c>
      <c r="F178" s="782"/>
      <c r="G178" s="782"/>
      <c r="H178" s="155">
        <f>'Mục tiêu tài chính'!AF186</f>
        <v>0</v>
      </c>
      <c r="I178" s="156">
        <f t="shared" si="8"/>
        <v>0</v>
      </c>
      <c r="J178" s="155">
        <f t="shared" si="9"/>
        <v>0</v>
      </c>
      <c r="K178" s="783"/>
      <c r="L178" s="784"/>
      <c r="M178" s="784"/>
      <c r="N178" s="784"/>
      <c r="O178" s="784"/>
      <c r="P178" s="785"/>
      <c r="Q178" s="808"/>
      <c r="R178" s="808"/>
      <c r="S178" s="808"/>
      <c r="T178" s="808"/>
      <c r="U178" s="809"/>
    </row>
    <row r="179" spans="5:21" x14ac:dyDescent="0.45">
      <c r="E179" s="781" t="str">
        <f>'Từ khóa'!W26</f>
        <v>Sản phẩm 3</v>
      </c>
      <c r="F179" s="782"/>
      <c r="G179" s="782"/>
      <c r="H179" s="155">
        <f>'Mục tiêu tài chính'!AH186</f>
        <v>0</v>
      </c>
      <c r="I179" s="156">
        <f t="shared" si="8"/>
        <v>0</v>
      </c>
      <c r="J179" s="155">
        <f t="shared" si="9"/>
        <v>0</v>
      </c>
      <c r="K179" s="783"/>
      <c r="L179" s="784"/>
      <c r="M179" s="784"/>
      <c r="N179" s="784"/>
      <c r="O179" s="784"/>
      <c r="P179" s="785"/>
      <c r="Q179" s="808"/>
      <c r="R179" s="808"/>
      <c r="S179" s="808"/>
      <c r="T179" s="808"/>
      <c r="U179" s="809"/>
    </row>
    <row r="180" spans="5:21" ht="14.65" thickBot="1" x14ac:dyDescent="0.5">
      <c r="E180" s="806" t="s">
        <v>175</v>
      </c>
      <c r="F180" s="807"/>
      <c r="G180" s="807"/>
      <c r="H180" s="158">
        <f>SUM(H165:H179)</f>
        <v>187.41776931221239</v>
      </c>
      <c r="I180" s="158">
        <f t="shared" ref="I180:J180" si="10">SUM(I165:I179)</f>
        <v>289</v>
      </c>
      <c r="J180" s="158">
        <f t="shared" si="10"/>
        <v>101.58223068778763</v>
      </c>
      <c r="K180" s="812"/>
      <c r="L180" s="813"/>
      <c r="M180" s="813"/>
      <c r="N180" s="813"/>
      <c r="O180" s="813"/>
      <c r="P180" s="814"/>
      <c r="Q180" s="810"/>
      <c r="R180" s="810"/>
      <c r="S180" s="810"/>
      <c r="T180" s="810"/>
      <c r="U180" s="811"/>
    </row>
  </sheetData>
  <sheetProtection algorithmName="SHA-512" hashValue="vfMxP7Z/NKRS/FPv+MvBjct2o0FOyIdGmpDN3eZdZhnNa9an4IDXZenbQQWutoKmAOHBejFwiH8coctFkcIZMA==" saltValue="0SYM3Qa2VbJMr8gDQ/Xntg==" spinCount="100000" sheet="1" formatCells="0" formatColumns="0" formatRows="0" insertColumns="0" insertRows="0" insertHyperlinks="0" deleteColumns="0" deleteRows="0" sort="0" autoFilter="0" pivotTables="0"/>
  <mergeCells count="550">
    <mergeCell ref="E160:G160"/>
    <mergeCell ref="E152:G152"/>
    <mergeCell ref="K159:P159"/>
    <mergeCell ref="Q159:U159"/>
    <mergeCell ref="E159:G159"/>
    <mergeCell ref="K157:P157"/>
    <mergeCell ref="Q157:U157"/>
    <mergeCell ref="K139:N139"/>
    <mergeCell ref="Q151:U151"/>
    <mergeCell ref="E154:G154"/>
    <mergeCell ref="K152:P152"/>
    <mergeCell ref="Q152:U152"/>
    <mergeCell ref="K150:P150"/>
    <mergeCell ref="Q150:U150"/>
    <mergeCell ref="E151:G151"/>
    <mergeCell ref="K158:P158"/>
    <mergeCell ref="Q158:U158"/>
    <mergeCell ref="E157:G157"/>
    <mergeCell ref="K155:P155"/>
    <mergeCell ref="E158:G158"/>
    <mergeCell ref="K156:P156"/>
    <mergeCell ref="Q156:U156"/>
    <mergeCell ref="E155:G155"/>
    <mergeCell ref="K153:P153"/>
    <mergeCell ref="Q153:U153"/>
    <mergeCell ref="E156:G156"/>
    <mergeCell ref="K154:P154"/>
    <mergeCell ref="Q154:U154"/>
    <mergeCell ref="E153:G153"/>
    <mergeCell ref="K151:P151"/>
    <mergeCell ref="Q178:U178"/>
    <mergeCell ref="Q179:U179"/>
    <mergeCell ref="Q180:U180"/>
    <mergeCell ref="K180:P180"/>
    <mergeCell ref="Q172:U172"/>
    <mergeCell ref="Q173:U173"/>
    <mergeCell ref="Q174:U174"/>
    <mergeCell ref="Q175:U175"/>
    <mergeCell ref="Q176:U176"/>
    <mergeCell ref="Q177:U177"/>
    <mergeCell ref="Q166:U166"/>
    <mergeCell ref="Q167:U167"/>
    <mergeCell ref="Q168:U168"/>
    <mergeCell ref="Q169:U169"/>
    <mergeCell ref="Q170:U170"/>
    <mergeCell ref="Q171:U171"/>
    <mergeCell ref="K160:P160"/>
    <mergeCell ref="Q160:U160"/>
    <mergeCell ref="K171:P171"/>
    <mergeCell ref="K172:P172"/>
    <mergeCell ref="K173:P173"/>
    <mergeCell ref="Q155:U155"/>
    <mergeCell ref="E180:G180"/>
    <mergeCell ref="K164:P164"/>
    <mergeCell ref="Q164:U164"/>
    <mergeCell ref="K165:P165"/>
    <mergeCell ref="Q165:U165"/>
    <mergeCell ref="E164:G164"/>
    <mergeCell ref="E165:G165"/>
    <mergeCell ref="E166:G166"/>
    <mergeCell ref="E167:G167"/>
    <mergeCell ref="E168:G168"/>
    <mergeCell ref="E169:G169"/>
    <mergeCell ref="E170:G170"/>
    <mergeCell ref="E171:G171"/>
    <mergeCell ref="E172:G172"/>
    <mergeCell ref="E173:G173"/>
    <mergeCell ref="E174:G174"/>
    <mergeCell ref="E175:G175"/>
    <mergeCell ref="E176:G176"/>
    <mergeCell ref="E177:G177"/>
    <mergeCell ref="K178:P178"/>
    <mergeCell ref="K179:P179"/>
    <mergeCell ref="K174:P174"/>
    <mergeCell ref="K175:P175"/>
    <mergeCell ref="K176:P176"/>
    <mergeCell ref="E178:G178"/>
    <mergeCell ref="E179:G179"/>
    <mergeCell ref="K169:P169"/>
    <mergeCell ref="K170:P170"/>
    <mergeCell ref="K177:P177"/>
    <mergeCell ref="K140:N140"/>
    <mergeCell ref="K111:N112"/>
    <mergeCell ref="O111:O112"/>
    <mergeCell ref="K168:P168"/>
    <mergeCell ref="K167:P167"/>
    <mergeCell ref="K166:P166"/>
    <mergeCell ref="E163:U163"/>
    <mergeCell ref="E148:U148"/>
    <mergeCell ref="E145:M146"/>
    <mergeCell ref="E142:N142"/>
    <mergeCell ref="E143:N143"/>
    <mergeCell ref="E114:H114"/>
    <mergeCell ref="E115:H115"/>
    <mergeCell ref="E116:H116"/>
    <mergeCell ref="E149:G149"/>
    <mergeCell ref="K149:P149"/>
    <mergeCell ref="Q149:U149"/>
    <mergeCell ref="E150:G150"/>
    <mergeCell ref="E140:H140"/>
    <mergeCell ref="E135:H135"/>
    <mergeCell ref="E139:H139"/>
    <mergeCell ref="E106:J106"/>
    <mergeCell ref="K106:R106"/>
    <mergeCell ref="E111:H112"/>
    <mergeCell ref="I111:I112"/>
    <mergeCell ref="K118:N118"/>
    <mergeCell ref="K116:N116"/>
    <mergeCell ref="K117:N117"/>
    <mergeCell ref="K125:N125"/>
    <mergeCell ref="K126:N126"/>
    <mergeCell ref="K127:N127"/>
    <mergeCell ref="K128:N128"/>
    <mergeCell ref="K129:N129"/>
    <mergeCell ref="K131:N131"/>
    <mergeCell ref="K130:N130"/>
    <mergeCell ref="K132:N132"/>
    <mergeCell ref="K133:N133"/>
    <mergeCell ref="K135:N135"/>
    <mergeCell ref="K113:N113"/>
    <mergeCell ref="E108:O109"/>
    <mergeCell ref="K114:N114"/>
    <mergeCell ref="K115:N115"/>
    <mergeCell ref="K124:N124"/>
    <mergeCell ref="K119:N119"/>
    <mergeCell ref="K120:N120"/>
    <mergeCell ref="K121:N121"/>
    <mergeCell ref="K122:N122"/>
    <mergeCell ref="K123:N123"/>
    <mergeCell ref="S105:Y105"/>
    <mergeCell ref="AA105:AD105"/>
    <mergeCell ref="E104:F104"/>
    <mergeCell ref="G104:H104"/>
    <mergeCell ref="I104:J104"/>
    <mergeCell ref="L104:R104"/>
    <mergeCell ref="S104:Y104"/>
    <mergeCell ref="AA104:AD104"/>
    <mergeCell ref="E103:F103"/>
    <mergeCell ref="G103:H103"/>
    <mergeCell ref="I103:J103"/>
    <mergeCell ref="L103:R103"/>
    <mergeCell ref="S103:Y103"/>
    <mergeCell ref="AA103:AD103"/>
    <mergeCell ref="E105:F105"/>
    <mergeCell ref="G105:H105"/>
    <mergeCell ref="I105:J105"/>
    <mergeCell ref="L105:R105"/>
    <mergeCell ref="E102:F102"/>
    <mergeCell ref="G102:H102"/>
    <mergeCell ref="I102:J102"/>
    <mergeCell ref="L102:R102"/>
    <mergeCell ref="S102:Y102"/>
    <mergeCell ref="AA102:AD102"/>
    <mergeCell ref="E101:F101"/>
    <mergeCell ref="G101:H101"/>
    <mergeCell ref="I101:J101"/>
    <mergeCell ref="L101:R101"/>
    <mergeCell ref="S101:Y101"/>
    <mergeCell ref="AA101:AD101"/>
    <mergeCell ref="E100:F100"/>
    <mergeCell ref="G100:H100"/>
    <mergeCell ref="I100:J100"/>
    <mergeCell ref="L100:R100"/>
    <mergeCell ref="S100:Y100"/>
    <mergeCell ref="AA100:AD100"/>
    <mergeCell ref="E99:F99"/>
    <mergeCell ref="G99:H99"/>
    <mergeCell ref="I99:J99"/>
    <mergeCell ref="L99:R99"/>
    <mergeCell ref="S99:Y99"/>
    <mergeCell ref="AA99:AD99"/>
    <mergeCell ref="E98:F98"/>
    <mergeCell ref="G98:H98"/>
    <mergeCell ref="I98:J98"/>
    <mergeCell ref="L98:R98"/>
    <mergeCell ref="S98:Y98"/>
    <mergeCell ref="AA98:AD98"/>
    <mergeCell ref="E97:F97"/>
    <mergeCell ref="G97:H97"/>
    <mergeCell ref="I97:J97"/>
    <mergeCell ref="L97:R97"/>
    <mergeCell ref="S97:Y97"/>
    <mergeCell ref="AA97:AD97"/>
    <mergeCell ref="E96:F96"/>
    <mergeCell ref="G96:H96"/>
    <mergeCell ref="I96:J96"/>
    <mergeCell ref="L96:R96"/>
    <mergeCell ref="S96:Y96"/>
    <mergeCell ref="AA96:AD96"/>
    <mergeCell ref="E95:F95"/>
    <mergeCell ref="G95:H95"/>
    <mergeCell ref="I95:J95"/>
    <mergeCell ref="L95:R95"/>
    <mergeCell ref="S95:Y95"/>
    <mergeCell ref="AA95:AD95"/>
    <mergeCell ref="E94:F94"/>
    <mergeCell ref="G94:H94"/>
    <mergeCell ref="I94:J94"/>
    <mergeCell ref="L94:R94"/>
    <mergeCell ref="S94:Y94"/>
    <mergeCell ref="AA94:AD94"/>
    <mergeCell ref="E93:F93"/>
    <mergeCell ref="G93:H93"/>
    <mergeCell ref="I93:J93"/>
    <mergeCell ref="L93:R93"/>
    <mergeCell ref="S93:Y93"/>
    <mergeCell ref="AA93:AD93"/>
    <mergeCell ref="E92:F92"/>
    <mergeCell ref="G92:H92"/>
    <mergeCell ref="I92:J92"/>
    <mergeCell ref="L92:R92"/>
    <mergeCell ref="S92:Y92"/>
    <mergeCell ref="AA92:AD92"/>
    <mergeCell ref="AE90:AE91"/>
    <mergeCell ref="E91:F91"/>
    <mergeCell ref="G91:H91"/>
    <mergeCell ref="I91:J91"/>
    <mergeCell ref="L91:R91"/>
    <mergeCell ref="S91:Y91"/>
    <mergeCell ref="E83:M83"/>
    <mergeCell ref="E86:M87"/>
    <mergeCell ref="E89:Y89"/>
    <mergeCell ref="AA89:AE89"/>
    <mergeCell ref="E90:F90"/>
    <mergeCell ref="G90:H90"/>
    <mergeCell ref="I90:J90"/>
    <mergeCell ref="L90:R90"/>
    <mergeCell ref="S90:Y90"/>
    <mergeCell ref="AA90:AD91"/>
    <mergeCell ref="E81:F81"/>
    <mergeCell ref="G81:J81"/>
    <mergeCell ref="K81:M81"/>
    <mergeCell ref="E82:F82"/>
    <mergeCell ref="G82:J82"/>
    <mergeCell ref="K82:M82"/>
    <mergeCell ref="E79:F79"/>
    <mergeCell ref="G79:J79"/>
    <mergeCell ref="K79:M79"/>
    <mergeCell ref="E80:F80"/>
    <mergeCell ref="G80:J80"/>
    <mergeCell ref="K80:M80"/>
    <mergeCell ref="E77:F77"/>
    <mergeCell ref="G77:J77"/>
    <mergeCell ref="K77:M77"/>
    <mergeCell ref="E78:F78"/>
    <mergeCell ref="G78:J78"/>
    <mergeCell ref="K78:M78"/>
    <mergeCell ref="E75:F75"/>
    <mergeCell ref="G75:J75"/>
    <mergeCell ref="K75:M75"/>
    <mergeCell ref="E76:F76"/>
    <mergeCell ref="G76:J76"/>
    <mergeCell ref="K76:M76"/>
    <mergeCell ref="E73:F73"/>
    <mergeCell ref="G73:J73"/>
    <mergeCell ref="K73:M73"/>
    <mergeCell ref="E74:F74"/>
    <mergeCell ref="G74:J74"/>
    <mergeCell ref="K74:M74"/>
    <mergeCell ref="E71:F71"/>
    <mergeCell ref="G71:J71"/>
    <mergeCell ref="K71:M71"/>
    <mergeCell ref="E72:F72"/>
    <mergeCell ref="G72:J72"/>
    <mergeCell ref="K72:M72"/>
    <mergeCell ref="E69:F69"/>
    <mergeCell ref="G69:J69"/>
    <mergeCell ref="K69:M69"/>
    <mergeCell ref="E70:F70"/>
    <mergeCell ref="G70:J70"/>
    <mergeCell ref="K70:M70"/>
    <mergeCell ref="E67:F67"/>
    <mergeCell ref="G67:J67"/>
    <mergeCell ref="K67:M67"/>
    <mergeCell ref="E68:F68"/>
    <mergeCell ref="G68:J68"/>
    <mergeCell ref="K68:M68"/>
    <mergeCell ref="E65:F65"/>
    <mergeCell ref="G65:J65"/>
    <mergeCell ref="K65:M65"/>
    <mergeCell ref="E66:F66"/>
    <mergeCell ref="G66:J66"/>
    <mergeCell ref="K66:M66"/>
    <mergeCell ref="E63:F63"/>
    <mergeCell ref="G63:J63"/>
    <mergeCell ref="K63:M63"/>
    <mergeCell ref="E64:F64"/>
    <mergeCell ref="G64:J64"/>
    <mergeCell ref="K64:M64"/>
    <mergeCell ref="E61:F61"/>
    <mergeCell ref="G61:J61"/>
    <mergeCell ref="K61:M61"/>
    <mergeCell ref="E62:F62"/>
    <mergeCell ref="G62:J62"/>
    <mergeCell ref="K62:M62"/>
    <mergeCell ref="E59:F59"/>
    <mergeCell ref="G59:J59"/>
    <mergeCell ref="K59:M59"/>
    <mergeCell ref="E60:F60"/>
    <mergeCell ref="G60:J60"/>
    <mergeCell ref="K60:M60"/>
    <mergeCell ref="X57:Y57"/>
    <mergeCell ref="Z57:AE57"/>
    <mergeCell ref="AF57:AK57"/>
    <mergeCell ref="E58:F58"/>
    <mergeCell ref="G58:J58"/>
    <mergeCell ref="K58:M58"/>
    <mergeCell ref="E57:F57"/>
    <mergeCell ref="G57:J57"/>
    <mergeCell ref="K57:M57"/>
    <mergeCell ref="P57:S57"/>
    <mergeCell ref="T57:U57"/>
    <mergeCell ref="V57:W57"/>
    <mergeCell ref="Z55:AE55"/>
    <mergeCell ref="AF55:AK55"/>
    <mergeCell ref="E56:F56"/>
    <mergeCell ref="G56:J56"/>
    <mergeCell ref="K56:M56"/>
    <mergeCell ref="P56:S56"/>
    <mergeCell ref="T56:U56"/>
    <mergeCell ref="X56:Y56"/>
    <mergeCell ref="Z56:AE56"/>
    <mergeCell ref="AF56:AK56"/>
    <mergeCell ref="E55:F55"/>
    <mergeCell ref="G55:J55"/>
    <mergeCell ref="K55:M55"/>
    <mergeCell ref="P55:S55"/>
    <mergeCell ref="T55:U55"/>
    <mergeCell ref="X55:Y55"/>
    <mergeCell ref="Z53:AE53"/>
    <mergeCell ref="AF53:AK53"/>
    <mergeCell ref="E54:F54"/>
    <mergeCell ref="G54:J54"/>
    <mergeCell ref="K54:M54"/>
    <mergeCell ref="P54:S54"/>
    <mergeCell ref="T54:U54"/>
    <mergeCell ref="X54:Y54"/>
    <mergeCell ref="Z54:AE54"/>
    <mergeCell ref="AF54:AK54"/>
    <mergeCell ref="E53:F53"/>
    <mergeCell ref="G53:J53"/>
    <mergeCell ref="K53:M53"/>
    <mergeCell ref="P53:S53"/>
    <mergeCell ref="T53:U53"/>
    <mergeCell ref="X53:Y53"/>
    <mergeCell ref="Z51:AE51"/>
    <mergeCell ref="AF51:AK51"/>
    <mergeCell ref="E52:F52"/>
    <mergeCell ref="G52:J52"/>
    <mergeCell ref="K52:M52"/>
    <mergeCell ref="P52:S52"/>
    <mergeCell ref="T52:U52"/>
    <mergeCell ref="X52:Y52"/>
    <mergeCell ref="Z52:AE52"/>
    <mergeCell ref="AF52:AK52"/>
    <mergeCell ref="E51:F51"/>
    <mergeCell ref="G51:J51"/>
    <mergeCell ref="K51:M51"/>
    <mergeCell ref="P51:S51"/>
    <mergeCell ref="T51:U51"/>
    <mergeCell ref="X51:Y51"/>
    <mergeCell ref="Z49:AE49"/>
    <mergeCell ref="AF49:AK49"/>
    <mergeCell ref="E50:F50"/>
    <mergeCell ref="G50:J50"/>
    <mergeCell ref="K50:M50"/>
    <mergeCell ref="P50:S50"/>
    <mergeCell ref="T50:U50"/>
    <mergeCell ref="X50:Y50"/>
    <mergeCell ref="Z50:AE50"/>
    <mergeCell ref="AF50:AK50"/>
    <mergeCell ref="E49:F49"/>
    <mergeCell ref="G49:J49"/>
    <mergeCell ref="K49:M49"/>
    <mergeCell ref="P49:S49"/>
    <mergeCell ref="T49:U49"/>
    <mergeCell ref="X49:Y49"/>
    <mergeCell ref="Z47:AE47"/>
    <mergeCell ref="AF47:AK47"/>
    <mergeCell ref="E48:F48"/>
    <mergeCell ref="G48:J48"/>
    <mergeCell ref="K48:M48"/>
    <mergeCell ref="P48:S48"/>
    <mergeCell ref="T48:U48"/>
    <mergeCell ref="X48:Y48"/>
    <mergeCell ref="Z48:AE48"/>
    <mergeCell ref="AF48:AK48"/>
    <mergeCell ref="E47:F47"/>
    <mergeCell ref="G47:J47"/>
    <mergeCell ref="K47:M47"/>
    <mergeCell ref="P47:S47"/>
    <mergeCell ref="T47:U47"/>
    <mergeCell ref="X47:Y47"/>
    <mergeCell ref="Z45:AE45"/>
    <mergeCell ref="AF45:AK45"/>
    <mergeCell ref="E46:F46"/>
    <mergeCell ref="G46:J46"/>
    <mergeCell ref="K46:M46"/>
    <mergeCell ref="P46:S46"/>
    <mergeCell ref="T46:U46"/>
    <mergeCell ref="X46:Y46"/>
    <mergeCell ref="Z46:AE46"/>
    <mergeCell ref="AF46:AK46"/>
    <mergeCell ref="E45:F45"/>
    <mergeCell ref="G45:J45"/>
    <mergeCell ref="K45:M45"/>
    <mergeCell ref="P45:S45"/>
    <mergeCell ref="T45:U45"/>
    <mergeCell ref="X45:Y45"/>
    <mergeCell ref="E44:F44"/>
    <mergeCell ref="G44:J44"/>
    <mergeCell ref="K44:M44"/>
    <mergeCell ref="P44:S44"/>
    <mergeCell ref="T44:U44"/>
    <mergeCell ref="X44:Y44"/>
    <mergeCell ref="Z44:AE44"/>
    <mergeCell ref="AF44:AK44"/>
    <mergeCell ref="E43:F43"/>
    <mergeCell ref="G43:J43"/>
    <mergeCell ref="K43:M43"/>
    <mergeCell ref="P43:S43"/>
    <mergeCell ref="T43:U43"/>
    <mergeCell ref="X43:Y43"/>
    <mergeCell ref="E42:F42"/>
    <mergeCell ref="G42:J42"/>
    <mergeCell ref="K42:M42"/>
    <mergeCell ref="P42:S42"/>
    <mergeCell ref="T42:U42"/>
    <mergeCell ref="X42:Y42"/>
    <mergeCell ref="Z42:AE42"/>
    <mergeCell ref="AF42:AK42"/>
    <mergeCell ref="Z43:AE43"/>
    <mergeCell ref="AF43:AK43"/>
    <mergeCell ref="AF37:AK37"/>
    <mergeCell ref="E40:N40"/>
    <mergeCell ref="P40:AK40"/>
    <mergeCell ref="E41:F41"/>
    <mergeCell ref="G41:J41"/>
    <mergeCell ref="K41:M41"/>
    <mergeCell ref="P41:S41"/>
    <mergeCell ref="T41:U41"/>
    <mergeCell ref="V41:W41"/>
    <mergeCell ref="X41:Y41"/>
    <mergeCell ref="E37:M37"/>
    <mergeCell ref="P37:S37"/>
    <mergeCell ref="T37:U37"/>
    <mergeCell ref="V37:W37"/>
    <mergeCell ref="X37:Y37"/>
    <mergeCell ref="Z37:AE37"/>
    <mergeCell ref="Z41:AE41"/>
    <mergeCell ref="AF41:AK41"/>
    <mergeCell ref="Z35:AE35"/>
    <mergeCell ref="AF35:AK35"/>
    <mergeCell ref="E36:F36"/>
    <mergeCell ref="G36:J36"/>
    <mergeCell ref="K36:M36"/>
    <mergeCell ref="P36:S36"/>
    <mergeCell ref="T36:U36"/>
    <mergeCell ref="X36:Y36"/>
    <mergeCell ref="Z36:AE36"/>
    <mergeCell ref="AF36:AK36"/>
    <mergeCell ref="E35:F35"/>
    <mergeCell ref="G35:J35"/>
    <mergeCell ref="K35:M35"/>
    <mergeCell ref="P35:S35"/>
    <mergeCell ref="T35:U35"/>
    <mergeCell ref="X35:Y35"/>
    <mergeCell ref="Z33:AE33"/>
    <mergeCell ref="AF33:AK33"/>
    <mergeCell ref="E34:F34"/>
    <mergeCell ref="G34:J34"/>
    <mergeCell ref="K34:M34"/>
    <mergeCell ref="P34:S34"/>
    <mergeCell ref="T34:U34"/>
    <mergeCell ref="X34:Y34"/>
    <mergeCell ref="Z34:AE34"/>
    <mergeCell ref="AF34:AK34"/>
    <mergeCell ref="E33:F33"/>
    <mergeCell ref="G33:J33"/>
    <mergeCell ref="K33:M33"/>
    <mergeCell ref="P33:S33"/>
    <mergeCell ref="T33:U33"/>
    <mergeCell ref="X33:Y33"/>
    <mergeCell ref="Z31:AE31"/>
    <mergeCell ref="AF31:AK31"/>
    <mergeCell ref="E32:F32"/>
    <mergeCell ref="G32:J32"/>
    <mergeCell ref="K32:M32"/>
    <mergeCell ref="P32:S32"/>
    <mergeCell ref="T32:U32"/>
    <mergeCell ref="X32:Y32"/>
    <mergeCell ref="Z32:AE32"/>
    <mergeCell ref="AF32:AK32"/>
    <mergeCell ref="E31:F31"/>
    <mergeCell ref="G31:J31"/>
    <mergeCell ref="K31:M31"/>
    <mergeCell ref="P31:S31"/>
    <mergeCell ref="T31:U31"/>
    <mergeCell ref="X31:Y31"/>
    <mergeCell ref="Z29:AE29"/>
    <mergeCell ref="AF29:AK29"/>
    <mergeCell ref="E30:F30"/>
    <mergeCell ref="G30:J30"/>
    <mergeCell ref="K30:M30"/>
    <mergeCell ref="P30:S30"/>
    <mergeCell ref="T30:U30"/>
    <mergeCell ref="X30:Y30"/>
    <mergeCell ref="Z30:AE30"/>
    <mergeCell ref="AF30:AK30"/>
    <mergeCell ref="E29:F29"/>
    <mergeCell ref="G29:J29"/>
    <mergeCell ref="K29:M29"/>
    <mergeCell ref="P29:S29"/>
    <mergeCell ref="T29:U29"/>
    <mergeCell ref="X29:Y29"/>
    <mergeCell ref="E27:F27"/>
    <mergeCell ref="G27:J27"/>
    <mergeCell ref="K27:M27"/>
    <mergeCell ref="P27:S27"/>
    <mergeCell ref="T27:U27"/>
    <mergeCell ref="X27:Y27"/>
    <mergeCell ref="Z27:AE27"/>
    <mergeCell ref="AF27:AK27"/>
    <mergeCell ref="E28:F28"/>
    <mergeCell ref="G28:J28"/>
    <mergeCell ref="K28:M28"/>
    <mergeCell ref="P28:S28"/>
    <mergeCell ref="T28:U28"/>
    <mergeCell ref="X28:Y28"/>
    <mergeCell ref="Z28:AE28"/>
    <mergeCell ref="AF28:AK28"/>
    <mergeCell ref="P25:AK25"/>
    <mergeCell ref="E26:F26"/>
    <mergeCell ref="G26:J26"/>
    <mergeCell ref="K26:M26"/>
    <mergeCell ref="P26:S26"/>
    <mergeCell ref="T26:U26"/>
    <mergeCell ref="V26:W26"/>
    <mergeCell ref="X26:Y26"/>
    <mergeCell ref="Z26:AE26"/>
    <mergeCell ref="AF26:AK26"/>
    <mergeCell ref="E1:K3"/>
    <mergeCell ref="E6:M7"/>
    <mergeCell ref="E9:H12"/>
    <mergeCell ref="I9:I12"/>
    <mergeCell ref="E14:H17"/>
    <mergeCell ref="I14:I17"/>
    <mergeCell ref="E19:H22"/>
    <mergeCell ref="I19:I22"/>
    <mergeCell ref="E25:N25"/>
  </mergeCells>
  <conditionalFormatting sqref="J150:J159 J165:J179">
    <cfRule type="cellIs" dxfId="2" priority="2" operator="lessThan">
      <formula>0</formula>
    </cfRule>
  </conditionalFormatting>
  <conditionalFormatting sqref="X27:Y36">
    <cfRule type="cellIs" dxfId="1" priority="4" operator="lessThan">
      <formula>0</formula>
    </cfRule>
  </conditionalFormatting>
  <conditionalFormatting sqref="X42:Y56">
    <cfRule type="cellIs" dxfId="0" priority="5" operator="lessThan">
      <formula>0</formula>
    </cfRule>
  </conditionalFormatting>
  <conditionalFormatting sqref="AE92:AE101">
    <cfRule type="dataBar" priority="3">
      <dataBar>
        <cfvo type="min"/>
        <cfvo type="max"/>
        <color theme="6" tint="0.39997558519241921"/>
      </dataBar>
      <extLst>
        <ext xmlns:x14="http://schemas.microsoft.com/office/spreadsheetml/2009/9/main" uri="{B025F937-C7B1-47D3-B67F-A62EFF666E3E}">
          <x14:id>{7BD2AD45-717C-4BB4-B86F-CC84E4A5F9C0}</x14:id>
        </ext>
      </extLst>
    </cfRule>
  </conditionalFormatting>
  <dataValidations xWindow="537" yWindow="491" count="4">
    <dataValidation allowBlank="1" showInputMessage="1" showErrorMessage="1" prompt="Nhập dữ liệu" sqref="E60:F82 E95:F105 K60:M82 K118:O139 K27:N36 I91:Y105 I150:I159 L115:N115 O114:O115 K114:K115 E129:H133 E134:I139 I114:I133 N42:N82" xr:uid="{00000000-0002-0000-1200-000000000000}"/>
    <dataValidation allowBlank="1" showInputMessage="1" showErrorMessage="1" prompt="Xử lý dữ liệu thủ công" sqref="I165:I179" xr:uid="{00000000-0002-0000-1200-000001000000}"/>
    <dataValidation allowBlank="1" showInputMessage="1" showErrorMessage="1" prompt="Xem kết quả" sqref="E165:H179 J165:J179 E150:H159 J150:J159" xr:uid="{00000000-0002-0000-1200-000002000000}"/>
    <dataValidation allowBlank="1" showInputMessage="1" showErrorMessage="1" prompt="Các ô này không nên xóa" sqref="E114:H128" xr:uid="{00000000-0002-0000-1200-000003000000}"/>
  </dataValidations>
  <hyperlinks>
    <hyperlink ref="F4" location="'T12'!E7" display="Phần 1" xr:uid="{00000000-0004-0000-1200-000000000000}"/>
    <hyperlink ref="G4" location="'T12'!E87" display="Phần 2" xr:uid="{00000000-0004-0000-1200-000001000000}"/>
    <hyperlink ref="H4" location="'T12'!E109" display="Phần 3" xr:uid="{00000000-0004-0000-1200-000002000000}"/>
    <hyperlink ref="I4" location="'T12'!E144" display="Phần 4" xr:uid="{00000000-0004-0000-1200-000003000000}"/>
  </hyperlinks>
  <pageMargins left="0.7" right="0.7" top="0.75" bottom="0.75" header="0.3" footer="0.3"/>
  <pageSetup scale="31" orientation="portrait" r:id="rId1"/>
  <drawing r:id="rId2"/>
  <extLst>
    <ext xmlns:x14="http://schemas.microsoft.com/office/spreadsheetml/2009/9/main" uri="{78C0D931-6437-407d-A8EE-F0AAD7539E65}">
      <x14:conditionalFormattings>
        <x14:conditionalFormatting xmlns:xm="http://schemas.microsoft.com/office/excel/2006/main">
          <x14:cfRule type="dataBar" id="{7BD2AD45-717C-4BB4-B86F-CC84E4A5F9C0}">
            <x14:dataBar minLength="0" maxLength="100" gradient="0">
              <x14:cfvo type="autoMin"/>
              <x14:cfvo type="autoMax"/>
              <x14:negativeFillColor rgb="FFFF0000"/>
              <x14:axisColor rgb="FF000000"/>
            </x14:dataBar>
          </x14:cfRule>
          <xm:sqref>AE92:AE101</xm:sqref>
        </x14:conditionalFormatting>
      </x14:conditionalFormattings>
    </ext>
    <ext xmlns:x14="http://schemas.microsoft.com/office/spreadsheetml/2009/9/main" uri="{CCE6A557-97BC-4b89-ADB6-D9C93CAAB3DF}">
      <x14:dataValidations xmlns:xm="http://schemas.microsoft.com/office/excel/2006/main" xWindow="537" yWindow="491" count="3">
        <x14:dataValidation type="list" allowBlank="1" showInputMessage="1" showErrorMessage="1" prompt="Chọn dữ liệu" xr:uid="{00000000-0002-0000-1200-000004000000}">
          <x14:formula1>
            <xm:f>'Từ khóa'!$F$12:$F$26</xm:f>
          </x14:formula1>
          <xm:sqref>G42:J82</xm:sqref>
        </x14:dataValidation>
        <x14:dataValidation type="list" allowBlank="1" showInputMessage="1" showErrorMessage="1" prompt="Chọn dữ liệu" xr:uid="{00000000-0002-0000-1200-000005000000}">
          <x14:formula1>
            <xm:f>'Từ khóa'!$M$12:$M$19</xm:f>
          </x14:formula1>
          <xm:sqref>G27:J36</xm:sqref>
        </x14:dataValidation>
        <x14:dataValidation type="list" allowBlank="1" showInputMessage="1" showErrorMessage="1" prompt="Chọn dữ liệu" xr:uid="{00000000-0002-0000-1200-000006000000}">
          <x14:formula1>
            <xm:f>'Từ khóa'!$S$12:$S$21</xm:f>
          </x14:formula1>
          <xm:sqref>G91:H105</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A1:W133"/>
  <sheetViews>
    <sheetView showGridLines="0" zoomScaleNormal="100" workbookViewId="0">
      <pane ySplit="1" topLeftCell="A75" activePane="bottomLeft" state="frozen"/>
      <selection activeCell="H2" sqref="H2"/>
      <selection pane="bottomLeft" activeCell="C1" sqref="C1"/>
    </sheetView>
  </sheetViews>
  <sheetFormatPr defaultColWidth="0" defaultRowHeight="15.75" zeroHeight="1" x14ac:dyDescent="0.5"/>
  <cols>
    <col min="1" max="1" width="6.19921875" style="118" customWidth="1"/>
    <col min="2" max="2" width="137.53125" style="103" customWidth="1"/>
    <col min="3" max="3" width="24.796875" style="107" bestFit="1" customWidth="1"/>
    <col min="4" max="4" width="3" style="107" hidden="1" customWidth="1"/>
    <col min="5" max="5" width="2" style="103" hidden="1" customWidth="1"/>
    <col min="6" max="6" width="3.796875" style="103" hidden="1" customWidth="1"/>
    <col min="7" max="7" width="10.19921875" style="103" hidden="1" customWidth="1"/>
    <col min="8" max="8" width="15.19921875" style="103" hidden="1" customWidth="1"/>
    <col min="9" max="12" width="10.19921875" style="103" hidden="1" customWidth="1"/>
    <col min="13" max="13" width="3" style="103" hidden="1" customWidth="1"/>
    <col min="14" max="14" width="15.19921875" style="103" hidden="1" customWidth="1"/>
    <col min="15" max="15" width="10.796875" style="103" hidden="1" customWidth="1"/>
    <col min="16" max="16" width="11.796875" style="103" hidden="1" customWidth="1"/>
    <col min="17" max="17" width="9.19921875" style="103" hidden="1" customWidth="1"/>
    <col min="18" max="18" width="15.19921875" style="103" hidden="1" customWidth="1"/>
    <col min="19" max="20" width="10.19921875" style="103" hidden="1" customWidth="1"/>
    <col min="21" max="21" width="16.19921875" style="103" hidden="1" customWidth="1"/>
    <col min="22" max="22" width="43" style="103" hidden="1" customWidth="1"/>
    <col min="23" max="23" width="23.19921875" style="103" hidden="1" customWidth="1"/>
    <col min="24" max="16384" width="10.19921875" style="103" hidden="1"/>
  </cols>
  <sheetData>
    <row r="1" spans="1:20" s="92" customFormat="1" ht="36" customHeight="1" thickBot="1" x14ac:dyDescent="0.8">
      <c r="A1" s="91" t="s">
        <v>312</v>
      </c>
      <c r="C1" s="90" t="s">
        <v>311</v>
      </c>
      <c r="D1" s="83"/>
    </row>
    <row r="2" spans="1:20" s="97" customFormat="1" ht="25.9" thickBot="1" x14ac:dyDescent="0.8">
      <c r="A2" s="93"/>
      <c r="B2" s="159" t="s">
        <v>310</v>
      </c>
      <c r="C2" s="94"/>
      <c r="D2" s="95"/>
      <c r="E2" s="96"/>
    </row>
    <row r="3" spans="1:20" ht="16.149999999999999" thickBot="1" x14ac:dyDescent="0.55000000000000004">
      <c r="A3" s="98"/>
      <c r="B3" s="99" t="s">
        <v>48</v>
      </c>
      <c r="C3" s="100" t="s">
        <v>245</v>
      </c>
      <c r="D3" s="101"/>
      <c r="E3" s="815" t="s">
        <v>309</v>
      </c>
      <c r="F3" s="815"/>
      <c r="G3" s="102"/>
      <c r="H3" s="102"/>
      <c r="I3" s="102"/>
      <c r="J3" s="102"/>
      <c r="K3" s="102"/>
      <c r="L3" s="102"/>
      <c r="M3" s="102"/>
      <c r="N3" s="102"/>
      <c r="O3" s="102"/>
      <c r="P3" s="102"/>
      <c r="Q3" s="102"/>
      <c r="R3" s="102"/>
      <c r="S3" s="102"/>
      <c r="T3" s="102"/>
    </row>
    <row r="4" spans="1:20" s="177" customFormat="1" x14ac:dyDescent="0.5">
      <c r="A4" s="172">
        <v>1</v>
      </c>
      <c r="B4" s="104" t="s">
        <v>308</v>
      </c>
      <c r="C4" s="173"/>
      <c r="D4" s="174"/>
      <c r="E4" s="175"/>
      <c r="F4" s="176"/>
      <c r="G4" s="176"/>
      <c r="H4" s="176"/>
      <c r="I4" s="176"/>
      <c r="J4" s="176"/>
      <c r="K4" s="176"/>
      <c r="L4" s="176"/>
      <c r="M4" s="176"/>
      <c r="N4" s="176"/>
      <c r="O4" s="176"/>
      <c r="P4" s="176"/>
      <c r="Q4" s="176"/>
      <c r="R4" s="176"/>
      <c r="S4" s="822"/>
      <c r="T4" s="176"/>
    </row>
    <row r="5" spans="1:20" s="171" customFormat="1" x14ac:dyDescent="0.5">
      <c r="A5" s="178"/>
      <c r="B5" s="106">
        <v>1</v>
      </c>
      <c r="C5" s="179"/>
      <c r="D5" s="180"/>
      <c r="E5" s="181">
        <v>1</v>
      </c>
      <c r="F5" s="170">
        <f>IF(OR(C5="X",C5="x"),E5,0)</f>
        <v>0</v>
      </c>
      <c r="G5" s="170"/>
      <c r="H5" s="170"/>
      <c r="I5" s="170"/>
      <c r="J5" s="170"/>
      <c r="K5" s="170"/>
      <c r="L5" s="170"/>
      <c r="M5" s="170"/>
      <c r="N5" s="170"/>
      <c r="O5" s="170"/>
      <c r="P5" s="170"/>
      <c r="Q5" s="170"/>
      <c r="R5" s="170"/>
      <c r="S5" s="822"/>
      <c r="T5" s="170"/>
    </row>
    <row r="6" spans="1:20" s="171" customFormat="1" x14ac:dyDescent="0.5">
      <c r="A6" s="178"/>
      <c r="B6" s="106">
        <v>2</v>
      </c>
      <c r="C6" s="179"/>
      <c r="D6" s="180"/>
      <c r="E6" s="181">
        <v>2</v>
      </c>
      <c r="F6" s="170">
        <f>IF(OR(C6="X",C6="x"),E6,0)</f>
        <v>0</v>
      </c>
      <c r="G6" s="170"/>
      <c r="H6" s="170"/>
      <c r="I6" s="170"/>
      <c r="J6" s="170"/>
      <c r="K6" s="170"/>
      <c r="L6" s="170"/>
      <c r="M6" s="170"/>
      <c r="N6" s="170"/>
      <c r="O6" s="170"/>
      <c r="P6" s="170"/>
      <c r="Q6" s="170"/>
      <c r="R6" s="170"/>
      <c r="S6" s="822"/>
      <c r="T6" s="170"/>
    </row>
    <row r="7" spans="1:20" s="171" customFormat="1" x14ac:dyDescent="0.5">
      <c r="A7" s="178"/>
      <c r="B7" s="106">
        <v>3</v>
      </c>
      <c r="C7" s="179"/>
      <c r="D7" s="180"/>
      <c r="E7" s="181">
        <v>3</v>
      </c>
      <c r="F7" s="170">
        <f>IF(OR(C7="X",C7="x"),E7,0)</f>
        <v>0</v>
      </c>
      <c r="G7" s="170"/>
      <c r="H7" s="170"/>
      <c r="I7" s="170"/>
      <c r="J7" s="170"/>
      <c r="K7" s="170"/>
      <c r="L7" s="170"/>
      <c r="M7" s="170"/>
      <c r="N7" s="170"/>
      <c r="O7" s="170"/>
      <c r="P7" s="170"/>
      <c r="Q7" s="170"/>
      <c r="R7" s="170"/>
      <c r="S7" s="822"/>
      <c r="T7" s="170"/>
    </row>
    <row r="8" spans="1:20" s="171" customFormat="1" x14ac:dyDescent="0.5">
      <c r="A8" s="178"/>
      <c r="B8" s="106">
        <v>4</v>
      </c>
      <c r="C8" s="179"/>
      <c r="D8" s="180"/>
      <c r="E8" s="181"/>
      <c r="F8" s="170"/>
      <c r="G8" s="170"/>
      <c r="H8" s="170"/>
      <c r="I8" s="170"/>
      <c r="J8" s="170"/>
      <c r="K8" s="170"/>
      <c r="L8" s="170"/>
      <c r="M8" s="170"/>
      <c r="N8" s="170"/>
      <c r="O8" s="170"/>
      <c r="P8" s="170"/>
      <c r="Q8" s="170"/>
      <c r="R8" s="170"/>
      <c r="S8" s="822"/>
      <c r="T8" s="170"/>
    </row>
    <row r="9" spans="1:20" s="171" customFormat="1" x14ac:dyDescent="0.5">
      <c r="A9" s="178"/>
      <c r="B9" s="106" t="s">
        <v>307</v>
      </c>
      <c r="C9" s="179" t="s">
        <v>186</v>
      </c>
      <c r="D9" s="180"/>
      <c r="E9" s="181"/>
      <c r="F9" s="170"/>
      <c r="G9" s="170"/>
      <c r="H9" s="170"/>
      <c r="I9" s="170"/>
      <c r="J9" s="170"/>
      <c r="K9" s="170"/>
      <c r="L9" s="170"/>
      <c r="M9" s="170"/>
      <c r="N9" s="170"/>
      <c r="O9" s="170"/>
      <c r="P9" s="170"/>
      <c r="Q9" s="170"/>
      <c r="R9" s="170"/>
      <c r="S9" s="822"/>
      <c r="T9" s="170"/>
    </row>
    <row r="10" spans="1:20" s="187" customFormat="1" x14ac:dyDescent="0.5">
      <c r="A10" s="182">
        <v>2</v>
      </c>
      <c r="B10" s="108" t="s">
        <v>306</v>
      </c>
      <c r="C10" s="183"/>
      <c r="D10" s="184"/>
      <c r="E10" s="185"/>
      <c r="F10" s="186"/>
      <c r="G10" s="186"/>
      <c r="H10" s="186"/>
      <c r="I10" s="186"/>
      <c r="J10" s="186"/>
      <c r="K10" s="186"/>
      <c r="L10" s="186"/>
      <c r="M10" s="186"/>
      <c r="N10" s="186"/>
      <c r="O10" s="186"/>
      <c r="P10" s="186"/>
      <c r="Q10" s="186"/>
      <c r="R10" s="186"/>
      <c r="S10" s="186"/>
      <c r="T10" s="186"/>
    </row>
    <row r="11" spans="1:20" s="171" customFormat="1" x14ac:dyDescent="0.5">
      <c r="A11" s="178"/>
      <c r="B11" s="106" t="s">
        <v>305</v>
      </c>
      <c r="C11" s="179"/>
      <c r="D11" s="180"/>
      <c r="E11" s="188">
        <v>1</v>
      </c>
      <c r="F11" s="170">
        <f>IF(OR(C11="X",C11="x"),E11,0)</f>
        <v>0</v>
      </c>
      <c r="G11" s="170"/>
      <c r="H11" s="170"/>
      <c r="I11" s="170"/>
      <c r="J11" s="170"/>
      <c r="K11" s="170"/>
      <c r="L11" s="170"/>
      <c r="M11" s="170"/>
      <c r="N11" s="170"/>
      <c r="O11" s="170"/>
      <c r="P11" s="170"/>
      <c r="Q11" s="170"/>
      <c r="R11" s="170"/>
      <c r="S11" s="170"/>
      <c r="T11" s="170"/>
    </row>
    <row r="12" spans="1:20" s="171" customFormat="1" x14ac:dyDescent="0.5">
      <c r="A12" s="178"/>
      <c r="B12" s="106" t="s">
        <v>304</v>
      </c>
      <c r="C12" s="179"/>
      <c r="D12" s="180"/>
      <c r="E12" s="181">
        <v>2</v>
      </c>
      <c r="F12" s="170">
        <f>IF(OR(C12="X",C12="x"),E12,0)</f>
        <v>0</v>
      </c>
      <c r="G12" s="170"/>
      <c r="H12" s="170"/>
      <c r="I12" s="170"/>
      <c r="J12" s="170"/>
      <c r="K12" s="170"/>
      <c r="L12" s="170"/>
      <c r="M12" s="170"/>
      <c r="N12" s="170"/>
      <c r="O12" s="170"/>
      <c r="P12" s="170"/>
      <c r="Q12" s="170"/>
      <c r="R12" s="170"/>
      <c r="S12" s="170"/>
      <c r="T12" s="170"/>
    </row>
    <row r="13" spans="1:20" s="171" customFormat="1" x14ac:dyDescent="0.5">
      <c r="A13" s="178"/>
      <c r="B13" s="106" t="s">
        <v>303</v>
      </c>
      <c r="C13" s="179"/>
      <c r="D13" s="180"/>
      <c r="E13" s="181">
        <v>3</v>
      </c>
      <c r="F13" s="170">
        <f>IF(OR(C13="X",C13="x"),E13,0)</f>
        <v>0</v>
      </c>
      <c r="G13" s="170"/>
      <c r="H13" s="170"/>
      <c r="I13" s="170"/>
      <c r="J13" s="170"/>
      <c r="K13" s="170"/>
      <c r="L13" s="170"/>
      <c r="M13" s="170"/>
      <c r="N13" s="170"/>
      <c r="O13" s="170"/>
      <c r="P13" s="170"/>
      <c r="Q13" s="170"/>
      <c r="R13" s="170"/>
      <c r="S13" s="170"/>
      <c r="T13" s="170"/>
    </row>
    <row r="14" spans="1:20" s="171" customFormat="1" x14ac:dyDescent="0.5">
      <c r="A14" s="178"/>
      <c r="B14" s="106" t="s">
        <v>302</v>
      </c>
      <c r="C14" s="179"/>
      <c r="D14" s="180"/>
      <c r="E14" s="181">
        <v>4</v>
      </c>
      <c r="F14" s="170">
        <f>IF(OR(C14="X",C14="x"),E14,0)</f>
        <v>0</v>
      </c>
      <c r="G14" s="170"/>
      <c r="H14" s="170"/>
      <c r="I14" s="170"/>
      <c r="J14" s="170"/>
      <c r="K14" s="170"/>
      <c r="L14" s="170"/>
      <c r="M14" s="170"/>
      <c r="N14" s="170"/>
      <c r="O14" s="170"/>
      <c r="P14" s="170"/>
      <c r="Q14" s="170"/>
      <c r="R14" s="170"/>
      <c r="S14" s="170"/>
      <c r="T14" s="170"/>
    </row>
    <row r="15" spans="1:20" s="171" customFormat="1" x14ac:dyDescent="0.5">
      <c r="A15" s="178"/>
      <c r="B15" s="106" t="s">
        <v>301</v>
      </c>
      <c r="C15" s="179" t="s">
        <v>186</v>
      </c>
      <c r="D15" s="180"/>
      <c r="E15" s="181">
        <v>5</v>
      </c>
      <c r="F15" s="170">
        <f>IF(OR(C15="X",C15="x"),E15,0)</f>
        <v>5</v>
      </c>
      <c r="G15" s="170"/>
      <c r="H15" s="170"/>
      <c r="I15" s="170"/>
      <c r="J15" s="170"/>
      <c r="K15" s="170"/>
      <c r="L15" s="170"/>
      <c r="M15" s="170"/>
      <c r="N15" s="170"/>
      <c r="O15" s="170"/>
      <c r="P15" s="170"/>
      <c r="Q15" s="170"/>
      <c r="R15" s="170"/>
      <c r="S15" s="170"/>
      <c r="T15" s="170"/>
    </row>
    <row r="16" spans="1:20" s="187" customFormat="1" x14ac:dyDescent="0.5">
      <c r="A16" s="182">
        <v>3</v>
      </c>
      <c r="B16" s="108" t="s">
        <v>300</v>
      </c>
      <c r="C16" s="183"/>
      <c r="D16" s="184"/>
      <c r="E16" s="186"/>
      <c r="F16" s="186"/>
      <c r="G16" s="186"/>
      <c r="H16" s="186"/>
      <c r="I16" s="186"/>
      <c r="J16" s="186"/>
      <c r="K16" s="186"/>
      <c r="L16" s="186"/>
      <c r="M16" s="186"/>
      <c r="N16" s="186"/>
      <c r="O16" s="186"/>
      <c r="P16" s="186"/>
      <c r="Q16" s="186"/>
      <c r="R16" s="186"/>
      <c r="S16" s="186"/>
      <c r="T16" s="186"/>
    </row>
    <row r="17" spans="1:20" s="171" customFormat="1" x14ac:dyDescent="0.5">
      <c r="A17" s="178"/>
      <c r="B17" s="106" t="s">
        <v>299</v>
      </c>
      <c r="C17" s="179"/>
      <c r="D17" s="180"/>
      <c r="E17" s="188">
        <v>1</v>
      </c>
      <c r="F17" s="170">
        <f>IF(OR(C17="X",C17="x"),E17,0)</f>
        <v>0</v>
      </c>
      <c r="G17" s="170"/>
      <c r="H17" s="170"/>
      <c r="I17" s="170"/>
      <c r="J17" s="170"/>
      <c r="K17" s="170"/>
      <c r="L17" s="170"/>
      <c r="M17" s="170"/>
      <c r="N17" s="170"/>
      <c r="O17" s="170"/>
      <c r="P17" s="170"/>
      <c r="Q17" s="170"/>
      <c r="R17" s="170"/>
      <c r="S17" s="170"/>
      <c r="T17" s="170"/>
    </row>
    <row r="18" spans="1:20" s="171" customFormat="1" x14ac:dyDescent="0.5">
      <c r="A18" s="178"/>
      <c r="B18" s="106" t="s">
        <v>298</v>
      </c>
      <c r="C18" s="179"/>
      <c r="D18" s="180"/>
      <c r="E18" s="181">
        <v>2</v>
      </c>
      <c r="F18" s="170">
        <f>IF(OR(C18="X",C18="x"),E18,0)</f>
        <v>0</v>
      </c>
      <c r="G18" s="170"/>
      <c r="H18" s="170"/>
      <c r="I18" s="170"/>
      <c r="J18" s="170"/>
      <c r="K18" s="170"/>
      <c r="L18" s="170"/>
      <c r="M18" s="170"/>
      <c r="N18" s="170"/>
      <c r="O18" s="170"/>
      <c r="P18" s="170"/>
      <c r="Q18" s="170"/>
      <c r="R18" s="170"/>
      <c r="S18" s="170"/>
      <c r="T18" s="170"/>
    </row>
    <row r="19" spans="1:20" s="171" customFormat="1" x14ac:dyDescent="0.5">
      <c r="A19" s="106"/>
      <c r="B19" s="106" t="s">
        <v>297</v>
      </c>
      <c r="C19" s="179" t="s">
        <v>186</v>
      </c>
      <c r="D19" s="180"/>
      <c r="E19" s="181">
        <v>3</v>
      </c>
      <c r="F19" s="170">
        <f>IF(OR(C19="X",C19="x"),E19,0)</f>
        <v>3</v>
      </c>
      <c r="G19" s="170"/>
      <c r="H19" s="170"/>
      <c r="I19" s="170"/>
      <c r="J19" s="170"/>
      <c r="K19" s="170"/>
      <c r="L19" s="170"/>
      <c r="M19" s="170"/>
      <c r="N19" s="170"/>
      <c r="O19" s="170"/>
      <c r="P19" s="170"/>
      <c r="Q19" s="170"/>
      <c r="R19" s="170"/>
      <c r="S19" s="170"/>
      <c r="T19" s="170"/>
    </row>
    <row r="20" spans="1:20" s="171" customFormat="1" x14ac:dyDescent="0.5">
      <c r="A20" s="178"/>
      <c r="B20" s="106" t="s">
        <v>296</v>
      </c>
      <c r="C20" s="179"/>
      <c r="D20" s="180"/>
      <c r="E20" s="181">
        <v>4</v>
      </c>
      <c r="F20" s="170">
        <f>IF(OR(C20="X",C20="x"),E20,0)</f>
        <v>0</v>
      </c>
      <c r="G20" s="170"/>
      <c r="H20" s="170"/>
      <c r="I20" s="170"/>
      <c r="J20" s="170"/>
      <c r="K20" s="170"/>
      <c r="L20" s="170"/>
      <c r="M20" s="170"/>
      <c r="N20" s="170"/>
      <c r="O20" s="170"/>
      <c r="P20" s="170"/>
      <c r="Q20" s="170"/>
      <c r="R20" s="170"/>
      <c r="S20" s="170"/>
      <c r="T20" s="170"/>
    </row>
    <row r="21" spans="1:20" s="171" customFormat="1" x14ac:dyDescent="0.5">
      <c r="A21" s="178"/>
      <c r="B21" s="106" t="s">
        <v>295</v>
      </c>
      <c r="C21" s="179"/>
      <c r="D21" s="180"/>
      <c r="E21" s="181">
        <v>5</v>
      </c>
      <c r="F21" s="170">
        <f>IF(OR(C21="X",C21="x"),E21,0)</f>
        <v>0</v>
      </c>
      <c r="G21" s="170"/>
      <c r="H21" s="170"/>
      <c r="I21" s="170"/>
      <c r="J21" s="170"/>
      <c r="K21" s="170"/>
      <c r="L21" s="170"/>
      <c r="M21" s="170"/>
      <c r="N21" s="170"/>
      <c r="O21" s="170"/>
      <c r="P21" s="170"/>
      <c r="Q21" s="170"/>
      <c r="R21" s="170"/>
      <c r="S21" s="170"/>
      <c r="T21" s="170"/>
    </row>
    <row r="22" spans="1:20" s="187" customFormat="1" x14ac:dyDescent="0.5">
      <c r="A22" s="182">
        <v>4</v>
      </c>
      <c r="B22" s="108" t="s">
        <v>294</v>
      </c>
      <c r="C22" s="183"/>
      <c r="D22" s="184"/>
      <c r="E22" s="186"/>
      <c r="F22" s="186"/>
      <c r="G22" s="186"/>
      <c r="H22" s="186"/>
      <c r="I22" s="186"/>
      <c r="J22" s="186"/>
      <c r="K22" s="186"/>
      <c r="L22" s="186"/>
      <c r="M22" s="186"/>
      <c r="N22" s="186"/>
      <c r="O22" s="186"/>
      <c r="P22" s="186"/>
      <c r="Q22" s="186"/>
      <c r="R22" s="186"/>
      <c r="S22" s="186"/>
      <c r="T22" s="186"/>
    </row>
    <row r="23" spans="1:20" s="171" customFormat="1" x14ac:dyDescent="0.5">
      <c r="A23" s="178"/>
      <c r="B23" s="106" t="s">
        <v>293</v>
      </c>
      <c r="C23" s="179"/>
      <c r="D23" s="180"/>
      <c r="E23" s="188">
        <v>1</v>
      </c>
      <c r="F23" s="170">
        <f>IF(OR(C23="X",C23="x"),E23,0)</f>
        <v>0</v>
      </c>
      <c r="G23" s="170"/>
      <c r="H23" s="170"/>
      <c r="I23" s="170"/>
      <c r="J23" s="170"/>
      <c r="K23" s="170"/>
      <c r="L23" s="170"/>
      <c r="M23" s="170"/>
      <c r="N23" s="170"/>
      <c r="O23" s="170"/>
      <c r="P23" s="170"/>
      <c r="Q23" s="170"/>
      <c r="R23" s="170"/>
      <c r="S23" s="170"/>
      <c r="T23" s="170"/>
    </row>
    <row r="24" spans="1:20" s="171" customFormat="1" x14ac:dyDescent="0.5">
      <c r="A24" s="178"/>
      <c r="B24" s="106" t="s">
        <v>292</v>
      </c>
      <c r="C24" s="179"/>
      <c r="D24" s="180"/>
      <c r="E24" s="181">
        <v>2</v>
      </c>
      <c r="F24" s="170">
        <f>IF(OR(C24="X",C24="x"),E24,0)</f>
        <v>0</v>
      </c>
      <c r="G24" s="170"/>
      <c r="H24" s="170"/>
      <c r="I24" s="170"/>
      <c r="J24" s="170"/>
      <c r="K24" s="170"/>
      <c r="L24" s="170"/>
      <c r="M24" s="170"/>
      <c r="N24" s="170"/>
      <c r="O24" s="170"/>
      <c r="P24" s="170"/>
      <c r="Q24" s="170"/>
      <c r="R24" s="170"/>
      <c r="S24" s="170"/>
      <c r="T24" s="170"/>
    </row>
    <row r="25" spans="1:20" s="171" customFormat="1" x14ac:dyDescent="0.5">
      <c r="A25" s="178"/>
      <c r="B25" s="106" t="s">
        <v>291</v>
      </c>
      <c r="C25" s="179" t="s">
        <v>186</v>
      </c>
      <c r="D25" s="180"/>
      <c r="E25" s="181">
        <v>3</v>
      </c>
      <c r="F25" s="170">
        <f>IF(OR(C25="X",C25="x"),E25,0)</f>
        <v>3</v>
      </c>
      <c r="G25" s="170"/>
      <c r="H25" s="170"/>
      <c r="I25" s="170"/>
      <c r="J25" s="170"/>
      <c r="K25" s="170"/>
      <c r="L25" s="170"/>
      <c r="M25" s="170"/>
      <c r="N25" s="170"/>
      <c r="O25" s="170"/>
      <c r="P25" s="170"/>
      <c r="Q25" s="170"/>
      <c r="R25" s="170"/>
      <c r="S25" s="170"/>
      <c r="T25" s="170"/>
    </row>
    <row r="26" spans="1:20" s="171" customFormat="1" x14ac:dyDescent="0.5">
      <c r="A26" s="178"/>
      <c r="B26" s="106" t="s">
        <v>290</v>
      </c>
      <c r="C26" s="179"/>
      <c r="D26" s="180"/>
      <c r="E26" s="181">
        <v>4</v>
      </c>
      <c r="F26" s="170">
        <f>IF(OR(C26="X",C26="x"),E26,0)</f>
        <v>0</v>
      </c>
      <c r="G26" s="170"/>
      <c r="H26" s="170"/>
      <c r="I26" s="170"/>
      <c r="J26" s="170"/>
      <c r="K26" s="170"/>
      <c r="L26" s="170"/>
      <c r="M26" s="170"/>
      <c r="N26" s="170"/>
      <c r="O26" s="170"/>
      <c r="P26" s="170"/>
      <c r="Q26" s="170"/>
      <c r="R26" s="170"/>
      <c r="S26" s="170"/>
      <c r="T26" s="170"/>
    </row>
    <row r="27" spans="1:20" s="187" customFormat="1" x14ac:dyDescent="0.5">
      <c r="A27" s="182">
        <v>5</v>
      </c>
      <c r="B27" s="108" t="s">
        <v>289</v>
      </c>
      <c r="C27" s="183"/>
      <c r="D27" s="184"/>
      <c r="E27" s="186"/>
      <c r="F27" s="186"/>
      <c r="G27" s="186"/>
      <c r="H27" s="186"/>
      <c r="I27" s="186"/>
      <c r="J27" s="186"/>
      <c r="K27" s="186"/>
      <c r="L27" s="186"/>
      <c r="M27" s="186"/>
      <c r="N27" s="186"/>
      <c r="O27" s="186"/>
      <c r="P27" s="186"/>
      <c r="Q27" s="186"/>
      <c r="R27" s="186"/>
      <c r="S27" s="186"/>
      <c r="T27" s="186"/>
    </row>
    <row r="28" spans="1:20" s="114" customFormat="1" ht="180" customHeight="1" x14ac:dyDescent="0.45">
      <c r="A28" s="105"/>
      <c r="B28" s="109"/>
      <c r="C28" s="110"/>
      <c r="D28" s="111"/>
      <c r="E28" s="112"/>
      <c r="F28" s="112"/>
      <c r="G28" s="112"/>
      <c r="H28" s="112"/>
      <c r="I28" s="112"/>
      <c r="J28" s="112"/>
      <c r="K28" s="112"/>
      <c r="L28" s="112"/>
      <c r="M28" s="112"/>
      <c r="N28" s="112"/>
      <c r="O28" s="112"/>
      <c r="P28" s="112"/>
      <c r="Q28" s="112"/>
      <c r="R28" s="112"/>
      <c r="S28" s="113"/>
      <c r="T28" s="112"/>
    </row>
    <row r="29" spans="1:20" s="171" customFormat="1" x14ac:dyDescent="0.5">
      <c r="A29" s="178"/>
      <c r="B29" s="106" t="s">
        <v>288</v>
      </c>
      <c r="C29" s="179"/>
      <c r="D29" s="180"/>
      <c r="E29" s="188">
        <v>1</v>
      </c>
      <c r="F29" s="170">
        <f>IF(OR(C29="X",C29="x"),E29,0)</f>
        <v>0</v>
      </c>
      <c r="G29" s="170"/>
      <c r="H29" s="170"/>
      <c r="I29" s="170"/>
      <c r="J29" s="170"/>
      <c r="K29" s="170"/>
      <c r="L29" s="170"/>
      <c r="M29" s="170"/>
      <c r="N29" s="170"/>
      <c r="O29" s="170"/>
      <c r="P29" s="170"/>
      <c r="Q29" s="170"/>
      <c r="R29" s="170"/>
      <c r="S29" s="170"/>
      <c r="T29" s="170"/>
    </row>
    <row r="30" spans="1:20" s="171" customFormat="1" x14ac:dyDescent="0.5">
      <c r="A30" s="178"/>
      <c r="B30" s="106" t="s">
        <v>287</v>
      </c>
      <c r="C30" s="179" t="s">
        <v>186</v>
      </c>
      <c r="D30" s="180"/>
      <c r="E30" s="181">
        <v>2</v>
      </c>
      <c r="F30" s="170">
        <f>IF(OR(C30="X",C30="x"),E30,0)</f>
        <v>2</v>
      </c>
      <c r="G30" s="170"/>
      <c r="H30" s="170"/>
      <c r="I30" s="170"/>
      <c r="J30" s="170"/>
      <c r="K30" s="170"/>
      <c r="L30" s="170"/>
      <c r="M30" s="170"/>
      <c r="N30" s="170"/>
      <c r="O30" s="170"/>
      <c r="P30" s="170"/>
      <c r="Q30" s="170"/>
      <c r="R30" s="170"/>
      <c r="S30" s="170"/>
      <c r="T30" s="170"/>
    </row>
    <row r="31" spans="1:20" s="171" customFormat="1" x14ac:dyDescent="0.5">
      <c r="A31" s="178"/>
      <c r="B31" s="106" t="s">
        <v>286</v>
      </c>
      <c r="C31" s="179"/>
      <c r="D31" s="180"/>
      <c r="E31" s="181">
        <v>3</v>
      </c>
      <c r="F31" s="170">
        <f>IF(OR(C31="X",C31="x"),E31,0)</f>
        <v>0</v>
      </c>
      <c r="G31" s="170"/>
      <c r="H31" s="170"/>
      <c r="I31" s="170"/>
      <c r="J31" s="170"/>
      <c r="K31" s="170"/>
      <c r="L31" s="170"/>
      <c r="M31" s="170"/>
      <c r="N31" s="170"/>
      <c r="O31" s="170"/>
      <c r="P31" s="170"/>
      <c r="Q31" s="170"/>
      <c r="R31" s="170"/>
      <c r="S31" s="170"/>
      <c r="T31" s="170"/>
    </row>
    <row r="32" spans="1:20" s="187" customFormat="1" ht="40.15" x14ac:dyDescent="0.5">
      <c r="A32" s="182">
        <v>6</v>
      </c>
      <c r="B32" s="108" t="s">
        <v>285</v>
      </c>
      <c r="C32" s="183"/>
      <c r="D32" s="184"/>
      <c r="E32" s="186"/>
      <c r="F32" s="186"/>
      <c r="G32" s="186"/>
      <c r="H32" s="186"/>
      <c r="I32" s="186"/>
      <c r="J32" s="186"/>
      <c r="K32" s="186"/>
      <c r="L32" s="186"/>
      <c r="M32" s="186"/>
      <c r="N32" s="186"/>
      <c r="O32" s="186"/>
      <c r="P32" s="186"/>
      <c r="Q32" s="186"/>
      <c r="R32" s="186"/>
      <c r="S32" s="186"/>
      <c r="T32" s="186"/>
    </row>
    <row r="33" spans="1:23" s="114" customFormat="1" ht="119.25" customHeight="1" x14ac:dyDescent="0.45">
      <c r="A33" s="115"/>
      <c r="B33" s="116"/>
      <c r="C33" s="110"/>
      <c r="D33" s="111"/>
      <c r="E33" s="112"/>
      <c r="F33" s="112"/>
      <c r="G33" s="112"/>
      <c r="H33" s="112"/>
      <c r="I33" s="112"/>
      <c r="J33" s="112"/>
      <c r="K33" s="112"/>
      <c r="L33" s="112"/>
      <c r="M33" s="112"/>
      <c r="N33" s="112"/>
      <c r="O33" s="112"/>
      <c r="P33" s="112"/>
      <c r="Q33" s="112"/>
      <c r="R33" s="112"/>
      <c r="S33" s="112"/>
      <c r="T33" s="112"/>
    </row>
    <row r="34" spans="1:23" s="171" customFormat="1" x14ac:dyDescent="0.5">
      <c r="A34" s="178"/>
      <c r="B34" s="106" t="s">
        <v>284</v>
      </c>
      <c r="C34" s="179"/>
      <c r="D34" s="180"/>
      <c r="E34" s="188">
        <v>1</v>
      </c>
      <c r="F34" s="170">
        <f>IF(OR(C34="X",C34="x"),E34,0)</f>
        <v>0</v>
      </c>
      <c r="G34" s="170"/>
      <c r="H34" s="170"/>
      <c r="I34" s="170"/>
      <c r="J34" s="170"/>
      <c r="K34" s="170"/>
      <c r="L34" s="170"/>
      <c r="M34" s="170"/>
      <c r="N34" s="170"/>
      <c r="O34" s="170"/>
      <c r="P34" s="170"/>
      <c r="Q34" s="170"/>
      <c r="R34" s="170"/>
      <c r="S34" s="170"/>
      <c r="T34" s="170"/>
    </row>
    <row r="35" spans="1:23" s="171" customFormat="1" x14ac:dyDescent="0.5">
      <c r="A35" s="178"/>
      <c r="B35" s="106" t="s">
        <v>283</v>
      </c>
      <c r="C35" s="179" t="s">
        <v>186</v>
      </c>
      <c r="D35" s="180"/>
      <c r="E35" s="181">
        <v>2</v>
      </c>
      <c r="F35" s="170">
        <f>IF(OR(C35="X",C35="x"),E35,0)</f>
        <v>2</v>
      </c>
      <c r="G35" s="170"/>
      <c r="H35" s="170"/>
      <c r="I35" s="170"/>
      <c r="J35" s="170"/>
      <c r="K35" s="170"/>
      <c r="L35" s="170"/>
      <c r="M35" s="170"/>
      <c r="N35" s="170"/>
      <c r="O35" s="170"/>
      <c r="P35" s="170"/>
      <c r="Q35" s="170"/>
      <c r="R35" s="170"/>
      <c r="S35" s="170"/>
      <c r="T35" s="170"/>
    </row>
    <row r="36" spans="1:23" s="171" customFormat="1" x14ac:dyDescent="0.5">
      <c r="A36" s="178"/>
      <c r="B36" s="106" t="s">
        <v>282</v>
      </c>
      <c r="C36" s="179"/>
      <c r="D36" s="180"/>
      <c r="E36" s="181">
        <v>3</v>
      </c>
      <c r="F36" s="170">
        <f>IF(OR(C36="X",C36="x"),E36,0)</f>
        <v>0</v>
      </c>
      <c r="G36" s="170"/>
      <c r="H36" s="170"/>
      <c r="I36" s="170"/>
      <c r="J36" s="170"/>
      <c r="K36" s="170"/>
      <c r="L36" s="170"/>
      <c r="M36" s="170"/>
      <c r="N36" s="170"/>
      <c r="O36" s="170"/>
      <c r="P36" s="170"/>
      <c r="Q36" s="170"/>
      <c r="R36" s="170"/>
      <c r="S36" s="170"/>
      <c r="T36" s="170"/>
    </row>
    <row r="37" spans="1:23" s="171" customFormat="1" x14ac:dyDescent="0.5">
      <c r="A37" s="178"/>
      <c r="B37" s="106" t="s">
        <v>281</v>
      </c>
      <c r="C37" s="179"/>
      <c r="D37" s="180"/>
      <c r="E37" s="181">
        <v>4</v>
      </c>
      <c r="F37" s="170">
        <f>IF(OR(C37="X",C37="x"),E37,0)</f>
        <v>0</v>
      </c>
      <c r="G37" s="170"/>
      <c r="H37" s="170"/>
      <c r="I37" s="170"/>
      <c r="J37" s="170"/>
      <c r="K37" s="170"/>
      <c r="L37" s="170"/>
      <c r="M37" s="170"/>
      <c r="N37" s="170"/>
      <c r="O37" s="170"/>
      <c r="P37" s="170"/>
      <c r="Q37" s="170"/>
      <c r="R37" s="170"/>
      <c r="S37" s="170"/>
      <c r="T37" s="170"/>
    </row>
    <row r="38" spans="1:23" s="187" customFormat="1" ht="27" x14ac:dyDescent="0.5">
      <c r="A38" s="182">
        <v>7</v>
      </c>
      <c r="B38" s="108" t="s">
        <v>280</v>
      </c>
      <c r="C38" s="183"/>
      <c r="D38" s="184"/>
      <c r="E38" s="186"/>
      <c r="F38" s="186"/>
      <c r="G38" s="186"/>
      <c r="H38" s="186"/>
      <c r="I38" s="186"/>
      <c r="J38" s="186"/>
      <c r="K38" s="186"/>
      <c r="L38" s="186"/>
      <c r="M38" s="186"/>
      <c r="N38" s="186"/>
      <c r="O38" s="186"/>
      <c r="P38" s="186"/>
      <c r="Q38" s="186"/>
      <c r="R38" s="186"/>
      <c r="S38" s="186"/>
      <c r="T38" s="186"/>
    </row>
    <row r="39" spans="1:23" s="192" customFormat="1" x14ac:dyDescent="0.45">
      <c r="A39" s="178"/>
      <c r="B39" s="117" t="s">
        <v>279</v>
      </c>
      <c r="C39" s="189"/>
      <c r="D39" s="190"/>
      <c r="E39" s="193">
        <v>1</v>
      </c>
      <c r="F39" s="191">
        <f>IF(OR(C39="X",C39="x"),E39,0)</f>
        <v>0</v>
      </c>
      <c r="G39" s="191"/>
      <c r="H39" s="191"/>
      <c r="I39" s="191"/>
      <c r="J39" s="191"/>
      <c r="K39" s="191"/>
      <c r="L39" s="191"/>
      <c r="M39" s="191"/>
      <c r="N39" s="191"/>
      <c r="O39" s="191"/>
      <c r="P39" s="191"/>
      <c r="Q39" s="191"/>
      <c r="R39" s="191"/>
      <c r="S39" s="191"/>
      <c r="T39" s="191"/>
    </row>
    <row r="40" spans="1:23" s="171" customFormat="1" x14ac:dyDescent="0.5">
      <c r="A40" s="178"/>
      <c r="B40" s="106" t="s">
        <v>278</v>
      </c>
      <c r="C40" s="179"/>
      <c r="D40" s="180"/>
      <c r="E40" s="181">
        <v>2</v>
      </c>
      <c r="F40" s="170">
        <f>IF(OR(C40="X",C40="x"),E40,0)</f>
        <v>0</v>
      </c>
      <c r="G40" s="170"/>
      <c r="H40" s="170"/>
      <c r="I40" s="170"/>
      <c r="J40" s="170"/>
      <c r="K40" s="170"/>
      <c r="L40" s="170"/>
      <c r="M40" s="170"/>
      <c r="N40" s="170"/>
      <c r="O40" s="170"/>
      <c r="P40" s="170"/>
      <c r="Q40" s="170"/>
      <c r="R40" s="170"/>
      <c r="S40" s="170"/>
      <c r="T40" s="170"/>
    </row>
    <row r="41" spans="1:23" s="171" customFormat="1" x14ac:dyDescent="0.5">
      <c r="A41" s="194"/>
      <c r="B41" s="119" t="s">
        <v>277</v>
      </c>
      <c r="C41" s="179" t="s">
        <v>186</v>
      </c>
      <c r="D41" s="180"/>
      <c r="E41" s="181">
        <v>3</v>
      </c>
      <c r="F41" s="170">
        <f>IF(OR(C41="X",C41="x"),E41,0)</f>
        <v>3</v>
      </c>
      <c r="G41" s="170"/>
      <c r="H41" s="170"/>
      <c r="I41" s="170"/>
      <c r="J41" s="170"/>
      <c r="K41" s="170"/>
      <c r="L41" s="170"/>
      <c r="M41" s="170"/>
      <c r="N41" s="170"/>
      <c r="O41" s="170"/>
      <c r="P41" s="170"/>
      <c r="Q41" s="170"/>
      <c r="R41" s="170"/>
      <c r="S41" s="170"/>
      <c r="T41" s="170"/>
    </row>
    <row r="42" spans="1:23" s="187" customFormat="1" x14ac:dyDescent="0.5">
      <c r="A42" s="182">
        <v>8</v>
      </c>
      <c r="B42" s="108" t="s">
        <v>276</v>
      </c>
      <c r="C42" s="183"/>
      <c r="D42" s="184"/>
      <c r="E42" s="186"/>
      <c r="F42" s="186"/>
      <c r="G42" s="186"/>
      <c r="H42" s="186"/>
      <c r="I42" s="186"/>
      <c r="J42" s="186"/>
      <c r="K42" s="186"/>
      <c r="L42" s="186"/>
      <c r="M42" s="186"/>
      <c r="N42" s="186"/>
      <c r="O42" s="186"/>
      <c r="P42" s="186"/>
      <c r="Q42" s="186"/>
      <c r="R42" s="186"/>
      <c r="S42" s="186"/>
      <c r="T42" s="186"/>
      <c r="U42" s="187" t="s">
        <v>275</v>
      </c>
      <c r="V42" s="187" t="s">
        <v>274</v>
      </c>
      <c r="W42" s="187" t="s">
        <v>273</v>
      </c>
    </row>
    <row r="43" spans="1:23" s="171" customFormat="1" x14ac:dyDescent="0.5">
      <c r="A43" s="178"/>
      <c r="B43" s="106" t="s">
        <v>272</v>
      </c>
      <c r="C43" s="179"/>
      <c r="D43" s="180"/>
      <c r="E43" s="188">
        <v>1</v>
      </c>
      <c r="F43" s="170">
        <f>IF(OR(C43="X",C43="x"),E43,0)</f>
        <v>0</v>
      </c>
      <c r="G43" s="170"/>
      <c r="H43" s="170"/>
      <c r="I43" s="170"/>
      <c r="J43" s="170"/>
      <c r="K43" s="170"/>
      <c r="L43" s="170"/>
      <c r="M43" s="170"/>
      <c r="N43" s="170"/>
      <c r="O43" s="170"/>
      <c r="P43" s="170"/>
      <c r="Q43" s="170"/>
      <c r="R43" s="170"/>
      <c r="S43" s="170"/>
      <c r="T43" s="170"/>
      <c r="U43" s="171" t="s">
        <v>271</v>
      </c>
      <c r="V43" s="195" t="s">
        <v>270</v>
      </c>
      <c r="W43" s="196">
        <v>0.19</v>
      </c>
    </row>
    <row r="44" spans="1:23" s="171" customFormat="1" x14ac:dyDescent="0.5">
      <c r="A44" s="178"/>
      <c r="B44" s="106" t="s">
        <v>269</v>
      </c>
      <c r="C44" s="179" t="s">
        <v>186</v>
      </c>
      <c r="D44" s="180"/>
      <c r="E44" s="181">
        <v>2</v>
      </c>
      <c r="F44" s="170">
        <f>IF(OR(C44="X",C44="x"),E44,0)</f>
        <v>2</v>
      </c>
      <c r="G44" s="170"/>
      <c r="H44" s="170"/>
      <c r="I44" s="170"/>
      <c r="J44" s="170"/>
      <c r="K44" s="170"/>
      <c r="L44" s="170"/>
      <c r="M44" s="170"/>
      <c r="N44" s="170"/>
      <c r="O44" s="170"/>
      <c r="P44" s="170"/>
      <c r="Q44" s="170"/>
      <c r="R44" s="170"/>
      <c r="S44" s="170"/>
      <c r="T44" s="170"/>
      <c r="U44" s="171" t="s">
        <v>268</v>
      </c>
      <c r="V44" s="195" t="s">
        <v>267</v>
      </c>
      <c r="W44" s="196">
        <v>0.23</v>
      </c>
    </row>
    <row r="45" spans="1:23" s="171" customFormat="1" x14ac:dyDescent="0.5">
      <c r="A45" s="178"/>
      <c r="B45" s="106" t="s">
        <v>266</v>
      </c>
      <c r="C45" s="179"/>
      <c r="D45" s="180"/>
      <c r="E45" s="181">
        <v>3</v>
      </c>
      <c r="F45" s="170">
        <f>IF(OR(C45="X",C45="x"),E45,0)</f>
        <v>0</v>
      </c>
      <c r="G45" s="170"/>
      <c r="H45" s="170"/>
      <c r="I45" s="170"/>
      <c r="J45" s="170"/>
      <c r="K45" s="170"/>
      <c r="L45" s="170"/>
      <c r="M45" s="170"/>
      <c r="N45" s="170"/>
      <c r="O45" s="170"/>
      <c r="P45" s="170"/>
      <c r="Q45" s="170"/>
      <c r="R45" s="170"/>
      <c r="S45" s="170"/>
      <c r="T45" s="170"/>
      <c r="U45" s="171" t="s">
        <v>265</v>
      </c>
      <c r="V45" s="195" t="s">
        <v>264</v>
      </c>
      <c r="W45" s="196">
        <v>0.26</v>
      </c>
    </row>
    <row r="46" spans="1:23" s="171" customFormat="1" x14ac:dyDescent="0.5">
      <c r="A46" s="178"/>
      <c r="B46" s="106" t="s">
        <v>263</v>
      </c>
      <c r="C46" s="179"/>
      <c r="D46" s="180"/>
      <c r="E46" s="188">
        <v>4</v>
      </c>
      <c r="F46" s="170">
        <f>IF(OR(C46="X",C46="x"),E46,0)</f>
        <v>0</v>
      </c>
      <c r="G46" s="170"/>
      <c r="H46" s="170"/>
      <c r="I46" s="170"/>
      <c r="J46" s="170"/>
      <c r="K46" s="170"/>
      <c r="L46" s="170"/>
      <c r="M46" s="170"/>
      <c r="N46" s="170"/>
      <c r="O46" s="170"/>
      <c r="P46" s="170"/>
      <c r="Q46" s="170"/>
      <c r="R46" s="170"/>
      <c r="S46" s="170"/>
      <c r="T46" s="170"/>
      <c r="U46" s="171" t="s">
        <v>262</v>
      </c>
      <c r="V46" s="195" t="s">
        <v>261</v>
      </c>
      <c r="W46" s="196">
        <v>0.28000000000000003</v>
      </c>
    </row>
    <row r="47" spans="1:23" s="187" customFormat="1" x14ac:dyDescent="0.5">
      <c r="A47" s="182">
        <v>9</v>
      </c>
      <c r="B47" s="108" t="s">
        <v>260</v>
      </c>
      <c r="C47" s="183"/>
      <c r="D47" s="184"/>
      <c r="E47" s="186"/>
      <c r="F47" s="186"/>
      <c r="G47" s="186"/>
      <c r="H47" s="186"/>
      <c r="I47" s="186"/>
      <c r="J47" s="186"/>
      <c r="K47" s="186"/>
      <c r="L47" s="186"/>
      <c r="M47" s="186"/>
      <c r="N47" s="186"/>
      <c r="O47" s="186"/>
      <c r="P47" s="186"/>
      <c r="Q47" s="186"/>
      <c r="R47" s="186"/>
      <c r="S47" s="186"/>
      <c r="T47" s="186"/>
    </row>
    <row r="48" spans="1:23" s="171" customFormat="1" x14ac:dyDescent="0.5">
      <c r="A48" s="178"/>
      <c r="B48" s="106" t="s">
        <v>259</v>
      </c>
      <c r="C48" s="179" t="s">
        <v>186</v>
      </c>
      <c r="D48" s="180"/>
      <c r="E48" s="188">
        <v>1</v>
      </c>
      <c r="F48" s="170">
        <f>IF(OR(C48="X",C48="x"),E48,0)</f>
        <v>1</v>
      </c>
      <c r="G48" s="170"/>
      <c r="H48" s="170"/>
      <c r="I48" s="170"/>
      <c r="J48" s="170"/>
      <c r="K48" s="170"/>
      <c r="L48" s="170"/>
      <c r="M48" s="170"/>
      <c r="N48" s="170"/>
      <c r="O48" s="170"/>
      <c r="P48" s="170"/>
      <c r="Q48" s="170"/>
      <c r="R48" s="170"/>
      <c r="S48" s="170"/>
      <c r="T48" s="170"/>
    </row>
    <row r="49" spans="1:20" s="171" customFormat="1" x14ac:dyDescent="0.5">
      <c r="A49" s="178"/>
      <c r="B49" s="106" t="s">
        <v>258</v>
      </c>
      <c r="C49" s="179"/>
      <c r="D49" s="180"/>
      <c r="E49" s="181">
        <v>2</v>
      </c>
      <c r="F49" s="170">
        <f>IF(OR(C49="X",C49="x"),E49,0)</f>
        <v>0</v>
      </c>
      <c r="G49" s="170"/>
      <c r="H49" s="170"/>
      <c r="I49" s="170"/>
      <c r="J49" s="170"/>
      <c r="K49" s="170"/>
      <c r="L49" s="170"/>
      <c r="M49" s="170"/>
      <c r="N49" s="170"/>
      <c r="O49" s="170"/>
      <c r="P49" s="170"/>
      <c r="Q49" s="170"/>
      <c r="R49" s="170"/>
      <c r="S49" s="170"/>
      <c r="T49" s="170"/>
    </row>
    <row r="50" spans="1:20" s="171" customFormat="1" x14ac:dyDescent="0.5">
      <c r="A50" s="178"/>
      <c r="B50" s="106" t="s">
        <v>257</v>
      </c>
      <c r="C50" s="179"/>
      <c r="D50" s="180"/>
      <c r="E50" s="181">
        <v>3</v>
      </c>
      <c r="F50" s="170">
        <f>IF(OR(C50="X",C50="x"),E50,0)</f>
        <v>0</v>
      </c>
      <c r="G50" s="170"/>
      <c r="H50" s="170"/>
      <c r="I50" s="170"/>
      <c r="J50" s="170"/>
      <c r="K50" s="170"/>
      <c r="L50" s="170"/>
      <c r="M50" s="170"/>
      <c r="N50" s="170"/>
      <c r="O50" s="170"/>
      <c r="P50" s="170"/>
      <c r="Q50" s="170"/>
      <c r="R50" s="170"/>
      <c r="S50" s="170"/>
      <c r="T50" s="170"/>
    </row>
    <row r="51" spans="1:20" s="171" customFormat="1" x14ac:dyDescent="0.5">
      <c r="A51" s="178"/>
      <c r="B51" s="106" t="s">
        <v>256</v>
      </c>
      <c r="C51" s="179"/>
      <c r="D51" s="180"/>
      <c r="E51" s="188">
        <v>4</v>
      </c>
      <c r="F51" s="170">
        <f>IF(OR(C51="X",C51="x"),E51,0)</f>
        <v>0</v>
      </c>
      <c r="G51" s="170"/>
      <c r="H51" s="170"/>
      <c r="I51" s="170"/>
      <c r="J51" s="170"/>
      <c r="K51" s="170"/>
      <c r="L51" s="170"/>
      <c r="M51" s="170"/>
      <c r="N51" s="170"/>
      <c r="O51" s="170"/>
      <c r="P51" s="170"/>
      <c r="Q51" s="170"/>
      <c r="R51" s="170"/>
      <c r="S51" s="170"/>
      <c r="T51" s="170"/>
    </row>
    <row r="52" spans="1:20" s="171" customFormat="1" x14ac:dyDescent="0.5">
      <c r="A52" s="178"/>
      <c r="B52" s="106" t="s">
        <v>255</v>
      </c>
      <c r="C52" s="179"/>
      <c r="D52" s="180"/>
      <c r="E52" s="188">
        <v>5</v>
      </c>
      <c r="F52" s="170">
        <f>IF(OR(C52="X",C52="x"),E52,0)</f>
        <v>0</v>
      </c>
      <c r="G52" s="170"/>
      <c r="H52" s="170"/>
      <c r="I52" s="170"/>
      <c r="J52" s="170"/>
      <c r="K52" s="170"/>
      <c r="L52" s="170"/>
      <c r="M52" s="170"/>
      <c r="N52" s="170"/>
      <c r="O52" s="170"/>
      <c r="P52" s="170"/>
      <c r="Q52" s="170"/>
      <c r="R52" s="170"/>
      <c r="S52" s="170"/>
      <c r="T52" s="170"/>
    </row>
    <row r="53" spans="1:20" s="187" customFormat="1" x14ac:dyDescent="0.5">
      <c r="A53" s="182">
        <v>10</v>
      </c>
      <c r="B53" s="108" t="s">
        <v>254</v>
      </c>
      <c r="C53" s="183"/>
      <c r="D53" s="184"/>
      <c r="E53" s="186"/>
      <c r="F53" s="186"/>
      <c r="G53" s="186"/>
      <c r="H53" s="186"/>
      <c r="I53" s="186"/>
      <c r="J53" s="186"/>
      <c r="K53" s="186"/>
      <c r="L53" s="186"/>
      <c r="M53" s="186"/>
      <c r="N53" s="186"/>
      <c r="O53" s="186"/>
      <c r="P53" s="186"/>
      <c r="Q53" s="186"/>
      <c r="R53" s="186"/>
      <c r="S53" s="186"/>
      <c r="T53" s="186"/>
    </row>
    <row r="54" spans="1:20" s="171" customFormat="1" x14ac:dyDescent="0.5">
      <c r="A54" s="178"/>
      <c r="B54" s="106" t="s">
        <v>253</v>
      </c>
      <c r="C54" s="179"/>
      <c r="D54" s="180"/>
      <c r="E54" s="188">
        <v>1</v>
      </c>
      <c r="F54" s="170">
        <f>IF(OR(C54="X",C54="x"),E54,0)</f>
        <v>0</v>
      </c>
      <c r="G54" s="170"/>
      <c r="H54" s="170"/>
      <c r="I54" s="170"/>
      <c r="J54" s="170"/>
      <c r="K54" s="170"/>
      <c r="L54" s="170"/>
      <c r="M54" s="170"/>
      <c r="N54" s="170"/>
      <c r="O54" s="170"/>
      <c r="P54" s="170"/>
      <c r="Q54" s="170"/>
      <c r="R54" s="170"/>
      <c r="S54" s="170"/>
      <c r="T54" s="170"/>
    </row>
    <row r="55" spans="1:20" s="171" customFormat="1" x14ac:dyDescent="0.5">
      <c r="A55" s="178"/>
      <c r="B55" s="106" t="s">
        <v>184</v>
      </c>
      <c r="C55" s="179" t="s">
        <v>186</v>
      </c>
      <c r="D55" s="180"/>
      <c r="E55" s="181">
        <v>2</v>
      </c>
      <c r="F55" s="170">
        <f>IF(OR(C55="X",C55="x"),E55,0)</f>
        <v>2</v>
      </c>
      <c r="G55" s="170"/>
      <c r="H55" s="170"/>
      <c r="I55" s="170"/>
      <c r="J55" s="170"/>
      <c r="K55" s="170"/>
      <c r="L55" s="170"/>
      <c r="M55" s="170"/>
      <c r="N55" s="170"/>
      <c r="O55" s="170"/>
      <c r="P55" s="170"/>
      <c r="Q55" s="170"/>
      <c r="R55" s="170"/>
      <c r="S55" s="170"/>
      <c r="T55" s="170"/>
    </row>
    <row r="56" spans="1:20" s="171" customFormat="1" x14ac:dyDescent="0.5">
      <c r="A56" s="178"/>
      <c r="B56" s="106" t="s">
        <v>182</v>
      </c>
      <c r="C56" s="179"/>
      <c r="D56" s="180"/>
      <c r="E56" s="181">
        <v>3</v>
      </c>
      <c r="F56" s="170">
        <f>IF(OR(C56="X",C56="x"),E56,0)</f>
        <v>0</v>
      </c>
      <c r="G56" s="170"/>
      <c r="H56" s="170"/>
      <c r="I56" s="170"/>
      <c r="J56" s="170"/>
      <c r="K56" s="170"/>
      <c r="L56" s="170"/>
      <c r="M56" s="170"/>
      <c r="N56" s="170"/>
      <c r="O56" s="170"/>
      <c r="P56" s="170"/>
      <c r="Q56" s="170"/>
      <c r="R56" s="170"/>
      <c r="S56" s="170"/>
      <c r="T56" s="170"/>
    </row>
    <row r="57" spans="1:20" s="171" customFormat="1" x14ac:dyDescent="0.5">
      <c r="A57" s="178"/>
      <c r="B57" s="106" t="s">
        <v>252</v>
      </c>
      <c r="C57" s="179"/>
      <c r="D57" s="180"/>
      <c r="E57" s="188">
        <v>4</v>
      </c>
      <c r="F57" s="170">
        <f>IF(OR(C57="X",C57="x"),E57,0)</f>
        <v>0</v>
      </c>
      <c r="G57" s="170"/>
      <c r="H57" s="170"/>
      <c r="I57" s="170"/>
      <c r="J57" s="170"/>
      <c r="K57" s="170"/>
      <c r="L57" s="170"/>
      <c r="M57" s="170"/>
      <c r="N57" s="170"/>
      <c r="O57" s="170"/>
      <c r="P57" s="170"/>
      <c r="Q57" s="170"/>
      <c r="R57" s="170"/>
      <c r="S57" s="170"/>
      <c r="T57" s="170"/>
    </row>
    <row r="58" spans="1:20" s="171" customFormat="1" ht="16.149999999999999" thickBot="1" x14ac:dyDescent="0.55000000000000004">
      <c r="A58" s="197"/>
      <c r="B58" s="120" t="s">
        <v>251</v>
      </c>
      <c r="C58" s="198"/>
      <c r="D58" s="180"/>
      <c r="E58" s="188">
        <v>5</v>
      </c>
      <c r="F58" s="170">
        <f>IF(OR(C58="X",C58="x"),E58,0)</f>
        <v>0</v>
      </c>
      <c r="G58" s="170"/>
      <c r="H58" s="199" t="s">
        <v>250</v>
      </c>
      <c r="I58" s="170"/>
      <c r="J58" s="170"/>
      <c r="K58" s="170"/>
      <c r="L58" s="170"/>
      <c r="M58" s="170"/>
      <c r="N58" s="170"/>
      <c r="O58" s="170"/>
      <c r="P58" s="170"/>
      <c r="Q58" s="170"/>
      <c r="R58" s="170"/>
      <c r="S58" s="170"/>
      <c r="T58" s="170"/>
    </row>
    <row r="59" spans="1:20" s="128" customFormat="1" ht="17.25" thickBot="1" x14ac:dyDescent="0.55000000000000004">
      <c r="A59" s="816" t="str">
        <f>"Kết quả khảo sát khả năng chịu đựng rủi ro: " &amp;IF(AND(SUM($F$5:$F$58)&gt;5,SUM($F$5:$F$58)&lt;18),"Bạn là người ngại rủi ro, bạn nên duy trì các tài sản rủi ro tại mức thấp",IF(AND(SUM($F$5:$F$58)&gt;17,SUM($F$5:$F$58)&lt;28),"Bạn là người trung lập với rủi ro, bạn nên duy trì các tài sản rủi ro tại mức trung bình","Bạn là người chấp nhận rủi ro, bạn có thể gia tăng tỷ trọng các tài sản có mức độ rủi ro cao"))</f>
        <v>Kết quả khảo sát khả năng chịu đựng rủi ro: Bạn là người trung lập với rủi ro, bạn nên duy trì các tài sản rủi ro tại mức trung bình</v>
      </c>
      <c r="B59" s="817"/>
      <c r="C59" s="818"/>
      <c r="D59" s="125"/>
      <c r="E59" s="126"/>
      <c r="F59" s="126">
        <f>SUM(F5:F58)</f>
        <v>23</v>
      </c>
      <c r="G59" s="126"/>
      <c r="H59" s="127" t="s">
        <v>249</v>
      </c>
      <c r="I59" s="126"/>
      <c r="J59" s="126"/>
      <c r="K59" s="126"/>
      <c r="L59" s="126"/>
      <c r="M59" s="126"/>
      <c r="N59" s="126"/>
      <c r="O59" s="126"/>
      <c r="P59" s="126"/>
      <c r="Q59" s="126"/>
      <c r="R59" s="126"/>
      <c r="S59" s="126"/>
      <c r="T59" s="126"/>
    </row>
    <row r="60" spans="1:20" ht="16.149999999999999" thickBot="1" x14ac:dyDescent="0.55000000000000004">
      <c r="E60" s="102"/>
      <c r="F60" s="102"/>
      <c r="G60" s="102"/>
      <c r="H60" s="121" t="s">
        <v>248</v>
      </c>
      <c r="I60" s="102"/>
      <c r="J60" s="102"/>
      <c r="K60" s="102"/>
      <c r="L60" s="102"/>
      <c r="M60" s="102"/>
      <c r="N60" s="102"/>
      <c r="O60" s="102"/>
      <c r="P60" s="102"/>
      <c r="Q60" s="102"/>
      <c r="R60" s="102"/>
      <c r="S60" s="102"/>
      <c r="T60" s="102"/>
    </row>
    <row r="61" spans="1:20" s="97" customFormat="1" ht="25.9" thickBot="1" x14ac:dyDescent="0.8">
      <c r="A61" s="93"/>
      <c r="B61" s="159" t="s">
        <v>247</v>
      </c>
      <c r="C61" s="94"/>
      <c r="D61" s="95"/>
      <c r="E61" s="129"/>
      <c r="F61" s="130"/>
      <c r="G61" s="130"/>
      <c r="H61" s="131" t="s">
        <v>246</v>
      </c>
      <c r="I61" s="130"/>
      <c r="J61" s="130"/>
      <c r="K61" s="130"/>
      <c r="L61" s="130"/>
      <c r="M61" s="130"/>
      <c r="N61" s="130"/>
      <c r="O61" s="130"/>
      <c r="P61" s="130"/>
      <c r="Q61" s="130"/>
      <c r="R61" s="130"/>
      <c r="S61" s="130"/>
      <c r="T61" s="130"/>
    </row>
    <row r="62" spans="1:20" ht="16.149999999999999" thickBot="1" x14ac:dyDescent="0.55000000000000004">
      <c r="A62" s="98"/>
      <c r="B62" s="99" t="s">
        <v>48</v>
      </c>
      <c r="C62" s="100" t="s">
        <v>245</v>
      </c>
      <c r="D62" s="101"/>
      <c r="E62" s="122"/>
      <c r="F62" s="102"/>
      <c r="G62" s="102"/>
      <c r="H62" s="102"/>
      <c r="I62" s="102"/>
      <c r="J62" s="102"/>
      <c r="K62" s="102"/>
      <c r="L62" s="102"/>
      <c r="M62" s="102"/>
      <c r="N62" s="102"/>
      <c r="O62" s="102"/>
      <c r="P62" s="102"/>
      <c r="Q62" s="102"/>
      <c r="R62" s="102"/>
      <c r="S62" s="102"/>
      <c r="T62" s="102"/>
    </row>
    <row r="63" spans="1:20" s="187" customFormat="1" x14ac:dyDescent="0.5">
      <c r="A63" s="172">
        <v>1</v>
      </c>
      <c r="B63" s="104" t="s">
        <v>244</v>
      </c>
      <c r="C63" s="173"/>
      <c r="D63" s="184"/>
      <c r="E63" s="200"/>
      <c r="F63" s="186"/>
      <c r="G63" s="186"/>
      <c r="H63" s="186"/>
      <c r="I63" s="186"/>
      <c r="J63" s="186"/>
      <c r="K63" s="186"/>
      <c r="L63" s="186"/>
      <c r="M63" s="186"/>
      <c r="N63" s="186" t="s">
        <v>190</v>
      </c>
      <c r="O63" s="186" t="s">
        <v>188</v>
      </c>
      <c r="P63" s="186" t="s">
        <v>185</v>
      </c>
      <c r="Q63" s="186" t="s">
        <v>183</v>
      </c>
      <c r="R63" s="186" t="s">
        <v>180</v>
      </c>
      <c r="S63" s="186"/>
      <c r="T63" s="186"/>
    </row>
    <row r="64" spans="1:20" s="171" customFormat="1" x14ac:dyDescent="0.5">
      <c r="A64" s="106"/>
      <c r="B64" s="106" t="s">
        <v>181</v>
      </c>
      <c r="C64" s="179"/>
      <c r="D64" s="180"/>
      <c r="E64" s="181">
        <v>1</v>
      </c>
      <c r="F64" s="170">
        <f>IF(OR(C64="X",C64="x"),E64,0)</f>
        <v>0</v>
      </c>
      <c r="G64" s="170"/>
      <c r="H64" s="170" t="s">
        <v>190</v>
      </c>
      <c r="I64" s="170"/>
      <c r="J64" s="170"/>
      <c r="K64" s="170"/>
      <c r="L64" s="170"/>
      <c r="M64" s="170">
        <v>1</v>
      </c>
      <c r="N64" s="170">
        <v>1</v>
      </c>
      <c r="O64" s="170">
        <v>2</v>
      </c>
      <c r="P64" s="170">
        <v>3</v>
      </c>
      <c r="Q64" s="170">
        <v>4</v>
      </c>
      <c r="R64" s="170">
        <v>5</v>
      </c>
      <c r="S64" s="170"/>
      <c r="T64" s="170"/>
    </row>
    <row r="65" spans="1:20" s="171" customFormat="1" x14ac:dyDescent="0.5">
      <c r="A65" s="106"/>
      <c r="B65" s="106" t="s">
        <v>182</v>
      </c>
      <c r="C65" s="179"/>
      <c r="D65" s="180"/>
      <c r="E65" s="181">
        <v>2</v>
      </c>
      <c r="F65" s="170">
        <f>IF(OR(C65="X",C65="x"),E65,0)</f>
        <v>0</v>
      </c>
      <c r="G65" s="170"/>
      <c r="H65" s="170" t="s">
        <v>188</v>
      </c>
      <c r="I65" s="170"/>
      <c r="J65" s="170"/>
      <c r="K65" s="170"/>
      <c r="L65" s="170"/>
      <c r="M65" s="170">
        <v>2</v>
      </c>
      <c r="N65" s="170">
        <v>1</v>
      </c>
      <c r="O65" s="170">
        <v>2</v>
      </c>
      <c r="P65" s="170">
        <v>3</v>
      </c>
      <c r="Q65" s="170">
        <v>4</v>
      </c>
      <c r="R65" s="170">
        <v>5</v>
      </c>
      <c r="S65" s="170"/>
      <c r="T65" s="170"/>
    </row>
    <row r="66" spans="1:20" s="171" customFormat="1" x14ac:dyDescent="0.5">
      <c r="A66" s="106"/>
      <c r="B66" s="106" t="s">
        <v>184</v>
      </c>
      <c r="C66" s="179" t="s">
        <v>186</v>
      </c>
      <c r="D66" s="180"/>
      <c r="E66" s="181">
        <v>3</v>
      </c>
      <c r="F66" s="170">
        <f>IF(OR(C66="X",C66="x"),E66,0)</f>
        <v>3</v>
      </c>
      <c r="G66" s="170"/>
      <c r="H66" s="170" t="s">
        <v>185</v>
      </c>
      <c r="I66" s="170"/>
      <c r="J66" s="170"/>
      <c r="K66" s="170"/>
      <c r="L66" s="170"/>
      <c r="M66" s="170">
        <v>3</v>
      </c>
      <c r="N66" s="170">
        <v>1</v>
      </c>
      <c r="O66" s="170">
        <v>2</v>
      </c>
      <c r="P66" s="170">
        <v>3</v>
      </c>
      <c r="Q66" s="170">
        <v>4</v>
      </c>
      <c r="R66" s="170">
        <v>5</v>
      </c>
      <c r="S66" s="170"/>
      <c r="T66" s="170"/>
    </row>
    <row r="67" spans="1:20" s="171" customFormat="1" x14ac:dyDescent="0.5">
      <c r="A67" s="106"/>
      <c r="B67" s="106" t="s">
        <v>243</v>
      </c>
      <c r="C67" s="179"/>
      <c r="D67" s="180"/>
      <c r="E67" s="181">
        <v>4</v>
      </c>
      <c r="F67" s="170">
        <f>IF(OR(C67="X",C67="x"),E67,0)</f>
        <v>0</v>
      </c>
      <c r="G67" s="170"/>
      <c r="H67" s="170" t="s">
        <v>183</v>
      </c>
      <c r="I67" s="170"/>
      <c r="J67" s="170"/>
      <c r="K67" s="170"/>
      <c r="L67" s="170"/>
      <c r="M67" s="170">
        <v>4</v>
      </c>
      <c r="N67" s="170">
        <v>1</v>
      </c>
      <c r="O67" s="170">
        <v>2</v>
      </c>
      <c r="P67" s="170">
        <v>3</v>
      </c>
      <c r="Q67" s="170">
        <v>4</v>
      </c>
      <c r="R67" s="170">
        <v>5</v>
      </c>
      <c r="S67" s="170"/>
      <c r="T67" s="170"/>
    </row>
    <row r="68" spans="1:20" s="171" customFormat="1" x14ac:dyDescent="0.5">
      <c r="A68" s="123"/>
      <c r="B68" s="123">
        <v>0</v>
      </c>
      <c r="C68" s="179"/>
      <c r="D68" s="180"/>
      <c r="E68" s="181">
        <v>5</v>
      </c>
      <c r="F68" s="170">
        <f>IF(OR(C68="X",C68="x"),E68,0)</f>
        <v>0</v>
      </c>
      <c r="G68" s="170"/>
      <c r="H68" s="170" t="s">
        <v>180</v>
      </c>
      <c r="I68" s="170"/>
      <c r="J68" s="170"/>
      <c r="K68" s="170"/>
      <c r="L68" s="170"/>
      <c r="M68" s="170">
        <v>5</v>
      </c>
      <c r="N68" s="170">
        <v>1</v>
      </c>
      <c r="O68" s="170">
        <v>2</v>
      </c>
      <c r="P68" s="170">
        <v>3</v>
      </c>
      <c r="Q68" s="170">
        <v>4</v>
      </c>
      <c r="R68" s="170">
        <v>5</v>
      </c>
      <c r="S68" s="170"/>
      <c r="T68" s="170"/>
    </row>
    <row r="69" spans="1:20" s="187" customFormat="1" x14ac:dyDescent="0.5">
      <c r="A69" s="182">
        <v>2</v>
      </c>
      <c r="B69" s="108" t="s">
        <v>242</v>
      </c>
      <c r="C69" s="183"/>
      <c r="D69" s="184"/>
      <c r="E69" s="186"/>
      <c r="F69" s="186"/>
      <c r="G69" s="186"/>
      <c r="H69" s="186"/>
      <c r="I69" s="186"/>
      <c r="J69" s="186"/>
      <c r="K69" s="186"/>
      <c r="L69" s="186"/>
      <c r="M69" s="186">
        <v>6</v>
      </c>
      <c r="N69" s="186">
        <v>1</v>
      </c>
      <c r="O69" s="186">
        <v>2</v>
      </c>
      <c r="P69" s="186">
        <v>3</v>
      </c>
      <c r="Q69" s="186">
        <v>4</v>
      </c>
      <c r="R69" s="186">
        <v>5</v>
      </c>
      <c r="S69" s="186"/>
      <c r="T69" s="186"/>
    </row>
    <row r="70" spans="1:20" s="171" customFormat="1" x14ac:dyDescent="0.5">
      <c r="A70" s="178"/>
      <c r="B70" s="106" t="s">
        <v>241</v>
      </c>
      <c r="C70" s="179"/>
      <c r="D70" s="180"/>
      <c r="E70" s="188">
        <v>1</v>
      </c>
      <c r="F70" s="170">
        <f>IF(OR(C70="X",C70="x"),E70,0)</f>
        <v>0</v>
      </c>
      <c r="G70" s="170"/>
      <c r="H70" s="170" t="s">
        <v>190</v>
      </c>
      <c r="I70" s="170"/>
      <c r="J70" s="170"/>
      <c r="K70" s="170"/>
      <c r="L70" s="170"/>
      <c r="M70" s="170">
        <v>7</v>
      </c>
      <c r="N70" s="170"/>
      <c r="O70" s="170">
        <v>2</v>
      </c>
      <c r="P70" s="170">
        <v>3</v>
      </c>
      <c r="Q70" s="170">
        <v>4</v>
      </c>
      <c r="R70" s="170">
        <v>5</v>
      </c>
      <c r="S70" s="170"/>
      <c r="T70" s="170"/>
    </row>
    <row r="71" spans="1:20" s="171" customFormat="1" x14ac:dyDescent="0.5">
      <c r="A71" s="178"/>
      <c r="B71" s="106" t="s">
        <v>240</v>
      </c>
      <c r="C71" s="179"/>
      <c r="D71" s="180"/>
      <c r="E71" s="181">
        <v>2</v>
      </c>
      <c r="F71" s="170">
        <f>IF(OR(C71="X",C71="x"),E71,0)</f>
        <v>0</v>
      </c>
      <c r="G71" s="170"/>
      <c r="H71" s="170" t="s">
        <v>188</v>
      </c>
      <c r="I71" s="170"/>
      <c r="J71" s="170"/>
      <c r="K71" s="170"/>
      <c r="L71" s="170"/>
      <c r="M71" s="170">
        <v>8</v>
      </c>
      <c r="N71" s="170">
        <v>1</v>
      </c>
      <c r="O71" s="170">
        <v>2</v>
      </c>
      <c r="P71" s="170">
        <v>3</v>
      </c>
      <c r="Q71" s="170">
        <v>4</v>
      </c>
      <c r="R71" s="170">
        <v>5</v>
      </c>
      <c r="S71" s="170"/>
      <c r="T71" s="170"/>
    </row>
    <row r="72" spans="1:20" s="171" customFormat="1" x14ac:dyDescent="0.5">
      <c r="A72" s="178"/>
      <c r="B72" s="106" t="s">
        <v>239</v>
      </c>
      <c r="C72" s="179" t="s">
        <v>186</v>
      </c>
      <c r="D72" s="180"/>
      <c r="E72" s="181">
        <v>3</v>
      </c>
      <c r="F72" s="170">
        <f>IF(OR(C72="X",C72="x"),E72,0)</f>
        <v>3</v>
      </c>
      <c r="G72" s="170"/>
      <c r="H72" s="170" t="s">
        <v>185</v>
      </c>
      <c r="I72" s="170"/>
      <c r="J72" s="170"/>
      <c r="K72" s="170"/>
      <c r="L72" s="170"/>
      <c r="M72" s="170">
        <v>9</v>
      </c>
      <c r="N72" s="170"/>
      <c r="O72" s="170">
        <v>2</v>
      </c>
      <c r="P72" s="170">
        <v>3</v>
      </c>
      <c r="Q72" s="170">
        <v>4</v>
      </c>
      <c r="R72" s="170"/>
      <c r="S72" s="170"/>
      <c r="T72" s="170"/>
    </row>
    <row r="73" spans="1:20" s="171" customFormat="1" x14ac:dyDescent="0.5">
      <c r="A73" s="178"/>
      <c r="B73" s="106" t="s">
        <v>238</v>
      </c>
      <c r="C73" s="179"/>
      <c r="D73" s="180"/>
      <c r="E73" s="181">
        <v>4</v>
      </c>
      <c r="F73" s="170">
        <f>IF(OR(C73="X",C73="x"),E73,0)</f>
        <v>0</v>
      </c>
      <c r="G73" s="170"/>
      <c r="H73" s="170" t="s">
        <v>183</v>
      </c>
      <c r="I73" s="170"/>
      <c r="J73" s="170"/>
      <c r="K73" s="170"/>
      <c r="L73" s="170"/>
      <c r="M73" s="170">
        <v>10</v>
      </c>
      <c r="N73" s="170">
        <v>1</v>
      </c>
      <c r="O73" s="170">
        <v>2</v>
      </c>
      <c r="P73" s="170">
        <v>3</v>
      </c>
      <c r="Q73" s="170">
        <v>4</v>
      </c>
      <c r="R73" s="170"/>
      <c r="S73" s="170"/>
      <c r="T73" s="170"/>
    </row>
    <row r="74" spans="1:20" s="171" customFormat="1" x14ac:dyDescent="0.5">
      <c r="A74" s="178"/>
      <c r="B74" s="106" t="s">
        <v>237</v>
      </c>
      <c r="C74" s="179"/>
      <c r="D74" s="180"/>
      <c r="E74" s="181">
        <v>5</v>
      </c>
      <c r="F74" s="170">
        <f>IF(OR(C74="X",C74="x"),E74,0)</f>
        <v>0</v>
      </c>
      <c r="G74" s="170"/>
      <c r="H74" s="170" t="s">
        <v>180</v>
      </c>
      <c r="I74" s="170"/>
      <c r="J74" s="170"/>
      <c r="K74" s="170"/>
      <c r="L74" s="170"/>
      <c r="M74" s="170">
        <v>11</v>
      </c>
      <c r="N74" s="170">
        <v>1</v>
      </c>
      <c r="O74" s="170">
        <v>2</v>
      </c>
      <c r="P74" s="170">
        <v>3</v>
      </c>
      <c r="Q74" s="170">
        <v>4</v>
      </c>
      <c r="R74" s="170">
        <v>5</v>
      </c>
      <c r="S74" s="170"/>
      <c r="T74" s="170"/>
    </row>
    <row r="75" spans="1:20" s="187" customFormat="1" x14ac:dyDescent="0.5">
      <c r="A75" s="182">
        <v>3</v>
      </c>
      <c r="B75" s="108" t="s">
        <v>236</v>
      </c>
      <c r="C75" s="183"/>
      <c r="D75" s="184"/>
      <c r="E75" s="186"/>
      <c r="F75" s="186"/>
      <c r="G75" s="186"/>
      <c r="H75" s="186"/>
      <c r="I75" s="186"/>
      <c r="J75" s="186"/>
      <c r="K75" s="186"/>
      <c r="L75" s="186"/>
      <c r="M75" s="186"/>
      <c r="N75" s="186">
        <f>SUM(N64:N74)</f>
        <v>9</v>
      </c>
      <c r="O75" s="186">
        <f>SUM(O64:O74)</f>
        <v>22</v>
      </c>
      <c r="P75" s="186">
        <f>SUM(P64:P74)</f>
        <v>33</v>
      </c>
      <c r="Q75" s="186">
        <f>SUM(Q64:Q74)</f>
        <v>44</v>
      </c>
      <c r="R75" s="186">
        <f>SUM(R64:R74)</f>
        <v>45</v>
      </c>
      <c r="S75" s="186"/>
      <c r="T75" s="186"/>
    </row>
    <row r="76" spans="1:20" s="171" customFormat="1" x14ac:dyDescent="0.5">
      <c r="A76" s="178"/>
      <c r="B76" s="106" t="s">
        <v>235</v>
      </c>
      <c r="C76" s="179" t="s">
        <v>186</v>
      </c>
      <c r="D76" s="180"/>
      <c r="E76" s="188">
        <v>1</v>
      </c>
      <c r="F76" s="170">
        <f>IF(OR(C76="X",C76="x"),E76,0)</f>
        <v>1</v>
      </c>
      <c r="G76" s="170"/>
      <c r="H76" s="170" t="s">
        <v>190</v>
      </c>
      <c r="I76" s="170"/>
      <c r="J76" s="170"/>
      <c r="K76" s="170"/>
      <c r="L76" s="170"/>
      <c r="M76" s="170"/>
      <c r="N76" s="170">
        <f>N75+4</f>
        <v>13</v>
      </c>
      <c r="O76" s="170">
        <v>22</v>
      </c>
      <c r="P76" s="170">
        <v>33</v>
      </c>
      <c r="Q76" s="170">
        <v>44</v>
      </c>
      <c r="R76" s="170">
        <f>R75+8</f>
        <v>53</v>
      </c>
      <c r="S76" s="170"/>
      <c r="T76" s="170"/>
    </row>
    <row r="77" spans="1:20" s="171" customFormat="1" x14ac:dyDescent="0.5">
      <c r="A77" s="178"/>
      <c r="B77" s="106" t="s">
        <v>234</v>
      </c>
      <c r="C77" s="179"/>
      <c r="D77" s="180"/>
      <c r="E77" s="181">
        <v>2</v>
      </c>
      <c r="F77" s="170">
        <f>IF(OR(C77="X",C77="x"),E77,0)</f>
        <v>0</v>
      </c>
      <c r="G77" s="170"/>
      <c r="H77" s="170" t="s">
        <v>188</v>
      </c>
      <c r="I77" s="170"/>
      <c r="J77" s="170"/>
      <c r="K77" s="170"/>
      <c r="L77" s="170"/>
      <c r="M77" s="170"/>
      <c r="N77" s="170"/>
      <c r="O77" s="170"/>
      <c r="P77" s="170"/>
      <c r="Q77" s="170"/>
      <c r="R77" s="170"/>
      <c r="S77" s="170"/>
      <c r="T77" s="170"/>
    </row>
    <row r="78" spans="1:20" s="171" customFormat="1" x14ac:dyDescent="0.5">
      <c r="A78" s="178"/>
      <c r="B78" s="106" t="s">
        <v>233</v>
      </c>
      <c r="C78" s="179"/>
      <c r="D78" s="180"/>
      <c r="E78" s="181">
        <v>3</v>
      </c>
      <c r="F78" s="170">
        <f>IF(OR(C78="X",C78="x"),E78,0)</f>
        <v>0</v>
      </c>
      <c r="G78" s="170"/>
      <c r="H78" s="170" t="s">
        <v>185</v>
      </c>
      <c r="I78" s="170"/>
      <c r="J78" s="170"/>
      <c r="K78" s="170"/>
      <c r="L78" s="170"/>
      <c r="M78" s="170"/>
      <c r="N78" s="170"/>
      <c r="O78" s="170"/>
      <c r="P78" s="170"/>
      <c r="Q78" s="170"/>
      <c r="R78" s="170">
        <f>42/5</f>
        <v>8.4</v>
      </c>
      <c r="S78" s="170"/>
      <c r="T78" s="170"/>
    </row>
    <row r="79" spans="1:20" s="171" customFormat="1" x14ac:dyDescent="0.5">
      <c r="A79" s="178"/>
      <c r="B79" s="106" t="s">
        <v>232</v>
      </c>
      <c r="C79" s="179"/>
      <c r="D79" s="180"/>
      <c r="E79" s="181">
        <v>4</v>
      </c>
      <c r="F79" s="170">
        <f>IF(OR(C79="X",C79="x"),E79,0)</f>
        <v>0</v>
      </c>
      <c r="G79" s="170"/>
      <c r="H79" s="170" t="s">
        <v>183</v>
      </c>
      <c r="I79" s="170"/>
      <c r="J79" s="170"/>
      <c r="K79" s="170"/>
      <c r="L79" s="170"/>
      <c r="M79" s="170"/>
      <c r="N79" s="170"/>
      <c r="O79" s="170"/>
      <c r="P79" s="170"/>
      <c r="Q79" s="170"/>
      <c r="R79" s="170"/>
      <c r="S79" s="170"/>
      <c r="T79" s="170"/>
    </row>
    <row r="80" spans="1:20" s="171" customFormat="1" x14ac:dyDescent="0.5">
      <c r="A80" s="178"/>
      <c r="B80" s="106" t="s">
        <v>231</v>
      </c>
      <c r="C80" s="179"/>
      <c r="D80" s="180"/>
      <c r="E80" s="181">
        <v>5</v>
      </c>
      <c r="F80" s="170">
        <f>IF(OR(C80="X",C80="x"),E80,0)</f>
        <v>0</v>
      </c>
      <c r="G80" s="170"/>
      <c r="H80" s="170" t="s">
        <v>180</v>
      </c>
      <c r="I80" s="170"/>
      <c r="J80" s="170"/>
      <c r="K80" s="170"/>
      <c r="L80" s="170"/>
      <c r="M80" s="170"/>
      <c r="N80" s="170" t="s">
        <v>230</v>
      </c>
      <c r="O80" s="170"/>
      <c r="P80" s="170"/>
      <c r="Q80" s="170"/>
      <c r="R80" s="170"/>
      <c r="S80" s="170"/>
      <c r="T80" s="170"/>
    </row>
    <row r="81" spans="1:20" s="187" customFormat="1" x14ac:dyDescent="0.5">
      <c r="A81" s="182">
        <v>4</v>
      </c>
      <c r="B81" s="108" t="s">
        <v>229</v>
      </c>
      <c r="C81" s="183"/>
      <c r="D81" s="184"/>
      <c r="E81" s="186"/>
      <c r="F81" s="186"/>
      <c r="G81" s="186"/>
      <c r="H81" s="186"/>
      <c r="I81" s="186"/>
      <c r="J81" s="186"/>
      <c r="K81" s="186"/>
      <c r="L81" s="186"/>
      <c r="M81" s="186"/>
      <c r="N81" s="186" t="s">
        <v>228</v>
      </c>
      <c r="O81" s="186"/>
      <c r="P81" s="186"/>
      <c r="Q81" s="186"/>
      <c r="R81" s="186"/>
      <c r="S81" s="186"/>
      <c r="T81" s="186"/>
    </row>
    <row r="82" spans="1:20" s="171" customFormat="1" x14ac:dyDescent="0.5">
      <c r="A82" s="178"/>
      <c r="B82" s="106" t="s">
        <v>227</v>
      </c>
      <c r="C82" s="179"/>
      <c r="D82" s="180"/>
      <c r="E82" s="188">
        <v>1</v>
      </c>
      <c r="F82" s="170">
        <f>IF(OR(C82="X",C82="x"),E82,0)</f>
        <v>0</v>
      </c>
      <c r="G82" s="170"/>
      <c r="H82" s="170" t="s">
        <v>190</v>
      </c>
      <c r="I82" s="170"/>
      <c r="J82" s="170"/>
      <c r="K82" s="170"/>
      <c r="L82" s="170"/>
      <c r="M82" s="170"/>
      <c r="N82" s="170" t="s">
        <v>226</v>
      </c>
      <c r="O82" s="170"/>
      <c r="P82" s="170"/>
      <c r="Q82" s="170"/>
      <c r="R82" s="170"/>
      <c r="S82" s="170"/>
      <c r="T82" s="170"/>
    </row>
    <row r="83" spans="1:20" s="171" customFormat="1" x14ac:dyDescent="0.5">
      <c r="A83" s="178"/>
      <c r="B83" s="106" t="s">
        <v>225</v>
      </c>
      <c r="C83" s="179"/>
      <c r="D83" s="180"/>
      <c r="E83" s="181">
        <v>2</v>
      </c>
      <c r="F83" s="170">
        <f>IF(OR(C83="X",C83="x"),E83,0)</f>
        <v>0</v>
      </c>
      <c r="G83" s="170"/>
      <c r="H83" s="170" t="s">
        <v>188</v>
      </c>
      <c r="I83" s="170"/>
      <c r="J83" s="170"/>
      <c r="K83" s="170"/>
      <c r="L83" s="170"/>
      <c r="M83" s="170"/>
      <c r="N83" s="170" t="s">
        <v>224</v>
      </c>
      <c r="O83" s="170"/>
      <c r="P83" s="170"/>
      <c r="Q83" s="170"/>
      <c r="R83" s="170"/>
      <c r="S83" s="170"/>
      <c r="T83" s="170"/>
    </row>
    <row r="84" spans="1:20" s="171" customFormat="1" x14ac:dyDescent="0.5">
      <c r="A84" s="178"/>
      <c r="B84" s="106" t="s">
        <v>223</v>
      </c>
      <c r="C84" s="179"/>
      <c r="D84" s="180"/>
      <c r="E84" s="181">
        <v>3</v>
      </c>
      <c r="F84" s="170">
        <f>IF(OR(C84="X",C84="x"),E84,0)</f>
        <v>0</v>
      </c>
      <c r="G84" s="170"/>
      <c r="H84" s="170" t="s">
        <v>185</v>
      </c>
      <c r="I84" s="170"/>
      <c r="J84" s="170"/>
      <c r="K84" s="170"/>
      <c r="L84" s="170"/>
      <c r="M84" s="170"/>
      <c r="N84" s="170" t="s">
        <v>222</v>
      </c>
      <c r="O84" s="170"/>
      <c r="P84" s="170"/>
      <c r="Q84" s="170"/>
      <c r="R84" s="170"/>
      <c r="S84" s="170"/>
      <c r="T84" s="170"/>
    </row>
    <row r="85" spans="1:20" s="171" customFormat="1" x14ac:dyDescent="0.5">
      <c r="A85" s="178"/>
      <c r="B85" s="106" t="s">
        <v>221</v>
      </c>
      <c r="C85" s="179"/>
      <c r="D85" s="180"/>
      <c r="E85" s="181">
        <v>4</v>
      </c>
      <c r="F85" s="170">
        <f>IF(OR(C85="X",C85="x"),E85,0)</f>
        <v>0</v>
      </c>
      <c r="G85" s="170"/>
      <c r="H85" s="170" t="s">
        <v>183</v>
      </c>
      <c r="I85" s="170"/>
      <c r="J85" s="170"/>
      <c r="K85" s="170"/>
      <c r="L85" s="170"/>
      <c r="M85" s="170"/>
      <c r="N85" s="170"/>
      <c r="O85" s="170"/>
      <c r="P85" s="170"/>
      <c r="Q85" s="170"/>
      <c r="R85" s="170"/>
      <c r="S85" s="170"/>
      <c r="T85" s="170"/>
    </row>
    <row r="86" spans="1:20" s="171" customFormat="1" x14ac:dyDescent="0.5">
      <c r="A86" s="178"/>
      <c r="B86" s="106" t="s">
        <v>220</v>
      </c>
      <c r="C86" s="179" t="s">
        <v>186</v>
      </c>
      <c r="D86" s="180"/>
      <c r="E86" s="181">
        <v>5</v>
      </c>
      <c r="F86" s="170">
        <f>IF(OR(C86="X",C86="x"),E86,0)</f>
        <v>5</v>
      </c>
      <c r="G86" s="170"/>
      <c r="H86" s="170" t="s">
        <v>180</v>
      </c>
      <c r="I86" s="170"/>
      <c r="J86" s="170"/>
      <c r="K86" s="170"/>
      <c r="L86" s="170"/>
      <c r="M86" s="170"/>
      <c r="N86" s="170"/>
      <c r="O86" s="170"/>
      <c r="P86" s="170"/>
      <c r="Q86" s="170"/>
      <c r="R86" s="170"/>
      <c r="S86" s="170"/>
      <c r="T86" s="170"/>
    </row>
    <row r="87" spans="1:20" s="187" customFormat="1" x14ac:dyDescent="0.5">
      <c r="A87" s="182">
        <v>5</v>
      </c>
      <c r="B87" s="108" t="s">
        <v>219</v>
      </c>
      <c r="C87" s="183"/>
      <c r="D87" s="184"/>
      <c r="E87" s="186"/>
      <c r="F87" s="186"/>
      <c r="G87" s="186"/>
      <c r="H87" s="186"/>
      <c r="I87" s="186"/>
      <c r="J87" s="186"/>
      <c r="K87" s="186"/>
      <c r="L87" s="186"/>
      <c r="M87" s="186"/>
      <c r="N87" s="186"/>
      <c r="O87" s="186"/>
      <c r="P87" s="186"/>
      <c r="Q87" s="186"/>
      <c r="R87" s="186"/>
      <c r="S87" s="186"/>
      <c r="T87" s="186"/>
    </row>
    <row r="88" spans="1:20" s="171" customFormat="1" x14ac:dyDescent="0.5">
      <c r="A88" s="178"/>
      <c r="B88" s="106" t="s">
        <v>218</v>
      </c>
      <c r="C88" s="179"/>
      <c r="D88" s="180"/>
      <c r="E88" s="188">
        <v>1</v>
      </c>
      <c r="F88" s="170">
        <f>IF(OR(C88="X",C88="x"),E88,0)</f>
        <v>0</v>
      </c>
      <c r="G88" s="170"/>
      <c r="H88" s="170" t="s">
        <v>190</v>
      </c>
      <c r="I88" s="170"/>
      <c r="J88" s="170"/>
      <c r="K88" s="170"/>
      <c r="L88" s="170"/>
      <c r="M88" s="170"/>
      <c r="N88" s="170"/>
      <c r="O88" s="170"/>
      <c r="P88" s="170"/>
      <c r="Q88" s="170"/>
      <c r="R88" s="170"/>
      <c r="S88" s="170"/>
      <c r="T88" s="170"/>
    </row>
    <row r="89" spans="1:20" s="171" customFormat="1" x14ac:dyDescent="0.5">
      <c r="A89" s="178"/>
      <c r="B89" s="106" t="s">
        <v>217</v>
      </c>
      <c r="C89" s="179"/>
      <c r="D89" s="180"/>
      <c r="E89" s="181">
        <v>2</v>
      </c>
      <c r="F89" s="170">
        <f>IF(OR(C89="X",C89="x"),E89,0)</f>
        <v>0</v>
      </c>
      <c r="G89" s="170"/>
      <c r="H89" s="170" t="s">
        <v>188</v>
      </c>
      <c r="I89" s="170"/>
      <c r="J89" s="170"/>
      <c r="K89" s="170"/>
      <c r="L89" s="170"/>
      <c r="M89" s="170"/>
      <c r="N89" s="170"/>
      <c r="O89" s="170"/>
      <c r="P89" s="170"/>
      <c r="Q89" s="170"/>
      <c r="R89" s="170"/>
      <c r="S89" s="170"/>
      <c r="T89" s="170"/>
    </row>
    <row r="90" spans="1:20" s="171" customFormat="1" x14ac:dyDescent="0.5">
      <c r="A90" s="178"/>
      <c r="B90" s="106" t="s">
        <v>216</v>
      </c>
      <c r="C90" s="179" t="s">
        <v>186</v>
      </c>
      <c r="D90" s="180"/>
      <c r="E90" s="181">
        <v>3</v>
      </c>
      <c r="F90" s="170">
        <f>IF(OR(C90="X",C90="x"),E90,0)</f>
        <v>3</v>
      </c>
      <c r="G90" s="170"/>
      <c r="H90" s="170" t="s">
        <v>185</v>
      </c>
      <c r="I90" s="170"/>
      <c r="J90" s="170"/>
      <c r="K90" s="170"/>
      <c r="L90" s="170"/>
      <c r="M90" s="170"/>
      <c r="N90" s="170"/>
      <c r="O90" s="170"/>
      <c r="P90" s="170"/>
      <c r="Q90" s="170"/>
      <c r="R90" s="170"/>
      <c r="S90" s="170"/>
      <c r="T90" s="170"/>
    </row>
    <row r="91" spans="1:20" s="171" customFormat="1" x14ac:dyDescent="0.5">
      <c r="A91" s="178"/>
      <c r="B91" s="106" t="s">
        <v>215</v>
      </c>
      <c r="C91" s="179"/>
      <c r="D91" s="180"/>
      <c r="E91" s="181">
        <v>4</v>
      </c>
      <c r="F91" s="170">
        <f>IF(OR(C91="X",C91="x"),E91,0)</f>
        <v>0</v>
      </c>
      <c r="G91" s="170"/>
      <c r="H91" s="170" t="s">
        <v>183</v>
      </c>
      <c r="I91" s="170"/>
      <c r="J91" s="170"/>
      <c r="K91" s="170"/>
      <c r="L91" s="170"/>
      <c r="M91" s="170"/>
      <c r="N91" s="170"/>
      <c r="O91" s="170"/>
      <c r="P91" s="170"/>
      <c r="Q91" s="170"/>
      <c r="R91" s="170"/>
      <c r="S91" s="170"/>
      <c r="T91" s="170"/>
    </row>
    <row r="92" spans="1:20" s="171" customFormat="1" x14ac:dyDescent="0.5">
      <c r="A92" s="178"/>
      <c r="B92" s="106" t="s">
        <v>214</v>
      </c>
      <c r="C92" s="179"/>
      <c r="D92" s="180"/>
      <c r="E92" s="181">
        <v>5</v>
      </c>
      <c r="F92" s="170">
        <f>IF(OR(C92="X",C92="x"),E92,0)</f>
        <v>0</v>
      </c>
      <c r="G92" s="170"/>
      <c r="H92" s="170" t="s">
        <v>180</v>
      </c>
      <c r="I92" s="170"/>
      <c r="J92" s="170"/>
      <c r="K92" s="170"/>
      <c r="L92" s="170"/>
      <c r="M92" s="170"/>
      <c r="N92" s="170"/>
      <c r="O92" s="170"/>
      <c r="P92" s="170"/>
      <c r="Q92" s="170"/>
      <c r="R92" s="170"/>
      <c r="S92" s="170"/>
      <c r="T92" s="170"/>
    </row>
    <row r="93" spans="1:20" s="187" customFormat="1" x14ac:dyDescent="0.5">
      <c r="A93" s="182">
        <v>6</v>
      </c>
      <c r="B93" s="108" t="s">
        <v>213</v>
      </c>
      <c r="C93" s="183"/>
      <c r="D93" s="184"/>
      <c r="E93" s="186"/>
      <c r="F93" s="186"/>
      <c r="G93" s="186"/>
      <c r="H93" s="186"/>
      <c r="I93" s="186"/>
      <c r="J93" s="186"/>
      <c r="K93" s="186"/>
      <c r="L93" s="186"/>
      <c r="M93" s="186"/>
      <c r="N93" s="186"/>
      <c r="O93" s="186"/>
      <c r="P93" s="186"/>
      <c r="Q93" s="186"/>
      <c r="R93" s="186"/>
      <c r="S93" s="186"/>
      <c r="T93" s="186"/>
    </row>
    <row r="94" spans="1:20" s="171" customFormat="1" x14ac:dyDescent="0.5">
      <c r="A94" s="178"/>
      <c r="B94" s="106">
        <v>4</v>
      </c>
      <c r="C94" s="179"/>
      <c r="D94" s="180"/>
      <c r="E94" s="188">
        <v>1</v>
      </c>
      <c r="F94" s="170">
        <f>IF(OR(C94="X",C94="x"),E94,0)</f>
        <v>0</v>
      </c>
      <c r="G94" s="170"/>
      <c r="H94" s="170" t="s">
        <v>190</v>
      </c>
      <c r="I94" s="170"/>
      <c r="J94" s="170"/>
      <c r="K94" s="170"/>
      <c r="L94" s="170"/>
      <c r="M94" s="170"/>
      <c r="N94" s="170"/>
      <c r="O94" s="170"/>
      <c r="P94" s="170"/>
      <c r="Q94" s="170"/>
      <c r="R94" s="170"/>
      <c r="S94" s="170"/>
      <c r="T94" s="170"/>
    </row>
    <row r="95" spans="1:20" s="171" customFormat="1" x14ac:dyDescent="0.5">
      <c r="A95" s="178"/>
      <c r="B95" s="106">
        <v>3</v>
      </c>
      <c r="C95" s="179"/>
      <c r="D95" s="180"/>
      <c r="E95" s="181">
        <v>2</v>
      </c>
      <c r="F95" s="170">
        <f>IF(OR(C95="X",C95="x"),E95,0)</f>
        <v>0</v>
      </c>
      <c r="G95" s="170"/>
      <c r="H95" s="170" t="s">
        <v>188</v>
      </c>
      <c r="I95" s="170"/>
      <c r="J95" s="170"/>
      <c r="K95" s="170"/>
      <c r="L95" s="170"/>
      <c r="M95" s="170"/>
      <c r="N95" s="170"/>
      <c r="O95" s="170"/>
      <c r="P95" s="170"/>
      <c r="Q95" s="170"/>
      <c r="R95" s="170"/>
      <c r="S95" s="170"/>
      <c r="T95" s="170"/>
    </row>
    <row r="96" spans="1:20" s="171" customFormat="1" x14ac:dyDescent="0.5">
      <c r="A96" s="178"/>
      <c r="B96" s="106">
        <v>2</v>
      </c>
      <c r="C96" s="179"/>
      <c r="D96" s="180"/>
      <c r="E96" s="181">
        <v>3</v>
      </c>
      <c r="F96" s="170">
        <f>IF(OR(C96="X",C96="x"),E96,0)</f>
        <v>0</v>
      </c>
      <c r="G96" s="170"/>
      <c r="H96" s="170" t="s">
        <v>185</v>
      </c>
      <c r="I96" s="170"/>
      <c r="J96" s="170"/>
      <c r="K96" s="170"/>
      <c r="L96" s="170"/>
      <c r="M96" s="170"/>
      <c r="N96" s="170"/>
      <c r="O96" s="170"/>
      <c r="P96" s="170"/>
      <c r="Q96" s="170"/>
      <c r="R96" s="170"/>
      <c r="S96" s="170"/>
      <c r="T96" s="170"/>
    </row>
    <row r="97" spans="1:20" s="171" customFormat="1" x14ac:dyDescent="0.5">
      <c r="A97" s="178"/>
      <c r="B97" s="106">
        <v>1</v>
      </c>
      <c r="C97" s="179"/>
      <c r="D97" s="180"/>
      <c r="E97" s="181">
        <v>4</v>
      </c>
      <c r="F97" s="170">
        <f>IF(OR(C97="X",C97="x"),E97,0)</f>
        <v>0</v>
      </c>
      <c r="G97" s="170"/>
      <c r="H97" s="170" t="s">
        <v>183</v>
      </c>
      <c r="I97" s="170"/>
      <c r="J97" s="170"/>
      <c r="K97" s="170"/>
      <c r="L97" s="170"/>
      <c r="M97" s="170"/>
      <c r="N97" s="170"/>
      <c r="O97" s="170"/>
      <c r="P97" s="170"/>
      <c r="Q97" s="170"/>
      <c r="R97" s="170"/>
      <c r="S97" s="170"/>
      <c r="T97" s="170"/>
    </row>
    <row r="98" spans="1:20" s="171" customFormat="1" x14ac:dyDescent="0.5">
      <c r="A98" s="178"/>
      <c r="B98" s="106">
        <v>0</v>
      </c>
      <c r="C98" s="179" t="s">
        <v>186</v>
      </c>
      <c r="D98" s="180"/>
      <c r="E98" s="181">
        <v>5</v>
      </c>
      <c r="F98" s="170">
        <f>IF(OR(C98="X",C98="x"),E98,0)</f>
        <v>5</v>
      </c>
      <c r="G98" s="170"/>
      <c r="H98" s="170" t="s">
        <v>180</v>
      </c>
      <c r="I98" s="170"/>
      <c r="J98" s="170"/>
      <c r="K98" s="170"/>
      <c r="L98" s="170"/>
      <c r="M98" s="170"/>
      <c r="N98" s="170"/>
      <c r="O98" s="170"/>
      <c r="P98" s="170"/>
      <c r="Q98" s="170"/>
      <c r="R98" s="170"/>
      <c r="S98" s="170"/>
      <c r="T98" s="170"/>
    </row>
    <row r="99" spans="1:20" s="187" customFormat="1" x14ac:dyDescent="0.5">
      <c r="A99" s="182">
        <v>7</v>
      </c>
      <c r="B99" s="108" t="s">
        <v>212</v>
      </c>
      <c r="C99" s="183"/>
      <c r="D99" s="184"/>
      <c r="E99" s="186"/>
      <c r="F99" s="186"/>
      <c r="G99" s="186"/>
      <c r="H99" s="186"/>
      <c r="I99" s="186"/>
      <c r="J99" s="186"/>
      <c r="K99" s="186"/>
      <c r="L99" s="186"/>
      <c r="M99" s="186"/>
      <c r="N99" s="186"/>
      <c r="O99" s="186"/>
      <c r="P99" s="186"/>
      <c r="Q99" s="186"/>
      <c r="R99" s="186"/>
      <c r="S99" s="186"/>
      <c r="T99" s="186"/>
    </row>
    <row r="100" spans="1:20" s="171" customFormat="1" x14ac:dyDescent="0.5">
      <c r="A100" s="178"/>
      <c r="B100" s="106" t="s">
        <v>211</v>
      </c>
      <c r="C100" s="179"/>
      <c r="D100" s="180"/>
      <c r="E100" s="188">
        <v>2</v>
      </c>
      <c r="F100" s="170">
        <f>IF(OR(C100="X",C100="x"),E100,0)</f>
        <v>0</v>
      </c>
      <c r="G100" s="170"/>
      <c r="H100" s="170" t="s">
        <v>188</v>
      </c>
      <c r="I100" s="170"/>
      <c r="J100" s="170"/>
      <c r="K100" s="170"/>
      <c r="L100" s="170"/>
      <c r="M100" s="170"/>
      <c r="N100" s="170"/>
      <c r="O100" s="170"/>
      <c r="P100" s="170"/>
      <c r="Q100" s="170"/>
      <c r="R100" s="170"/>
      <c r="S100" s="170"/>
      <c r="T100" s="170"/>
    </row>
    <row r="101" spans="1:20" s="171" customFormat="1" x14ac:dyDescent="0.5">
      <c r="A101" s="178"/>
      <c r="B101" s="106" t="s">
        <v>210</v>
      </c>
      <c r="C101" s="179"/>
      <c r="D101" s="180"/>
      <c r="E101" s="181">
        <v>3</v>
      </c>
      <c r="F101" s="170">
        <f>IF(OR(C101="X",C101="x"),E101,0)</f>
        <v>0</v>
      </c>
      <c r="G101" s="170"/>
      <c r="H101" s="170" t="s">
        <v>185</v>
      </c>
      <c r="I101" s="170"/>
      <c r="J101" s="170"/>
      <c r="K101" s="170"/>
      <c r="L101" s="170"/>
      <c r="M101" s="170"/>
      <c r="N101" s="170"/>
      <c r="O101" s="170"/>
      <c r="P101" s="170"/>
      <c r="Q101" s="170"/>
      <c r="R101" s="170"/>
      <c r="S101" s="170"/>
      <c r="T101" s="170"/>
    </row>
    <row r="102" spans="1:20" s="171" customFormat="1" x14ac:dyDescent="0.5">
      <c r="A102" s="178"/>
      <c r="B102" s="106" t="s">
        <v>209</v>
      </c>
      <c r="C102" s="179"/>
      <c r="D102" s="180"/>
      <c r="E102" s="181">
        <v>4</v>
      </c>
      <c r="F102" s="170">
        <f>IF(OR(C102="X",C102="x"),E102,0)</f>
        <v>0</v>
      </c>
      <c r="G102" s="170"/>
      <c r="H102" s="170" t="s">
        <v>183</v>
      </c>
      <c r="I102" s="170"/>
      <c r="J102" s="170"/>
      <c r="K102" s="170"/>
      <c r="L102" s="170"/>
      <c r="M102" s="170"/>
      <c r="N102" s="170"/>
      <c r="O102" s="170"/>
      <c r="P102" s="170"/>
      <c r="Q102" s="170"/>
      <c r="R102" s="170"/>
      <c r="S102" s="170"/>
      <c r="T102" s="170"/>
    </row>
    <row r="103" spans="1:20" s="171" customFormat="1" x14ac:dyDescent="0.5">
      <c r="A103" s="178"/>
      <c r="B103" s="106" t="s">
        <v>208</v>
      </c>
      <c r="C103" s="179" t="s">
        <v>186</v>
      </c>
      <c r="D103" s="180"/>
      <c r="E103" s="181">
        <v>5</v>
      </c>
      <c r="F103" s="170">
        <f>IF(OR(C103="X",C103="x"),E103,0)</f>
        <v>5</v>
      </c>
      <c r="G103" s="170"/>
      <c r="H103" s="170" t="s">
        <v>180</v>
      </c>
      <c r="I103" s="170"/>
      <c r="J103" s="170"/>
      <c r="K103" s="170"/>
      <c r="L103" s="170"/>
      <c r="M103" s="170"/>
      <c r="N103" s="170"/>
      <c r="O103" s="170"/>
      <c r="P103" s="170"/>
      <c r="Q103" s="170"/>
      <c r="R103" s="170"/>
      <c r="S103" s="170"/>
      <c r="T103" s="170"/>
    </row>
    <row r="104" spans="1:20" s="187" customFormat="1" x14ac:dyDescent="0.5">
      <c r="A104" s="182">
        <v>8</v>
      </c>
      <c r="B104" s="108" t="s">
        <v>207</v>
      </c>
      <c r="C104" s="183"/>
      <c r="D104" s="184"/>
      <c r="E104" s="186"/>
      <c r="F104" s="186"/>
      <c r="G104" s="186"/>
      <c r="H104" s="186"/>
      <c r="I104" s="186"/>
      <c r="J104" s="186"/>
      <c r="K104" s="186"/>
      <c r="L104" s="186"/>
      <c r="M104" s="186"/>
      <c r="N104" s="186"/>
      <c r="O104" s="186"/>
      <c r="P104" s="186"/>
      <c r="Q104" s="186"/>
      <c r="R104" s="186"/>
      <c r="S104" s="186"/>
      <c r="T104" s="186"/>
    </row>
    <row r="105" spans="1:20" s="171" customFormat="1" x14ac:dyDescent="0.5">
      <c r="A105" s="178"/>
      <c r="B105" s="106" t="s">
        <v>206</v>
      </c>
      <c r="C105" s="179"/>
      <c r="D105" s="180"/>
      <c r="E105" s="188">
        <v>1</v>
      </c>
      <c r="F105" s="170">
        <f>IF(OR(C105="X",C105="x"),E105,0)</f>
        <v>0</v>
      </c>
      <c r="G105" s="170"/>
      <c r="H105" s="170" t="s">
        <v>190</v>
      </c>
      <c r="I105" s="170"/>
      <c r="J105" s="170"/>
      <c r="K105" s="170"/>
      <c r="L105" s="170"/>
      <c r="M105" s="170"/>
      <c r="N105" s="170"/>
      <c r="O105" s="170"/>
      <c r="P105" s="170"/>
      <c r="Q105" s="170"/>
      <c r="R105" s="170"/>
      <c r="S105" s="170"/>
      <c r="T105" s="170"/>
    </row>
    <row r="106" spans="1:20" s="171" customFormat="1" x14ac:dyDescent="0.5">
      <c r="A106" s="178"/>
      <c r="B106" s="106" t="s">
        <v>205</v>
      </c>
      <c r="C106" s="179"/>
      <c r="D106" s="180"/>
      <c r="E106" s="181">
        <v>2</v>
      </c>
      <c r="F106" s="170">
        <f>IF(OR(C106="X",C106="x"),E106,0)</f>
        <v>0</v>
      </c>
      <c r="G106" s="170"/>
      <c r="H106" s="170" t="s">
        <v>188</v>
      </c>
      <c r="I106" s="170"/>
      <c r="J106" s="170"/>
      <c r="K106" s="170"/>
      <c r="L106" s="170"/>
      <c r="M106" s="170"/>
      <c r="N106" s="170"/>
      <c r="O106" s="170"/>
      <c r="P106" s="170"/>
      <c r="Q106" s="170"/>
      <c r="R106" s="170"/>
      <c r="S106" s="170"/>
      <c r="T106" s="170"/>
    </row>
    <row r="107" spans="1:20" s="171" customFormat="1" x14ac:dyDescent="0.5">
      <c r="A107" s="178"/>
      <c r="B107" s="106" t="s">
        <v>204</v>
      </c>
      <c r="C107" s="179"/>
      <c r="D107" s="180"/>
      <c r="E107" s="181">
        <v>3</v>
      </c>
      <c r="F107" s="170">
        <f>IF(OR(C107="X",C107="x"),E107,0)</f>
        <v>0</v>
      </c>
      <c r="G107" s="170"/>
      <c r="H107" s="170" t="s">
        <v>185</v>
      </c>
      <c r="I107" s="170"/>
      <c r="J107" s="170"/>
      <c r="K107" s="170"/>
      <c r="L107" s="170"/>
      <c r="M107" s="170"/>
      <c r="N107" s="170"/>
      <c r="O107" s="170"/>
      <c r="P107" s="170"/>
      <c r="Q107" s="170"/>
      <c r="R107" s="170"/>
      <c r="S107" s="170"/>
      <c r="T107" s="170"/>
    </row>
    <row r="108" spans="1:20" s="171" customFormat="1" x14ac:dyDescent="0.5">
      <c r="A108" s="178"/>
      <c r="B108" s="106" t="s">
        <v>203</v>
      </c>
      <c r="C108" s="179" t="s">
        <v>186</v>
      </c>
      <c r="D108" s="180"/>
      <c r="E108" s="181">
        <v>4</v>
      </c>
      <c r="F108" s="170">
        <f>IF(OR(C108="X",C108="x"),E108,0)</f>
        <v>4</v>
      </c>
      <c r="G108" s="170"/>
      <c r="H108" s="170" t="s">
        <v>183</v>
      </c>
      <c r="I108" s="170"/>
      <c r="J108" s="170"/>
      <c r="K108" s="170"/>
      <c r="L108" s="170"/>
      <c r="M108" s="170"/>
      <c r="N108" s="170"/>
      <c r="O108" s="170"/>
      <c r="P108" s="170"/>
      <c r="Q108" s="170"/>
      <c r="R108" s="170"/>
      <c r="S108" s="170"/>
      <c r="T108" s="170"/>
    </row>
    <row r="109" spans="1:20" s="171" customFormat="1" x14ac:dyDescent="0.5">
      <c r="A109" s="178"/>
      <c r="B109" s="106" t="s">
        <v>202</v>
      </c>
      <c r="C109" s="179"/>
      <c r="D109" s="180"/>
      <c r="E109" s="181">
        <v>5</v>
      </c>
      <c r="F109" s="170">
        <f>IF(OR(C109="X",C109="x"),E109,0)</f>
        <v>0</v>
      </c>
      <c r="G109" s="170"/>
      <c r="H109" s="170" t="s">
        <v>180</v>
      </c>
      <c r="I109" s="170"/>
      <c r="J109" s="170"/>
      <c r="K109" s="170"/>
      <c r="L109" s="170"/>
      <c r="M109" s="170"/>
      <c r="N109" s="170"/>
      <c r="O109" s="170"/>
      <c r="P109" s="170"/>
      <c r="Q109" s="170"/>
      <c r="R109" s="170"/>
      <c r="S109" s="170"/>
      <c r="T109" s="170"/>
    </row>
    <row r="110" spans="1:20" s="187" customFormat="1" x14ac:dyDescent="0.5">
      <c r="A110" s="182">
        <v>9</v>
      </c>
      <c r="B110" s="108" t="s">
        <v>201</v>
      </c>
      <c r="C110" s="183"/>
      <c r="D110" s="184"/>
      <c r="E110" s="186"/>
      <c r="F110" s="186"/>
      <c r="G110" s="186"/>
      <c r="H110" s="186"/>
      <c r="I110" s="186"/>
      <c r="J110" s="186"/>
      <c r="K110" s="186"/>
      <c r="L110" s="186"/>
      <c r="M110" s="186"/>
      <c r="N110" s="186"/>
      <c r="O110" s="186"/>
      <c r="P110" s="186"/>
      <c r="Q110" s="186"/>
      <c r="R110" s="186"/>
      <c r="S110" s="186"/>
      <c r="T110" s="186"/>
    </row>
    <row r="111" spans="1:20" s="171" customFormat="1" x14ac:dyDescent="0.5">
      <c r="A111" s="178"/>
      <c r="B111" s="106" t="s">
        <v>200</v>
      </c>
      <c r="C111" s="179" t="s">
        <v>186</v>
      </c>
      <c r="D111" s="180"/>
      <c r="E111" s="188">
        <v>2</v>
      </c>
      <c r="F111" s="170">
        <f>IF(OR(C111="X",C111="x"),E111,0)</f>
        <v>2</v>
      </c>
      <c r="G111" s="170"/>
      <c r="H111" s="170" t="s">
        <v>188</v>
      </c>
      <c r="I111" s="170"/>
      <c r="J111" s="170"/>
      <c r="K111" s="170"/>
      <c r="L111" s="170"/>
      <c r="M111" s="170"/>
      <c r="N111" s="170"/>
      <c r="O111" s="170"/>
      <c r="P111" s="170"/>
      <c r="Q111" s="170"/>
      <c r="R111" s="170"/>
      <c r="S111" s="170"/>
      <c r="T111" s="170"/>
    </row>
    <row r="112" spans="1:20" s="171" customFormat="1" x14ac:dyDescent="0.5">
      <c r="A112" s="178"/>
      <c r="B112" s="106" t="s">
        <v>199</v>
      </c>
      <c r="C112" s="179"/>
      <c r="D112" s="180"/>
      <c r="E112" s="181">
        <v>3</v>
      </c>
      <c r="F112" s="170">
        <f>IF(OR(C112="X",C112="x"),E112,0)</f>
        <v>0</v>
      </c>
      <c r="G112" s="170"/>
      <c r="H112" s="170" t="s">
        <v>185</v>
      </c>
      <c r="I112" s="170"/>
      <c r="J112" s="170"/>
      <c r="K112" s="170"/>
      <c r="L112" s="170"/>
      <c r="M112" s="170"/>
      <c r="N112" s="170"/>
      <c r="O112" s="170"/>
      <c r="P112" s="170"/>
      <c r="Q112" s="170"/>
      <c r="R112" s="170"/>
      <c r="S112" s="170"/>
      <c r="T112" s="170"/>
    </row>
    <row r="113" spans="1:20" s="171" customFormat="1" x14ac:dyDescent="0.5">
      <c r="A113" s="178"/>
      <c r="B113" s="106" t="s">
        <v>198</v>
      </c>
      <c r="C113" s="179"/>
      <c r="D113" s="180"/>
      <c r="E113" s="181">
        <v>4</v>
      </c>
      <c r="F113" s="170">
        <f>IF(OR(C113="X",C113="x"),E113,0)</f>
        <v>0</v>
      </c>
      <c r="G113" s="170"/>
      <c r="H113" s="170" t="s">
        <v>183</v>
      </c>
      <c r="I113" s="170"/>
      <c r="J113" s="170"/>
      <c r="K113" s="170"/>
      <c r="L113" s="170"/>
      <c r="M113" s="170"/>
      <c r="N113" s="170"/>
      <c r="O113" s="170"/>
      <c r="P113" s="170"/>
      <c r="Q113" s="170"/>
      <c r="R113" s="170"/>
      <c r="S113" s="170"/>
      <c r="T113" s="170"/>
    </row>
    <row r="114" spans="1:20" s="187" customFormat="1" x14ac:dyDescent="0.5">
      <c r="A114" s="182">
        <v>10</v>
      </c>
      <c r="B114" s="108" t="s">
        <v>197</v>
      </c>
      <c r="C114" s="183"/>
      <c r="D114" s="184"/>
      <c r="E114" s="186"/>
      <c r="F114" s="186"/>
      <c r="G114" s="186"/>
      <c r="H114" s="186"/>
      <c r="I114" s="186"/>
      <c r="J114" s="186"/>
      <c r="K114" s="186"/>
      <c r="L114" s="186"/>
      <c r="M114" s="186"/>
      <c r="N114" s="186"/>
      <c r="O114" s="186"/>
      <c r="P114" s="186"/>
      <c r="Q114" s="186"/>
      <c r="R114" s="186"/>
      <c r="S114" s="186"/>
      <c r="T114" s="186"/>
    </row>
    <row r="115" spans="1:20" s="171" customFormat="1" x14ac:dyDescent="0.5">
      <c r="A115" s="178"/>
      <c r="B115" s="106" t="s">
        <v>196</v>
      </c>
      <c r="C115" s="179"/>
      <c r="D115" s="180"/>
      <c r="E115" s="188">
        <v>1</v>
      </c>
      <c r="F115" s="170">
        <f>IF(OR(C115="X",C115="x"),E115,0)</f>
        <v>0</v>
      </c>
      <c r="G115" s="170"/>
      <c r="H115" s="170" t="s">
        <v>190</v>
      </c>
      <c r="I115" s="170"/>
      <c r="J115" s="170"/>
      <c r="K115" s="170"/>
      <c r="L115" s="170"/>
      <c r="M115" s="170"/>
      <c r="N115" s="170"/>
      <c r="O115" s="170"/>
      <c r="P115" s="170"/>
      <c r="Q115" s="170"/>
      <c r="R115" s="170"/>
      <c r="S115" s="170"/>
      <c r="T115" s="170"/>
    </row>
    <row r="116" spans="1:20" s="171" customFormat="1" x14ac:dyDescent="0.5">
      <c r="A116" s="178"/>
      <c r="B116" s="106" t="s">
        <v>195</v>
      </c>
      <c r="C116" s="179" t="s">
        <v>186</v>
      </c>
      <c r="D116" s="180"/>
      <c r="E116" s="181">
        <v>2</v>
      </c>
      <c r="F116" s="170">
        <f>IF(OR(C116="X",C116="x"),E116,0)</f>
        <v>2</v>
      </c>
      <c r="G116" s="170"/>
      <c r="H116" s="170" t="s">
        <v>188</v>
      </c>
      <c r="I116" s="170"/>
      <c r="J116" s="170"/>
      <c r="K116" s="170"/>
      <c r="L116" s="170"/>
      <c r="M116" s="170"/>
      <c r="N116" s="170"/>
      <c r="O116" s="170"/>
      <c r="P116" s="170"/>
      <c r="Q116" s="170"/>
      <c r="R116" s="170"/>
      <c r="S116" s="170"/>
      <c r="T116" s="170"/>
    </row>
    <row r="117" spans="1:20" s="171" customFormat="1" x14ac:dyDescent="0.5">
      <c r="A117" s="178"/>
      <c r="B117" s="106" t="s">
        <v>194</v>
      </c>
      <c r="C117" s="179"/>
      <c r="D117" s="180"/>
      <c r="E117" s="181">
        <v>3</v>
      </c>
      <c r="F117" s="170">
        <f>IF(OR(C117="X",C117="x"),E117,0)</f>
        <v>0</v>
      </c>
      <c r="G117" s="170"/>
      <c r="H117" s="170" t="s">
        <v>185</v>
      </c>
      <c r="I117" s="170"/>
      <c r="J117" s="170"/>
      <c r="K117" s="170"/>
      <c r="L117" s="170"/>
      <c r="M117" s="170"/>
      <c r="N117" s="170"/>
      <c r="O117" s="170"/>
      <c r="P117" s="170"/>
      <c r="Q117" s="170"/>
      <c r="R117" s="170"/>
      <c r="S117" s="170"/>
      <c r="T117" s="170"/>
    </row>
    <row r="118" spans="1:20" s="171" customFormat="1" x14ac:dyDescent="0.5">
      <c r="A118" s="178"/>
      <c r="B118" s="106" t="s">
        <v>193</v>
      </c>
      <c r="C118" s="179"/>
      <c r="D118" s="180"/>
      <c r="E118" s="181">
        <v>4</v>
      </c>
      <c r="F118" s="170">
        <f>IF(OR(C118="X",C118="x"),E118,0)</f>
        <v>0</v>
      </c>
      <c r="G118" s="170"/>
      <c r="H118" s="170" t="s">
        <v>183</v>
      </c>
      <c r="I118" s="170"/>
      <c r="J118" s="170"/>
      <c r="K118" s="170"/>
      <c r="L118" s="170"/>
      <c r="M118" s="170"/>
      <c r="N118" s="170"/>
      <c r="O118" s="170"/>
      <c r="P118" s="170"/>
      <c r="Q118" s="170"/>
      <c r="R118" s="170"/>
      <c r="S118" s="170"/>
      <c r="T118" s="170"/>
    </row>
    <row r="119" spans="1:20" s="187" customFormat="1" x14ac:dyDescent="0.5">
      <c r="A119" s="182">
        <v>11</v>
      </c>
      <c r="B119" s="108" t="s">
        <v>192</v>
      </c>
      <c r="C119" s="183"/>
      <c r="D119" s="184"/>
      <c r="E119" s="186"/>
      <c r="F119" s="186"/>
      <c r="G119" s="186"/>
      <c r="H119" s="186"/>
      <c r="I119" s="186"/>
      <c r="J119" s="186"/>
      <c r="K119" s="186"/>
      <c r="L119" s="186"/>
      <c r="M119" s="186"/>
      <c r="N119" s="186"/>
      <c r="O119" s="186"/>
      <c r="P119" s="186"/>
      <c r="Q119" s="186"/>
      <c r="R119" s="186"/>
      <c r="S119" s="186"/>
      <c r="T119" s="186"/>
    </row>
    <row r="120" spans="1:20" s="171" customFormat="1" x14ac:dyDescent="0.5">
      <c r="A120" s="178"/>
      <c r="B120" s="106" t="s">
        <v>191</v>
      </c>
      <c r="C120" s="179"/>
      <c r="D120" s="180"/>
      <c r="E120" s="188">
        <v>1</v>
      </c>
      <c r="F120" s="170">
        <f t="shared" ref="F120:F125" si="0">IF(OR(C120="X",C120="x"),E120,0)</f>
        <v>0</v>
      </c>
      <c r="G120" s="170"/>
      <c r="H120" s="170" t="s">
        <v>190</v>
      </c>
      <c r="I120" s="170"/>
      <c r="J120" s="170"/>
      <c r="K120" s="170"/>
      <c r="L120" s="170"/>
      <c r="M120" s="170"/>
      <c r="N120" s="170"/>
      <c r="O120" s="170"/>
      <c r="P120" s="170"/>
      <c r="Q120" s="170"/>
      <c r="R120" s="170"/>
      <c r="S120" s="170"/>
      <c r="T120" s="170"/>
    </row>
    <row r="121" spans="1:20" s="171" customFormat="1" x14ac:dyDescent="0.5">
      <c r="A121" s="178"/>
      <c r="B121" s="106" t="s">
        <v>189</v>
      </c>
      <c r="C121" s="179"/>
      <c r="D121" s="180"/>
      <c r="E121" s="181">
        <v>2</v>
      </c>
      <c r="F121" s="170">
        <f t="shared" si="0"/>
        <v>0</v>
      </c>
      <c r="G121" s="170"/>
      <c r="H121" s="170" t="s">
        <v>188</v>
      </c>
      <c r="I121" s="170"/>
      <c r="J121" s="170"/>
      <c r="K121" s="170"/>
      <c r="L121" s="170"/>
      <c r="M121" s="170"/>
      <c r="N121" s="170"/>
      <c r="O121" s="170"/>
      <c r="P121" s="170"/>
      <c r="Q121" s="170"/>
      <c r="R121" s="170"/>
      <c r="S121" s="170"/>
      <c r="T121" s="170"/>
    </row>
    <row r="122" spans="1:20" s="171" customFormat="1" x14ac:dyDescent="0.5">
      <c r="A122" s="178"/>
      <c r="B122" s="106" t="s">
        <v>187</v>
      </c>
      <c r="C122" s="179" t="s">
        <v>186</v>
      </c>
      <c r="D122" s="180"/>
      <c r="E122" s="181">
        <v>3</v>
      </c>
      <c r="F122" s="170">
        <f t="shared" si="0"/>
        <v>3</v>
      </c>
      <c r="G122" s="170"/>
      <c r="H122" s="170" t="s">
        <v>185</v>
      </c>
      <c r="I122" s="170"/>
      <c r="J122" s="170"/>
      <c r="K122" s="170"/>
      <c r="L122" s="170"/>
      <c r="M122" s="170"/>
      <c r="N122" s="170"/>
      <c r="O122" s="170"/>
      <c r="P122" s="170"/>
      <c r="Q122" s="170"/>
      <c r="R122" s="170"/>
      <c r="S122" s="170"/>
      <c r="T122" s="170"/>
    </row>
    <row r="123" spans="1:20" s="171" customFormat="1" x14ac:dyDescent="0.5">
      <c r="A123" s="178"/>
      <c r="B123" s="106" t="s">
        <v>184</v>
      </c>
      <c r="C123" s="179"/>
      <c r="D123" s="180"/>
      <c r="E123" s="181">
        <v>4</v>
      </c>
      <c r="F123" s="170">
        <f t="shared" si="0"/>
        <v>0</v>
      </c>
      <c r="G123" s="170"/>
      <c r="H123" s="170" t="s">
        <v>183</v>
      </c>
      <c r="I123" s="170"/>
      <c r="J123" s="170"/>
      <c r="K123" s="170"/>
      <c r="L123" s="170"/>
      <c r="M123" s="170"/>
      <c r="N123" s="170"/>
      <c r="O123" s="170"/>
      <c r="P123" s="170"/>
      <c r="Q123" s="170"/>
      <c r="R123" s="170"/>
      <c r="S123" s="170"/>
      <c r="T123" s="170"/>
    </row>
    <row r="124" spans="1:20" s="171" customFormat="1" x14ac:dyDescent="0.5">
      <c r="A124" s="178"/>
      <c r="B124" s="106" t="s">
        <v>182</v>
      </c>
      <c r="C124" s="179"/>
      <c r="D124" s="180"/>
      <c r="E124" s="181">
        <v>5</v>
      </c>
      <c r="F124" s="170">
        <f t="shared" si="0"/>
        <v>0</v>
      </c>
      <c r="G124" s="170"/>
      <c r="H124" s="170" t="s">
        <v>180</v>
      </c>
      <c r="I124" s="170"/>
      <c r="J124" s="170"/>
      <c r="K124" s="170"/>
      <c r="L124" s="170"/>
      <c r="M124" s="170"/>
      <c r="N124" s="170"/>
      <c r="O124" s="170"/>
      <c r="P124" s="170"/>
      <c r="Q124" s="170"/>
      <c r="R124" s="170"/>
      <c r="S124" s="170"/>
      <c r="T124" s="170"/>
    </row>
    <row r="125" spans="1:20" s="171" customFormat="1" ht="16.149999999999999" thickBot="1" x14ac:dyDescent="0.55000000000000004">
      <c r="A125" s="201"/>
      <c r="B125" s="120" t="s">
        <v>181</v>
      </c>
      <c r="C125" s="198"/>
      <c r="D125" s="180"/>
      <c r="E125" s="181">
        <v>6</v>
      </c>
      <c r="F125" s="170">
        <f t="shared" si="0"/>
        <v>0</v>
      </c>
      <c r="G125" s="170"/>
      <c r="H125" s="170" t="s">
        <v>180</v>
      </c>
      <c r="I125" s="170"/>
      <c r="J125" s="170"/>
      <c r="K125" s="170"/>
      <c r="L125" s="170"/>
      <c r="M125" s="170"/>
      <c r="N125" s="170"/>
      <c r="O125" s="170"/>
      <c r="P125" s="170"/>
      <c r="Q125" s="170"/>
      <c r="R125" s="170"/>
      <c r="S125" s="170"/>
      <c r="T125" s="170"/>
    </row>
    <row r="126" spans="1:20" s="97" customFormat="1" ht="17.25" thickBot="1" x14ac:dyDescent="0.55000000000000004">
      <c r="A126" s="819" t="str">
        <f>"Kết quả khảo sát hoàn cảnh: "&amp;IF(AND(SUM($F$64:$F$125)&gt;10,SUM($F$64:$F$125)&lt;21),"Bạn trong điều kiện không thuận lợi để phát triển tài chính của bạn trong dài hạn",IF(AND(SUM($F$64:$F$125)&gt;20,SUM($F$64:$F$125)&lt;30),"Bạn trong điều kiện ít thuận lợi để phát triển tài chính của bạn trong dài hạn",IF(AND(SUM($F$64:$F$125)&gt;29,SUM($F$64:$F$125)&lt;39),"Bạn trong điều kiện bình thường để phát triển tài chính của bạn trong dài hạn",IF(AND(SUM($F$64:$F$125)&gt;38,SUM($F$64:$F$125)&lt;42),"Bạn trong điều kiện thuận lợi để phát triển tài chính của bạn trong dài hạn","Bạn trong điều kiện cực kỳ thuận lợi để phát triển tài chính của bạn trong dài hạn"))))</f>
        <v>Kết quả khảo sát hoàn cảnh: Bạn trong điều kiện bình thường để phát triển tài chính của bạn trong dài hạn</v>
      </c>
      <c r="B126" s="820"/>
      <c r="C126" s="821"/>
      <c r="D126" s="132"/>
    </row>
    <row r="133" spans="2:2" hidden="1" x14ac:dyDescent="0.5">
      <c r="B133" s="124"/>
    </row>
  </sheetData>
  <sheetProtection algorithmName="SHA-512" hashValue="3+tWu/2+4dyyK/mLI4VaNOhKshbKLQ0ggmyEAE9F6CMpUsnsWklnpxUkMiw0M6uwy8g7Xn27sAaAN3lKiqs/4Q==" saltValue="1RWUHeYDxHSgfi6JCfd5yQ==" spinCount="100000" sheet="1" formatCells="0" formatColumns="0" formatRows="0" insertColumns="0" insertRows="0" insertHyperlinks="0" deleteColumns="0" deleteRows="0" sort="0" autoFilter="0" pivotTables="0"/>
  <mergeCells count="4">
    <mergeCell ref="E3:F3"/>
    <mergeCell ref="A59:C59"/>
    <mergeCell ref="A126:C126"/>
    <mergeCell ref="S4:S9"/>
  </mergeCells>
  <hyperlinks>
    <hyperlink ref="A59:C59" location="'Mục tiêu bản thân'!I45" display="'Mục tiêu bản thân'!I45" xr:uid="{00000000-0004-0000-1300-000000000000}"/>
    <hyperlink ref="A126:C126" location="'Mục tiêu bản thân'!I48" display="'Mục tiêu bản thân'!I48" xr:uid="{00000000-0004-0000-1300-000001000000}"/>
    <hyperlink ref="B2" location="'Mục tiêu bản thân'!I45" display="Khảo sát 1: Khả năng chịu đựng rủi ro đầu tư" xr:uid="{00000000-0004-0000-1300-000002000000}"/>
    <hyperlink ref="B61" location="'Mục tiêu bản thân'!I48" display="Khảo sát 2: Hoàn cảnh" xr:uid="{00000000-0004-0000-1300-000003000000}"/>
    <hyperlink ref="C1" location="'Mục tiêu bản thân'!A1" display="'Mục tiêu bản thân'!A1" xr:uid="{00000000-0004-0000-1300-000004000000}"/>
  </hyperlinks>
  <pageMargins left="0.7" right="0.7" top="0.75" bottom="0.75" header="0.3" footer="0.3"/>
  <pageSetup orientation="portrait" r:id="rId1"/>
  <drawing r:id="rId2"/>
  <tableParts count="1">
    <tablePart r:id="rId3"/>
  </tableParts>
</worksheet>
</file>

<file path=docMetadata/LabelInfo.xml><?xml version="1.0" encoding="utf-8"?>
<clbl:labelList xmlns:clbl="http://schemas.microsoft.com/office/2020/mipLabelMetadata">
  <clbl:label id="{28ec24bc-cc25-4acc-b1c9-1d6313e48c7c}" enabled="1" method="Privileged" siteId="{68eb8b5a-0275-452d-8737-275667fcb67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18</vt:i4>
      </vt:variant>
    </vt:vector>
  </HeadingPairs>
  <TitlesOfParts>
    <vt:vector size="38" baseType="lpstr">
      <vt:lpstr>Từ khóa</vt:lpstr>
      <vt:lpstr>Dashboard</vt:lpstr>
      <vt:lpstr>Mục tiêu bản thân</vt:lpstr>
      <vt:lpstr>Mục tiêu tài chính</vt:lpstr>
      <vt:lpstr>Cân đối lộ trình nghề nghiệp</vt:lpstr>
      <vt:lpstr>Kế hoạch thu nhập và chi tiêu</vt:lpstr>
      <vt:lpstr>T1</vt:lpstr>
      <vt:lpstr>T2</vt:lpstr>
      <vt:lpstr>T3</vt:lpstr>
      <vt:lpstr>T4</vt:lpstr>
      <vt:lpstr>T5</vt:lpstr>
      <vt:lpstr>T6</vt:lpstr>
      <vt:lpstr>T7</vt:lpstr>
      <vt:lpstr>T8</vt:lpstr>
      <vt:lpstr>T9</vt:lpstr>
      <vt:lpstr>T10</vt:lpstr>
      <vt:lpstr>T11</vt:lpstr>
      <vt:lpstr>Sheet1</vt:lpstr>
      <vt:lpstr>T12</vt:lpstr>
      <vt:lpstr>Bảng khảo sát</vt:lpstr>
      <vt:lpstr>'Cân đối lộ trình nghề nghiệp'!Print_Area</vt:lpstr>
      <vt:lpstr>Dashboard!Print_Area</vt:lpstr>
      <vt:lpstr>'Kế hoạch thu nhập và chi tiêu'!Print_Area</vt:lpstr>
      <vt:lpstr>'Mục tiêu bản thân'!Print_Area</vt:lpstr>
      <vt:lpstr>'Mục tiêu tài chính'!Print_Area</vt:lpstr>
      <vt:lpstr>'T1'!Print_Area</vt:lpstr>
      <vt:lpstr>'T10'!Print_Area</vt:lpstr>
      <vt:lpstr>'T11'!Print_Area</vt:lpstr>
      <vt:lpstr>'T12'!Print_Area</vt:lpstr>
      <vt:lpstr>'T2'!Print_Area</vt:lpstr>
      <vt:lpstr>'T3'!Print_Area</vt:lpstr>
      <vt:lpstr>'T4'!Print_Area</vt:lpstr>
      <vt:lpstr>'T5'!Print_Area</vt:lpstr>
      <vt:lpstr>'T6'!Print_Area</vt:lpstr>
      <vt:lpstr>'T7'!Print_Area</vt:lpstr>
      <vt:lpstr>'T8'!Print_Area</vt:lpstr>
      <vt:lpstr>'T9'!Print_Area</vt:lpstr>
      <vt:lpstr>'Từ khóa'!Print_Area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Goretti Tiên</cp:lastModifiedBy>
  <dcterms:created xsi:type="dcterms:W3CDTF">2021-10-26T11:06:09Z</dcterms:created>
  <dcterms:modified xsi:type="dcterms:W3CDTF">2023-09-26T09:08:48Z</dcterms:modified>
</cp:coreProperties>
</file>